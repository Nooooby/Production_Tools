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maplelodgefarms-my.sharepoint.com/personal/sying_maplelodgefarms_com/Documents/Desktop/"/>
    </mc:Choice>
  </mc:AlternateContent>
  <xr:revisionPtr revIDLastSave="155" documentId="11_8A0C8F52A8CBB0995699DF8CE2A3E8FC42991FE9" xr6:coauthVersionLast="47" xr6:coauthVersionMax="47" xr10:uidLastSave="{2964DF08-1546-46EB-B0BB-D6E395DE1232}"/>
  <bookViews>
    <workbookView xWindow="11550" yWindow="-16320" windowWidth="29040" windowHeight="15720" tabRatio="854" firstSheet="1" activeTab="13" xr2:uid="{8A4D1F56-6CE7-4BE9-B2EA-66230800A2F7}"/>
  </bookViews>
  <sheets>
    <sheet name="00_SKU_Master" sheetId="1" state="hidden" r:id="rId1"/>
    <sheet name="01_Cages_Plan" sheetId="2" r:id="rId2"/>
    <sheet name="02_TrayPack_Order" sheetId="3" r:id="rId3"/>
    <sheet name="03_BulkPack_Order" sheetId="4" r:id="rId4"/>
    <sheet name="04_Bagging_Order" sheetId="5" r:id="rId5"/>
    <sheet name="05_Daily_Orders" sheetId="6" r:id="rId6"/>
    <sheet name="06_Resource_Plan" sheetId="7" r:id="rId7"/>
    <sheet name="07_Labor_Calc" sheetId="8" state="hidden" r:id="rId8"/>
    <sheet name="08_Chart_Data" sheetId="9" state="hidden" r:id="rId9"/>
    <sheet name="09_Pallet_Space" sheetId="10" state="hidden" r:id="rId10"/>
    <sheet name="10_Cone_Line" sheetId="11" r:id="rId11"/>
    <sheet name="00_Yield_Rates" sheetId="12" state="hidden" r:id="rId12"/>
    <sheet name="12_Executive_Dash" sheetId="13" r:id="rId13"/>
    <sheet name="14_Production_Planning" sheetId="14" r:id="rId14"/>
    <sheet name="13_Progress_Track" sheetId="15" r:id="rId15"/>
    <sheet name="14_Weekly_Plan" sheetId="16" state="hidden" r:id="rId16"/>
    <sheet name="15_5Day_Forecast" sheetId="17" state="hidden" r:id="rId17"/>
  </sheets>
  <externalReferences>
    <externalReference r:id="rId18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6" l="1"/>
  <c r="R2" i="6"/>
  <c r="Q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2" i="6"/>
  <c r="C6" i="14" a="1"/>
  <c r="C6" i="14"/>
  <c r="Q5" i="6"/>
  <c r="R5" i="6"/>
  <c r="S5" i="6"/>
  <c r="Q6" i="6"/>
  <c r="R6" i="6"/>
  <c r="S6" i="6"/>
  <c r="Q11" i="6"/>
  <c r="R11" i="6"/>
  <c r="S11" i="6"/>
  <c r="Q12" i="6"/>
  <c r="R12" i="6"/>
  <c r="S12" i="6"/>
  <c r="Q3" i="6"/>
  <c r="R3" i="6"/>
  <c r="S3" i="6"/>
  <c r="Q4" i="6"/>
  <c r="R4" i="6"/>
  <c r="S4" i="6"/>
  <c r="Q7" i="6"/>
  <c r="R7" i="6"/>
  <c r="S7" i="6"/>
  <c r="Q8" i="6"/>
  <c r="R8" i="6"/>
  <c r="S8" i="6"/>
  <c r="Q9" i="6"/>
  <c r="R9" i="6"/>
  <c r="S9" i="6"/>
  <c r="Q10" i="6"/>
  <c r="R10" i="6"/>
  <c r="S10" i="6"/>
  <c r="Q13" i="6"/>
  <c r="R13" i="6"/>
  <c r="S13" i="6"/>
  <c r="Q14" i="6"/>
  <c r="R14" i="6"/>
  <c r="S14" i="6"/>
  <c r="Q15" i="6"/>
  <c r="R15" i="6"/>
  <c r="S15" i="6"/>
  <c r="Q16" i="6"/>
  <c r="R16" i="6"/>
  <c r="S16" i="6"/>
  <c r="Q17" i="6"/>
  <c r="R17" i="6"/>
  <c r="S17" i="6"/>
  <c r="Q18" i="6"/>
  <c r="R18" i="6"/>
  <c r="S18" i="6"/>
  <c r="Q19" i="6"/>
  <c r="R19" i="6"/>
  <c r="S19" i="6"/>
  <c r="Q20" i="6"/>
  <c r="R20" i="6"/>
  <c r="S20" i="6"/>
  <c r="Q21" i="6"/>
  <c r="R21" i="6"/>
  <c r="S21" i="6"/>
  <c r="Q22" i="6"/>
  <c r="R22" i="6"/>
  <c r="S22" i="6"/>
  <c r="Q23" i="6"/>
  <c r="R23" i="6"/>
  <c r="S23" i="6"/>
  <c r="Q24" i="6"/>
  <c r="R24" i="6"/>
  <c r="S24" i="6"/>
  <c r="Q25" i="6"/>
  <c r="R25" i="6"/>
  <c r="S25" i="6"/>
  <c r="Q26" i="6"/>
  <c r="R26" i="6"/>
  <c r="S26" i="6"/>
  <c r="Q27" i="6"/>
  <c r="R27" i="6"/>
  <c r="S27" i="6"/>
  <c r="Q28" i="6"/>
  <c r="R28" i="6"/>
  <c r="S28" i="6"/>
  <c r="Q29" i="6"/>
  <c r="R29" i="6"/>
  <c r="S29" i="6"/>
  <c r="Q30" i="6"/>
  <c r="R30" i="6"/>
  <c r="S30" i="6"/>
  <c r="Q31" i="6"/>
  <c r="R31" i="6"/>
  <c r="S31" i="6"/>
  <c r="Q32" i="6"/>
  <c r="R32" i="6"/>
  <c r="S32" i="6"/>
  <c r="Q33" i="6"/>
  <c r="R33" i="6"/>
  <c r="S33" i="6"/>
  <c r="Q34" i="6"/>
  <c r="R34" i="6"/>
  <c r="S34" i="6"/>
  <c r="Q35" i="6"/>
  <c r="R35" i="6"/>
  <c r="S35" i="6"/>
  <c r="Q36" i="6"/>
  <c r="R36" i="6"/>
  <c r="S36" i="6"/>
  <c r="Q37" i="6"/>
  <c r="R37" i="6"/>
  <c r="S37" i="6"/>
  <c r="Q38" i="6"/>
  <c r="R38" i="6"/>
  <c r="S38" i="6"/>
  <c r="Q39" i="6"/>
  <c r="R39" i="6"/>
  <c r="S39" i="6"/>
  <c r="Q40" i="6"/>
  <c r="R40" i="6"/>
  <c r="S40" i="6"/>
  <c r="Q41" i="6"/>
  <c r="R41" i="6"/>
  <c r="S41" i="6"/>
  <c r="Q42" i="6"/>
  <c r="R42" i="6"/>
  <c r="S42" i="6"/>
  <c r="Q43" i="6"/>
  <c r="R43" i="6"/>
  <c r="S43" i="6"/>
  <c r="Q44" i="6"/>
  <c r="R44" i="6"/>
  <c r="S44" i="6"/>
  <c r="Q45" i="6"/>
  <c r="R45" i="6"/>
  <c r="S45" i="6"/>
  <c r="Q46" i="6"/>
  <c r="R46" i="6"/>
  <c r="S46" i="6"/>
  <c r="Q47" i="6"/>
  <c r="R47" i="6"/>
  <c r="S47" i="6"/>
  <c r="Q48" i="6"/>
  <c r="R48" i="6"/>
  <c r="S48" i="6"/>
  <c r="Q49" i="6"/>
  <c r="R49" i="6"/>
  <c r="S49" i="6"/>
  <c r="Q50" i="6"/>
  <c r="R50" i="6"/>
  <c r="S50" i="6"/>
  <c r="Q51" i="6"/>
  <c r="R51" i="6"/>
  <c r="S51" i="6"/>
  <c r="Q52" i="6"/>
  <c r="R52" i="6"/>
  <c r="S52" i="6"/>
  <c r="Q53" i="6"/>
  <c r="R53" i="6"/>
  <c r="S53" i="6"/>
  <c r="Q54" i="6"/>
  <c r="R54" i="6"/>
  <c r="S54" i="6"/>
  <c r="Q55" i="6"/>
  <c r="R55" i="6"/>
  <c r="S55" i="6"/>
  <c r="Q56" i="6"/>
  <c r="R56" i="6"/>
  <c r="S56" i="6"/>
  <c r="Q57" i="6"/>
  <c r="R57" i="6"/>
  <c r="S57" i="6"/>
  <c r="Q58" i="6"/>
  <c r="R58" i="6"/>
  <c r="S58" i="6"/>
  <c r="Q59" i="6"/>
  <c r="R59" i="6"/>
  <c r="S59" i="6"/>
  <c r="Q60" i="6"/>
  <c r="R60" i="6"/>
  <c r="S60" i="6"/>
  <c r="Q61" i="6"/>
  <c r="R61" i="6"/>
  <c r="S61" i="6"/>
  <c r="Q62" i="6"/>
  <c r="R62" i="6"/>
  <c r="S62" i="6"/>
  <c r="Q63" i="6"/>
  <c r="R63" i="6"/>
  <c r="S63" i="6"/>
  <c r="Q64" i="6"/>
  <c r="R64" i="6"/>
  <c r="S64" i="6"/>
  <c r="Q65" i="6"/>
  <c r="R65" i="6"/>
  <c r="S65" i="6"/>
  <c r="Q66" i="6"/>
  <c r="R66" i="6"/>
  <c r="S66" i="6"/>
  <c r="Q67" i="6"/>
  <c r="R67" i="6"/>
  <c r="S67" i="6"/>
  <c r="Q68" i="6"/>
  <c r="R68" i="6"/>
  <c r="S68" i="6"/>
  <c r="Q69" i="6"/>
  <c r="R69" i="6"/>
  <c r="S69" i="6"/>
  <c r="Q70" i="6"/>
  <c r="R70" i="6"/>
  <c r="S70" i="6"/>
  <c r="Q71" i="6"/>
  <c r="R71" i="6"/>
  <c r="S71" i="6"/>
  <c r="Q72" i="6"/>
  <c r="R72" i="6"/>
  <c r="S72" i="6"/>
  <c r="Q73" i="6"/>
  <c r="R73" i="6"/>
  <c r="S73" i="6"/>
  <c r="Q74" i="6"/>
  <c r="R74" i="6"/>
  <c r="S74" i="6"/>
  <c r="Q75" i="6"/>
  <c r="R75" i="6"/>
  <c r="S75" i="6"/>
  <c r="Q76" i="6"/>
  <c r="R76" i="6"/>
  <c r="S76" i="6"/>
  <c r="Q77" i="6"/>
  <c r="R77" i="6"/>
  <c r="S77" i="6"/>
  <c r="Q78" i="6"/>
  <c r="R78" i="6"/>
  <c r="S78" i="6"/>
  <c r="Q79" i="6"/>
  <c r="R79" i="6"/>
  <c r="S79" i="6"/>
  <c r="Q80" i="6"/>
  <c r="R80" i="6"/>
  <c r="S80" i="6"/>
  <c r="Q81" i="6"/>
  <c r="R81" i="6"/>
  <c r="S81" i="6"/>
  <c r="Q82" i="6"/>
  <c r="R82" i="6"/>
  <c r="S82" i="6"/>
  <c r="Q83" i="6"/>
  <c r="R83" i="6"/>
  <c r="S83" i="6"/>
  <c r="Q84" i="6"/>
  <c r="R84" i="6"/>
  <c r="S84" i="6"/>
  <c r="Q85" i="6"/>
  <c r="R85" i="6"/>
  <c r="S85" i="6"/>
  <c r="Q86" i="6"/>
  <c r="R86" i="6"/>
  <c r="S86" i="6"/>
  <c r="Q87" i="6"/>
  <c r="R87" i="6"/>
  <c r="S87" i="6"/>
  <c r="Q88" i="6"/>
  <c r="R88" i="6"/>
  <c r="S88" i="6"/>
  <c r="Q89" i="6"/>
  <c r="R89" i="6"/>
  <c r="S89" i="6"/>
  <c r="Q90" i="6"/>
  <c r="R90" i="6"/>
  <c r="S90" i="6"/>
  <c r="Q91" i="6"/>
  <c r="R91" i="6"/>
  <c r="S91" i="6"/>
  <c r="Q92" i="6"/>
  <c r="R92" i="6"/>
  <c r="S92" i="6"/>
  <c r="Q93" i="6"/>
  <c r="R93" i="6"/>
  <c r="S93" i="6"/>
  <c r="Q94" i="6"/>
  <c r="R94" i="6"/>
  <c r="S94" i="6"/>
  <c r="Q95" i="6"/>
  <c r="R95" i="6"/>
  <c r="S95" i="6"/>
  <c r="Q96" i="6"/>
  <c r="R96" i="6"/>
  <c r="S96" i="6"/>
  <c r="Q97" i="6"/>
  <c r="R97" i="6"/>
  <c r="S97" i="6"/>
  <c r="Q98" i="6"/>
  <c r="R98" i="6"/>
  <c r="S98" i="6"/>
  <c r="Q99" i="6"/>
  <c r="R99" i="6"/>
  <c r="S99" i="6"/>
  <c r="Q100" i="6"/>
  <c r="R100" i="6"/>
  <c r="S100" i="6"/>
  <c r="Q101" i="6"/>
  <c r="R101" i="6"/>
  <c r="S101" i="6"/>
  <c r="Q102" i="6"/>
  <c r="R102" i="6"/>
  <c r="S102" i="6"/>
  <c r="Q103" i="6"/>
  <c r="R103" i="6"/>
  <c r="S103" i="6"/>
  <c r="Q104" i="6"/>
  <c r="R104" i="6"/>
  <c r="S104" i="6"/>
  <c r="Q105" i="6"/>
  <c r="R105" i="6"/>
  <c r="S105" i="6"/>
  <c r="Q106" i="6"/>
  <c r="R106" i="6"/>
  <c r="S106" i="6"/>
  <c r="Q107" i="6"/>
  <c r="R107" i="6"/>
  <c r="S107" i="6"/>
  <c r="Q108" i="6"/>
  <c r="R108" i="6"/>
  <c r="S108" i="6"/>
  <c r="Q109" i="6"/>
  <c r="R109" i="6"/>
  <c r="S109" i="6"/>
  <c r="Q110" i="6"/>
  <c r="R110" i="6"/>
  <c r="S110" i="6"/>
  <c r="Q111" i="6"/>
  <c r="R111" i="6"/>
  <c r="S111" i="6"/>
  <c r="Q112" i="6"/>
  <c r="R112" i="6"/>
  <c r="S112" i="6"/>
  <c r="Q113" i="6"/>
  <c r="R113" i="6"/>
  <c r="S113" i="6"/>
  <c r="Q114" i="6"/>
  <c r="R114" i="6"/>
  <c r="S114" i="6"/>
  <c r="Q115" i="6"/>
  <c r="R115" i="6"/>
  <c r="S115" i="6"/>
  <c r="Q116" i="6"/>
  <c r="R116" i="6"/>
  <c r="S116" i="6"/>
  <c r="Q117" i="6"/>
  <c r="R117" i="6"/>
  <c r="S117" i="6"/>
  <c r="Q118" i="6"/>
  <c r="R118" i="6"/>
  <c r="S118" i="6"/>
  <c r="Q119" i="6"/>
  <c r="R119" i="6"/>
  <c r="S119" i="6"/>
  <c r="Q120" i="6"/>
  <c r="R120" i="6"/>
  <c r="S120" i="6"/>
  <c r="Q121" i="6"/>
  <c r="R121" i="6"/>
  <c r="S121" i="6"/>
  <c r="Q122" i="6"/>
  <c r="R122" i="6"/>
  <c r="S122" i="6"/>
  <c r="Q123" i="6"/>
  <c r="R123" i="6"/>
  <c r="S123" i="6"/>
  <c r="Q124" i="6"/>
  <c r="R124" i="6"/>
  <c r="S124" i="6"/>
  <c r="Q125" i="6"/>
  <c r="R125" i="6"/>
  <c r="S125" i="6"/>
  <c r="Q126" i="6"/>
  <c r="R126" i="6"/>
  <c r="S126" i="6"/>
  <c r="Q127" i="6"/>
  <c r="R127" i="6"/>
  <c r="S127" i="6"/>
  <c r="Q128" i="6"/>
  <c r="R128" i="6"/>
  <c r="S128" i="6"/>
  <c r="Q129" i="6"/>
  <c r="R129" i="6"/>
  <c r="S129" i="6"/>
  <c r="Q130" i="6"/>
  <c r="R130" i="6"/>
  <c r="S130" i="6"/>
  <c r="Q131" i="6"/>
  <c r="R131" i="6"/>
  <c r="S131" i="6"/>
  <c r="Q132" i="6"/>
  <c r="R132" i="6"/>
  <c r="S132" i="6"/>
  <c r="Q133" i="6"/>
  <c r="R133" i="6"/>
  <c r="S133" i="6"/>
  <c r="Q134" i="6"/>
  <c r="R134" i="6"/>
  <c r="S134" i="6"/>
  <c r="Q135" i="6"/>
  <c r="R135" i="6"/>
  <c r="S135" i="6"/>
  <c r="Q136" i="6"/>
  <c r="R136" i="6"/>
  <c r="S136" i="6"/>
  <c r="Q137" i="6"/>
  <c r="R137" i="6"/>
  <c r="S137" i="6"/>
  <c r="Q138" i="6"/>
  <c r="R138" i="6"/>
  <c r="S138" i="6"/>
  <c r="Q139" i="6"/>
  <c r="R139" i="6"/>
  <c r="S139" i="6"/>
  <c r="Q140" i="6"/>
  <c r="R140" i="6"/>
  <c r="S140" i="6"/>
  <c r="Q141" i="6"/>
  <c r="R141" i="6"/>
  <c r="S141" i="6"/>
  <c r="Q142" i="6"/>
  <c r="R142" i="6"/>
  <c r="S142" i="6"/>
  <c r="Q143" i="6"/>
  <c r="R143" i="6"/>
  <c r="S143" i="6"/>
  <c r="Q144" i="6"/>
  <c r="R144" i="6"/>
  <c r="S144" i="6"/>
  <c r="Q145" i="6"/>
  <c r="R145" i="6"/>
  <c r="S145" i="6"/>
  <c r="Q146" i="6"/>
  <c r="R146" i="6"/>
  <c r="S146" i="6"/>
  <c r="Q147" i="6"/>
  <c r="R147" i="6"/>
  <c r="S147" i="6"/>
  <c r="Q148" i="6"/>
  <c r="R148" i="6"/>
  <c r="S148" i="6"/>
  <c r="Q149" i="6"/>
  <c r="R149" i="6"/>
  <c r="S149" i="6"/>
  <c r="Q150" i="6"/>
  <c r="R150" i="6"/>
  <c r="S150" i="6"/>
  <c r="Q151" i="6"/>
  <c r="R151" i="6"/>
  <c r="S151" i="6"/>
  <c r="Q152" i="6"/>
  <c r="R152" i="6"/>
  <c r="S152" i="6"/>
  <c r="Q153" i="6"/>
  <c r="R153" i="6"/>
  <c r="S153" i="6"/>
  <c r="Q154" i="6"/>
  <c r="R154" i="6"/>
  <c r="S154" i="6"/>
  <c r="Q155" i="6"/>
  <c r="R155" i="6"/>
  <c r="S155" i="6"/>
  <c r="Q156" i="6"/>
  <c r="R156" i="6"/>
  <c r="S156" i="6"/>
  <c r="Q157" i="6"/>
  <c r="R157" i="6"/>
  <c r="S157" i="6"/>
  <c r="Q158" i="6"/>
  <c r="R158" i="6"/>
  <c r="S158" i="6"/>
  <c r="Q159" i="6"/>
  <c r="R159" i="6"/>
  <c r="S159" i="6"/>
  <c r="Q160" i="6"/>
  <c r="R160" i="6"/>
  <c r="S160" i="6"/>
  <c r="Q161" i="6"/>
  <c r="R161" i="6"/>
  <c r="S161" i="6"/>
  <c r="Q162" i="6"/>
  <c r="R162" i="6"/>
  <c r="S162" i="6"/>
  <c r="Q163" i="6"/>
  <c r="R163" i="6"/>
  <c r="S163" i="6"/>
  <c r="Q164" i="6"/>
  <c r="R164" i="6"/>
  <c r="S164" i="6"/>
  <c r="Q165" i="6"/>
  <c r="R165" i="6"/>
  <c r="S165" i="6"/>
  <c r="Q166" i="6"/>
  <c r="R166" i="6"/>
  <c r="S166" i="6"/>
  <c r="Q167" i="6"/>
  <c r="R167" i="6"/>
  <c r="S167" i="6"/>
  <c r="Q168" i="6"/>
  <c r="R168" i="6"/>
  <c r="S168" i="6"/>
  <c r="Q169" i="6"/>
  <c r="R169" i="6"/>
  <c r="S169" i="6"/>
  <c r="Q170" i="6"/>
  <c r="R170" i="6"/>
  <c r="S170" i="6"/>
  <c r="Q171" i="6"/>
  <c r="R171" i="6"/>
  <c r="S171" i="6"/>
  <c r="Q172" i="6"/>
  <c r="R172" i="6"/>
  <c r="S172" i="6"/>
  <c r="Q173" i="6"/>
  <c r="R173" i="6"/>
  <c r="S173" i="6"/>
  <c r="Q174" i="6"/>
  <c r="R174" i="6"/>
  <c r="S174" i="6"/>
  <c r="Q175" i="6"/>
  <c r="R175" i="6"/>
  <c r="S175" i="6"/>
  <c r="Q176" i="6"/>
  <c r="R176" i="6"/>
  <c r="S176" i="6"/>
  <c r="Q177" i="6"/>
  <c r="R177" i="6"/>
  <c r="S177" i="6"/>
  <c r="Q178" i="6"/>
  <c r="R178" i="6"/>
  <c r="S178" i="6"/>
  <c r="Q179" i="6"/>
  <c r="R179" i="6"/>
  <c r="S179" i="6"/>
  <c r="Q180" i="6"/>
  <c r="R180" i="6"/>
  <c r="S180" i="6"/>
  <c r="Q181" i="6"/>
  <c r="R181" i="6"/>
  <c r="S181" i="6"/>
  <c r="Q182" i="6"/>
  <c r="R182" i="6"/>
  <c r="S182" i="6"/>
  <c r="Q183" i="6"/>
  <c r="R183" i="6"/>
  <c r="S183" i="6"/>
  <c r="Q184" i="6"/>
  <c r="R184" i="6"/>
  <c r="S184" i="6"/>
  <c r="Q185" i="6"/>
  <c r="R185" i="6"/>
  <c r="S185" i="6"/>
  <c r="Q186" i="6"/>
  <c r="R186" i="6"/>
  <c r="S186" i="6"/>
  <c r="Q187" i="6"/>
  <c r="R187" i="6"/>
  <c r="S187" i="6"/>
  <c r="Q188" i="6"/>
  <c r="R188" i="6"/>
  <c r="S188" i="6"/>
  <c r="Q189" i="6"/>
  <c r="R189" i="6"/>
  <c r="S189" i="6"/>
  <c r="Q190" i="6"/>
  <c r="R190" i="6"/>
  <c r="S190" i="6"/>
  <c r="Q191" i="6"/>
  <c r="R191" i="6"/>
  <c r="S191" i="6"/>
  <c r="Q192" i="6"/>
  <c r="R192" i="6"/>
  <c r="S192" i="6"/>
  <c r="Q193" i="6"/>
  <c r="R193" i="6"/>
  <c r="S193" i="6"/>
  <c r="Q194" i="6"/>
  <c r="R194" i="6"/>
  <c r="S194" i="6"/>
  <c r="Q195" i="6"/>
  <c r="R195" i="6"/>
  <c r="S195" i="6"/>
  <c r="Q196" i="6"/>
  <c r="R196" i="6"/>
  <c r="S196" i="6"/>
  <c r="Q197" i="6"/>
  <c r="R197" i="6"/>
  <c r="S197" i="6"/>
  <c r="Q198" i="6"/>
  <c r="R198" i="6"/>
  <c r="S198" i="6"/>
  <c r="Q199" i="6"/>
  <c r="R199" i="6"/>
  <c r="S199" i="6"/>
  <c r="Q200" i="6"/>
  <c r="R200" i="6"/>
  <c r="S200" i="6"/>
  <c r="Q201" i="6"/>
  <c r="R201" i="6"/>
  <c r="S201" i="6"/>
  <c r="Q202" i="6"/>
  <c r="R202" i="6"/>
  <c r="S202" i="6"/>
  <c r="Q203" i="6"/>
  <c r="R203" i="6"/>
  <c r="S203" i="6"/>
  <c r="Q204" i="6"/>
  <c r="R204" i="6"/>
  <c r="S204" i="6"/>
  <c r="Q205" i="6"/>
  <c r="R205" i="6"/>
  <c r="S205" i="6"/>
  <c r="Q206" i="6"/>
  <c r="R206" i="6"/>
  <c r="S206" i="6"/>
  <c r="Q207" i="6"/>
  <c r="R207" i="6"/>
  <c r="S207" i="6"/>
  <c r="Q208" i="6"/>
  <c r="R208" i="6"/>
  <c r="S208" i="6"/>
  <c r="Q209" i="6"/>
  <c r="R209" i="6"/>
  <c r="S209" i="6"/>
  <c r="Q210" i="6"/>
  <c r="R210" i="6"/>
  <c r="S210" i="6"/>
  <c r="Q211" i="6"/>
  <c r="R211" i="6"/>
  <c r="S211" i="6"/>
  <c r="Q212" i="6"/>
  <c r="R212" i="6"/>
  <c r="S212" i="6"/>
  <c r="Q213" i="6"/>
  <c r="R213" i="6"/>
  <c r="S213" i="6"/>
  <c r="Q214" i="6"/>
  <c r="R214" i="6"/>
  <c r="S214" i="6"/>
  <c r="Q215" i="6"/>
  <c r="R215" i="6"/>
  <c r="S215" i="6"/>
  <c r="Q216" i="6"/>
  <c r="R216" i="6"/>
  <c r="S216" i="6"/>
  <c r="Q217" i="6"/>
  <c r="R217" i="6"/>
  <c r="S217" i="6"/>
  <c r="Q218" i="6"/>
  <c r="R218" i="6"/>
  <c r="S218" i="6"/>
  <c r="Q219" i="6"/>
  <c r="R219" i="6"/>
  <c r="S219" i="6"/>
  <c r="Q220" i="6"/>
  <c r="R220" i="6"/>
  <c r="S220" i="6"/>
  <c r="Q221" i="6"/>
  <c r="R221" i="6"/>
  <c r="S221" i="6"/>
  <c r="Q222" i="6"/>
  <c r="R222" i="6"/>
  <c r="S222" i="6"/>
  <c r="Q223" i="6"/>
  <c r="R223" i="6"/>
  <c r="S223" i="6"/>
  <c r="Q224" i="6"/>
  <c r="R224" i="6"/>
  <c r="S224" i="6"/>
  <c r="Q225" i="6"/>
  <c r="R225" i="6"/>
  <c r="S225" i="6"/>
  <c r="Q226" i="6"/>
  <c r="R226" i="6"/>
  <c r="S226" i="6"/>
  <c r="Q227" i="6"/>
  <c r="R227" i="6"/>
  <c r="S227" i="6"/>
  <c r="Q228" i="6"/>
  <c r="R228" i="6"/>
  <c r="S228" i="6"/>
  <c r="Q229" i="6"/>
  <c r="R229" i="6"/>
  <c r="S229" i="6"/>
  <c r="Q230" i="6"/>
  <c r="R230" i="6"/>
  <c r="S230" i="6"/>
  <c r="Q231" i="6"/>
  <c r="R231" i="6"/>
  <c r="S231" i="6"/>
  <c r="Q232" i="6"/>
  <c r="R232" i="6"/>
  <c r="S232" i="6"/>
  <c r="Q233" i="6"/>
  <c r="R233" i="6"/>
  <c r="S233" i="6"/>
  <c r="Q234" i="6"/>
  <c r="R234" i="6"/>
  <c r="S234" i="6"/>
  <c r="Q235" i="6"/>
  <c r="R235" i="6"/>
  <c r="S235" i="6"/>
  <c r="Q236" i="6"/>
  <c r="R236" i="6"/>
  <c r="S236" i="6"/>
  <c r="Q237" i="6"/>
  <c r="R237" i="6"/>
  <c r="S237" i="6"/>
  <c r="Q238" i="6"/>
  <c r="R238" i="6"/>
  <c r="S238" i="6"/>
  <c r="Q239" i="6"/>
  <c r="R239" i="6"/>
  <c r="S239" i="6"/>
  <c r="Q240" i="6"/>
  <c r="R240" i="6"/>
  <c r="S240" i="6"/>
  <c r="Q241" i="6"/>
  <c r="R241" i="6"/>
  <c r="S241" i="6"/>
  <c r="Q242" i="6"/>
  <c r="R242" i="6"/>
  <c r="S242" i="6"/>
  <c r="Q243" i="6"/>
  <c r="R243" i="6"/>
  <c r="S243" i="6"/>
  <c r="Q244" i="6"/>
  <c r="R244" i="6"/>
  <c r="S244" i="6"/>
  <c r="Q245" i="6"/>
  <c r="R245" i="6"/>
  <c r="S245" i="6"/>
  <c r="Q246" i="6"/>
  <c r="R246" i="6"/>
  <c r="S246" i="6"/>
  <c r="Q247" i="6"/>
  <c r="R247" i="6"/>
  <c r="S247" i="6"/>
  <c r="Q248" i="6"/>
  <c r="R248" i="6"/>
  <c r="S248" i="6"/>
  <c r="Q249" i="6"/>
  <c r="R249" i="6"/>
  <c r="S249" i="6"/>
  <c r="Q250" i="6"/>
  <c r="R250" i="6"/>
  <c r="S250" i="6"/>
  <c r="Q251" i="6"/>
  <c r="R251" i="6"/>
  <c r="S251" i="6"/>
  <c r="Q252" i="6"/>
  <c r="R252" i="6"/>
  <c r="S252" i="6"/>
  <c r="Q253" i="6"/>
  <c r="R253" i="6"/>
  <c r="S253" i="6"/>
  <c r="Q254" i="6"/>
  <c r="R254" i="6"/>
  <c r="S254" i="6"/>
  <c r="Q255" i="6"/>
  <c r="R255" i="6"/>
  <c r="S255" i="6"/>
  <c r="Q256" i="6"/>
  <c r="R256" i="6"/>
  <c r="S256" i="6"/>
  <c r="Q257" i="6"/>
  <c r="R257" i="6"/>
  <c r="S257" i="6"/>
  <c r="Q258" i="6"/>
  <c r="R258" i="6"/>
  <c r="S258" i="6"/>
  <c r="Q259" i="6"/>
  <c r="R259" i="6"/>
  <c r="S259" i="6"/>
  <c r="Q260" i="6"/>
  <c r="R260" i="6"/>
  <c r="S260" i="6"/>
  <c r="Q261" i="6"/>
  <c r="R261" i="6"/>
  <c r="S261" i="6"/>
  <c r="Q262" i="6"/>
  <c r="R262" i="6"/>
  <c r="S262" i="6"/>
  <c r="Q263" i="6"/>
  <c r="R263" i="6"/>
  <c r="S263" i="6"/>
  <c r="Q264" i="6"/>
  <c r="R264" i="6"/>
  <c r="S264" i="6"/>
  <c r="Q265" i="6"/>
  <c r="R265" i="6"/>
  <c r="S265" i="6"/>
  <c r="Q266" i="6"/>
  <c r="R266" i="6"/>
  <c r="S266" i="6"/>
  <c r="Q267" i="6"/>
  <c r="R267" i="6"/>
  <c r="S267" i="6"/>
  <c r="Q268" i="6"/>
  <c r="R268" i="6"/>
  <c r="S268" i="6"/>
  <c r="Q269" i="6"/>
  <c r="R269" i="6"/>
  <c r="S269" i="6"/>
  <c r="Q270" i="6"/>
  <c r="R270" i="6"/>
  <c r="S270" i="6"/>
  <c r="Q271" i="6"/>
  <c r="R271" i="6"/>
  <c r="S271" i="6"/>
  <c r="Q272" i="6"/>
  <c r="R272" i="6"/>
  <c r="S272" i="6"/>
  <c r="Q273" i="6"/>
  <c r="R273" i="6"/>
  <c r="S273" i="6"/>
  <c r="Q274" i="6"/>
  <c r="R274" i="6"/>
  <c r="S274" i="6"/>
  <c r="Q275" i="6"/>
  <c r="R275" i="6"/>
  <c r="S275" i="6"/>
  <c r="Q276" i="6"/>
  <c r="R276" i="6"/>
  <c r="S276" i="6"/>
  <c r="Q277" i="6"/>
  <c r="R277" i="6"/>
  <c r="S277" i="6"/>
  <c r="Q278" i="6"/>
  <c r="R278" i="6"/>
  <c r="S278" i="6"/>
  <c r="Q279" i="6"/>
  <c r="R279" i="6"/>
  <c r="S279" i="6"/>
  <c r="Q280" i="6"/>
  <c r="R280" i="6"/>
  <c r="S280" i="6"/>
  <c r="Q281" i="6"/>
  <c r="R281" i="6"/>
  <c r="S281" i="6"/>
  <c r="Q282" i="6"/>
  <c r="R282" i="6"/>
  <c r="S282" i="6"/>
  <c r="Q283" i="6"/>
  <c r="R283" i="6"/>
  <c r="S283" i="6"/>
  <c r="Q284" i="6"/>
  <c r="R284" i="6"/>
  <c r="S284" i="6"/>
  <c r="Q285" i="6"/>
  <c r="R285" i="6"/>
  <c r="S285" i="6"/>
  <c r="Q286" i="6"/>
  <c r="R286" i="6"/>
  <c r="S286" i="6"/>
  <c r="Q287" i="6"/>
  <c r="R287" i="6"/>
  <c r="S287" i="6"/>
  <c r="Q288" i="6"/>
  <c r="R288" i="6"/>
  <c r="S288" i="6"/>
  <c r="Q289" i="6"/>
  <c r="R289" i="6"/>
  <c r="S289" i="6"/>
  <c r="Q290" i="6"/>
  <c r="R290" i="6"/>
  <c r="S290" i="6"/>
  <c r="Q291" i="6"/>
  <c r="R291" i="6"/>
  <c r="S291" i="6"/>
  <c r="Q292" i="6"/>
  <c r="R292" i="6"/>
  <c r="S292" i="6"/>
  <c r="Q293" i="6"/>
  <c r="R293" i="6"/>
  <c r="S293" i="6"/>
  <c r="Q294" i="6"/>
  <c r="R294" i="6"/>
  <c r="S294" i="6"/>
  <c r="Q295" i="6"/>
  <c r="R295" i="6"/>
  <c r="S295" i="6"/>
  <c r="Q296" i="6"/>
  <c r="R296" i="6"/>
  <c r="S296" i="6"/>
  <c r="Q297" i="6"/>
  <c r="R297" i="6"/>
  <c r="S297" i="6"/>
  <c r="Q298" i="6"/>
  <c r="R298" i="6"/>
  <c r="S298" i="6"/>
  <c r="Q299" i="6"/>
  <c r="R299" i="6"/>
  <c r="S299" i="6"/>
  <c r="Q300" i="6"/>
  <c r="R300" i="6"/>
  <c r="S300" i="6"/>
  <c r="Q301" i="6"/>
  <c r="R301" i="6"/>
  <c r="S301" i="6"/>
  <c r="Q302" i="6"/>
  <c r="R302" i="6"/>
  <c r="S302" i="6"/>
  <c r="Q303" i="6"/>
  <c r="R303" i="6"/>
  <c r="S303" i="6"/>
  <c r="Q304" i="6"/>
  <c r="R304" i="6"/>
  <c r="S304" i="6"/>
  <c r="Q305" i="6"/>
  <c r="R305" i="6"/>
  <c r="S305" i="6"/>
  <c r="Q306" i="6"/>
  <c r="R306" i="6"/>
  <c r="S306" i="6"/>
  <c r="Q307" i="6"/>
  <c r="R307" i="6"/>
  <c r="S307" i="6"/>
  <c r="Q308" i="6"/>
  <c r="R308" i="6"/>
  <c r="S308" i="6"/>
  <c r="Q309" i="6"/>
  <c r="R309" i="6"/>
  <c r="S309" i="6"/>
  <c r="Q310" i="6"/>
  <c r="R310" i="6"/>
  <c r="S310" i="6"/>
  <c r="Q311" i="6"/>
  <c r="R311" i="6"/>
  <c r="S311" i="6"/>
  <c r="Q312" i="6"/>
  <c r="R312" i="6"/>
  <c r="S312" i="6"/>
  <c r="Q313" i="6"/>
  <c r="R313" i="6"/>
  <c r="S313" i="6"/>
  <c r="Q314" i="6"/>
  <c r="R314" i="6"/>
  <c r="S314" i="6"/>
  <c r="Q315" i="6"/>
  <c r="R315" i="6"/>
  <c r="S315" i="6"/>
  <c r="Q316" i="6"/>
  <c r="R316" i="6"/>
  <c r="S316" i="6"/>
  <c r="Q317" i="6"/>
  <c r="R317" i="6"/>
  <c r="S317" i="6"/>
  <c r="Q318" i="6"/>
  <c r="R318" i="6"/>
  <c r="S318" i="6"/>
  <c r="Q319" i="6"/>
  <c r="R319" i="6"/>
  <c r="S319" i="6"/>
  <c r="Q320" i="6"/>
  <c r="R320" i="6"/>
  <c r="S320" i="6"/>
  <c r="Q321" i="6"/>
  <c r="R321" i="6"/>
  <c r="S321" i="6"/>
  <c r="Q322" i="6"/>
  <c r="R322" i="6"/>
  <c r="S322" i="6"/>
  <c r="Q323" i="6"/>
  <c r="R323" i="6"/>
  <c r="S323" i="6"/>
  <c r="Q324" i="6"/>
  <c r="R324" i="6"/>
  <c r="S324" i="6"/>
  <c r="Q325" i="6"/>
  <c r="R325" i="6"/>
  <c r="S325" i="6"/>
  <c r="Q326" i="6"/>
  <c r="R326" i="6"/>
  <c r="S326" i="6"/>
  <c r="Q327" i="6"/>
  <c r="R327" i="6"/>
  <c r="S327" i="6"/>
  <c r="Q328" i="6"/>
  <c r="R328" i="6"/>
  <c r="S328" i="6"/>
  <c r="G6" i="14"/>
  <c r="A25" i="4" a="1"/>
  <c r="A25" i="4"/>
  <c r="A26" i="4" a="1"/>
  <c r="A26" i="4"/>
  <c r="A27" i="4" a="1"/>
  <c r="A28" i="4" a="1"/>
  <c r="A29" i="4" a="1"/>
  <c r="A30" i="4" a="1"/>
  <c r="A31" i="4" a="1"/>
  <c r="A32" i="4" a="1"/>
  <c r="A33" i="4" a="1"/>
  <c r="A34" i="4" a="1"/>
  <c r="A35" i="4" a="1"/>
  <c r="A36" i="4" a="1"/>
  <c r="A37" i="4" a="1"/>
  <c r="A38" i="4" a="1"/>
  <c r="A39" i="4" a="1"/>
  <c r="A40" i="4" a="1"/>
  <c r="A41" i="4" a="1"/>
  <c r="A42" i="4" a="1"/>
  <c r="A43" i="4" a="1"/>
  <c r="A44" i="4" a="1"/>
  <c r="A45" i="4" a="1"/>
  <c r="A46" i="4" a="1"/>
  <c r="A47" i="4" a="1"/>
  <c r="A48" i="4" a="1"/>
  <c r="A49" i="4" a="1"/>
  <c r="A50" i="4" a="1"/>
  <c r="A51" i="4" a="1"/>
  <c r="A52" i="4" a="1"/>
  <c r="A53" i="4" a="1"/>
  <c r="A54" i="4" a="1"/>
  <c r="A55" i="4" a="1"/>
  <c r="A56" i="4" a="1"/>
  <c r="A57" i="4" a="1"/>
  <c r="A58" i="4" a="1"/>
  <c r="A59" i="4" a="1"/>
  <c r="A60" i="4" a="1"/>
  <c r="G26" i="4"/>
  <c r="H26" i="4"/>
  <c r="A27" i="4"/>
  <c r="G27" i="4"/>
  <c r="H27" i="4"/>
  <c r="A28" i="4"/>
  <c r="G28" i="4"/>
  <c r="H28" i="4"/>
  <c r="A29" i="4"/>
  <c r="G29" i="4"/>
  <c r="H29" i="4"/>
  <c r="A30" i="4"/>
  <c r="G30" i="4"/>
  <c r="H30" i="4"/>
  <c r="A31" i="4"/>
  <c r="G31" i="4"/>
  <c r="H31" i="4"/>
  <c r="A32" i="4"/>
  <c r="G32" i="4"/>
  <c r="H32" i="4"/>
  <c r="A33" i="4"/>
  <c r="G33" i="4"/>
  <c r="H33" i="4"/>
  <c r="A34" i="4"/>
  <c r="G34" i="4"/>
  <c r="H34" i="4"/>
  <c r="A35" i="4"/>
  <c r="G35" i="4"/>
  <c r="H35" i="4"/>
  <c r="A36" i="4"/>
  <c r="G36" i="4"/>
  <c r="H36" i="4"/>
  <c r="A37" i="4"/>
  <c r="G37" i="4"/>
  <c r="H37" i="4"/>
  <c r="A38" i="4"/>
  <c r="G38" i="4"/>
  <c r="H38" i="4"/>
  <c r="A39" i="4"/>
  <c r="G39" i="4"/>
  <c r="H39" i="4"/>
  <c r="A40" i="4"/>
  <c r="G40" i="4"/>
  <c r="H40" i="4"/>
  <c r="A41" i="4"/>
  <c r="G41" i="4"/>
  <c r="H41" i="4"/>
  <c r="A42" i="4"/>
  <c r="G42" i="4"/>
  <c r="H42" i="4"/>
  <c r="A43" i="4"/>
  <c r="G43" i="4"/>
  <c r="H43" i="4"/>
  <c r="A44" i="4"/>
  <c r="G44" i="4"/>
  <c r="H44" i="4"/>
  <c r="A45" i="4"/>
  <c r="G45" i="4"/>
  <c r="H45" i="4"/>
  <c r="A46" i="4"/>
  <c r="G46" i="4"/>
  <c r="H46" i="4"/>
  <c r="A47" i="4"/>
  <c r="G47" i="4"/>
  <c r="H47" i="4"/>
  <c r="A48" i="4"/>
  <c r="G48" i="4"/>
  <c r="H48" i="4"/>
  <c r="A49" i="4"/>
  <c r="G49" i="4"/>
  <c r="H49" i="4"/>
  <c r="A50" i="4"/>
  <c r="G50" i="4"/>
  <c r="H50" i="4"/>
  <c r="A51" i="4"/>
  <c r="G51" i="4"/>
  <c r="H51" i="4"/>
  <c r="A52" i="4"/>
  <c r="G52" i="4"/>
  <c r="H52" i="4"/>
  <c r="A53" i="4"/>
  <c r="G53" i="4"/>
  <c r="H53" i="4"/>
  <c r="A54" i="4"/>
  <c r="G54" i="4"/>
  <c r="H54" i="4"/>
  <c r="A55" i="4"/>
  <c r="G55" i="4"/>
  <c r="H55" i="4"/>
  <c r="A56" i="4"/>
  <c r="G56" i="4"/>
  <c r="H56" i="4"/>
  <c r="A57" i="4"/>
  <c r="G57" i="4"/>
  <c r="H57" i="4"/>
  <c r="A58" i="4"/>
  <c r="G58" i="4"/>
  <c r="H58" i="4"/>
  <c r="A59" i="4"/>
  <c r="G59" i="4"/>
  <c r="H59" i="4"/>
  <c r="A60" i="4"/>
  <c r="G60" i="4"/>
  <c r="H60" i="4"/>
  <c r="D2" i="11"/>
  <c r="E2" i="11"/>
  <c r="D3" i="11"/>
  <c r="E3" i="11"/>
  <c r="D4" i="11"/>
  <c r="E4" i="11"/>
  <c r="D5" i="11"/>
  <c r="E5" i="11"/>
  <c r="D6" i="11"/>
  <c r="E6" i="11"/>
  <c r="D7" i="11"/>
  <c r="E7" i="11"/>
  <c r="D8" i="11"/>
  <c r="E8" i="11"/>
  <c r="D9" i="11"/>
  <c r="E9" i="11"/>
  <c r="D10" i="11"/>
  <c r="E10" i="11"/>
  <c r="D11" i="11"/>
  <c r="E11" i="11"/>
  <c r="D12" i="11"/>
  <c r="E12" i="11"/>
  <c r="D13" i="11"/>
  <c r="E13" i="11"/>
  <c r="D14" i="11"/>
  <c r="E14" i="11"/>
  <c r="D15" i="11"/>
  <c r="E15" i="11"/>
  <c r="D18" i="11"/>
  <c r="E18" i="11"/>
  <c r="D19" i="11"/>
  <c r="E19" i="11"/>
  <c r="D21" i="11"/>
  <c r="E21" i="11"/>
  <c r="D22" i="11"/>
  <c r="E22" i="11"/>
  <c r="D23" i="11"/>
  <c r="E23" i="11"/>
  <c r="D24" i="11"/>
  <c r="E24" i="11"/>
  <c r="D25" i="11"/>
  <c r="E25" i="11"/>
  <c r="D26" i="11"/>
  <c r="E26" i="11"/>
  <c r="D27" i="11"/>
  <c r="E27" i="11"/>
  <c r="D28" i="11"/>
  <c r="E28" i="11"/>
  <c r="D29" i="11"/>
  <c r="E29" i="11"/>
  <c r="D30" i="11"/>
  <c r="E30" i="11"/>
  <c r="D31" i="11"/>
  <c r="E31" i="11"/>
  <c r="D32" i="11"/>
  <c r="E32" i="11"/>
  <c r="D33" i="11"/>
  <c r="E33" i="11"/>
  <c r="D34" i="11"/>
  <c r="E34" i="11"/>
  <c r="D35" i="11"/>
  <c r="E35" i="11"/>
  <c r="D36" i="11"/>
  <c r="E36" i="11"/>
  <c r="D37" i="11"/>
  <c r="E37" i="11"/>
  <c r="D38" i="11"/>
  <c r="E38" i="11"/>
  <c r="D39" i="11"/>
  <c r="E39" i="11"/>
  <c r="D40" i="11"/>
  <c r="E40" i="11"/>
  <c r="D41" i="11"/>
  <c r="E41" i="11"/>
  <c r="D42" i="11"/>
  <c r="E42" i="11"/>
  <c r="D43" i="11"/>
  <c r="E43" i="11"/>
  <c r="D44" i="11"/>
  <c r="E44" i="11"/>
  <c r="D45" i="11"/>
  <c r="E45" i="11"/>
  <c r="D46" i="11"/>
  <c r="E46" i="11"/>
  <c r="D47" i="11"/>
  <c r="E47" i="11"/>
  <c r="D48" i="11"/>
  <c r="E48" i="11"/>
  <c r="D50" i="11"/>
  <c r="E50" i="11"/>
  <c r="D51" i="11"/>
  <c r="E51" i="11"/>
  <c r="D52" i="11"/>
  <c r="E52" i="11"/>
  <c r="D53" i="11"/>
  <c r="E53" i="11"/>
  <c r="D55" i="11"/>
  <c r="E55" i="11"/>
  <c r="D56" i="11"/>
  <c r="E56" i="11"/>
  <c r="D57" i="11"/>
  <c r="E57" i="11"/>
  <c r="D58" i="11"/>
  <c r="E58" i="11"/>
  <c r="D59" i="11"/>
  <c r="E59" i="11"/>
  <c r="D60" i="11"/>
  <c r="E60" i="11"/>
  <c r="D61" i="11"/>
  <c r="E61" i="11"/>
  <c r="D62" i="11"/>
  <c r="E62" i="11"/>
  <c r="D63" i="11"/>
  <c r="E63" i="11"/>
  <c r="D64" i="11"/>
  <c r="E64" i="11"/>
  <c r="D65" i="11"/>
  <c r="E65" i="11"/>
  <c r="D66" i="11"/>
  <c r="E66" i="11"/>
  <c r="D67" i="11"/>
  <c r="E67" i="11"/>
  <c r="D68" i="11"/>
  <c r="E68" i="11"/>
  <c r="D69" i="11"/>
  <c r="E69" i="11"/>
  <c r="D70" i="11"/>
  <c r="E70" i="11"/>
  <c r="D71" i="11"/>
  <c r="E71" i="11"/>
  <c r="D72" i="11"/>
  <c r="E72" i="11"/>
  <c r="D73" i="11"/>
  <c r="E73" i="11"/>
  <c r="D74" i="11"/>
  <c r="E74" i="11"/>
  <c r="D75" i="11"/>
  <c r="E75" i="11"/>
  <c r="D76" i="11"/>
  <c r="E76" i="11"/>
  <c r="D77" i="11"/>
  <c r="E77" i="11"/>
  <c r="D78" i="11"/>
  <c r="E78" i="11"/>
  <c r="D79" i="11"/>
  <c r="E79" i="11"/>
  <c r="D80" i="11"/>
  <c r="E80" i="11"/>
  <c r="D81" i="11"/>
  <c r="E81" i="11"/>
  <c r="D82" i="11"/>
  <c r="E82" i="11"/>
  <c r="D83" i="11"/>
  <c r="E83" i="11"/>
  <c r="D84" i="11"/>
  <c r="E84" i="11"/>
  <c r="D85" i="11"/>
  <c r="E85" i="11"/>
  <c r="D86" i="11"/>
  <c r="E86" i="11"/>
  <c r="D87" i="11"/>
  <c r="E87" i="11"/>
  <c r="D88" i="11"/>
  <c r="E88" i="11"/>
  <c r="D89" i="11"/>
  <c r="E89" i="11"/>
  <c r="D90" i="11"/>
  <c r="E90" i="11"/>
  <c r="D91" i="11"/>
  <c r="E91" i="11"/>
  <c r="D92" i="11"/>
  <c r="E92" i="11"/>
  <c r="D93" i="11"/>
  <c r="E93" i="11"/>
  <c r="D94" i="11"/>
  <c r="E94" i="11"/>
  <c r="D95" i="11"/>
  <c r="E95" i="11"/>
  <c r="D96" i="11"/>
  <c r="E96" i="11"/>
  <c r="D97" i="11"/>
  <c r="E97" i="11"/>
  <c r="D98" i="11"/>
  <c r="E98" i="11"/>
  <c r="D99" i="11"/>
  <c r="E99" i="11"/>
  <c r="D100" i="11"/>
  <c r="E100" i="11"/>
  <c r="D101" i="11"/>
  <c r="E101" i="11"/>
  <c r="D102" i="11"/>
  <c r="E102" i="11"/>
  <c r="D103" i="11"/>
  <c r="E103" i="11"/>
  <c r="D104" i="11"/>
  <c r="E104" i="11"/>
  <c r="D105" i="11"/>
  <c r="E105" i="11"/>
  <c r="D106" i="11"/>
  <c r="E106" i="11"/>
  <c r="D107" i="11"/>
  <c r="E107" i="11"/>
  <c r="D108" i="11"/>
  <c r="E108" i="11"/>
  <c r="D109" i="11"/>
  <c r="E109" i="11"/>
  <c r="D110" i="11"/>
  <c r="E110" i="11"/>
  <c r="D111" i="11"/>
  <c r="E111" i="11"/>
  <c r="D112" i="11"/>
  <c r="E112" i="11"/>
  <c r="D113" i="11"/>
  <c r="E113" i="11"/>
  <c r="D114" i="11"/>
  <c r="E114" i="11"/>
  <c r="D115" i="11"/>
  <c r="E115" i="11"/>
  <c r="D116" i="11"/>
  <c r="E116" i="11"/>
  <c r="D117" i="11"/>
  <c r="E117" i="11"/>
  <c r="D118" i="11"/>
  <c r="E118" i="11"/>
  <c r="D119" i="11"/>
  <c r="E119" i="11"/>
  <c r="D120" i="11"/>
  <c r="E120" i="11"/>
  <c r="D121" i="11"/>
  <c r="E121" i="11"/>
  <c r="D122" i="11"/>
  <c r="E122" i="11"/>
  <c r="D123" i="11"/>
  <c r="E123" i="11"/>
  <c r="D124" i="11"/>
  <c r="E124" i="11"/>
  <c r="D125" i="11"/>
  <c r="E125" i="11"/>
  <c r="D126" i="11"/>
  <c r="E126" i="11"/>
  <c r="D127" i="11"/>
  <c r="E127" i="11"/>
  <c r="J2" i="11"/>
  <c r="L2" i="11"/>
  <c r="K2" i="11"/>
  <c r="M2" i="11"/>
  <c r="N2" i="11"/>
  <c r="J3" i="11"/>
  <c r="L3" i="11"/>
  <c r="K3" i="11"/>
  <c r="M3" i="11"/>
  <c r="N3" i="11"/>
  <c r="J4" i="11"/>
  <c r="L4" i="11"/>
  <c r="K4" i="11"/>
  <c r="M4" i="11"/>
  <c r="N4" i="11"/>
  <c r="J5" i="11"/>
  <c r="L5" i="11"/>
  <c r="K5" i="11"/>
  <c r="M5" i="11"/>
  <c r="N5" i="11"/>
  <c r="J6" i="11"/>
  <c r="L6" i="11"/>
  <c r="K6" i="11"/>
  <c r="M6" i="11"/>
  <c r="N6" i="11"/>
  <c r="J7" i="11"/>
  <c r="L7" i="11"/>
  <c r="K7" i="11"/>
  <c r="M7" i="11"/>
  <c r="N7" i="11"/>
  <c r="J8" i="11"/>
  <c r="L8" i="11"/>
  <c r="K8" i="11"/>
  <c r="M8" i="11"/>
  <c r="N8" i="11"/>
  <c r="J9" i="11"/>
  <c r="L9" i="11"/>
  <c r="K9" i="11"/>
  <c r="M9" i="11"/>
  <c r="N9" i="11"/>
  <c r="J10" i="11"/>
  <c r="L10" i="11"/>
  <c r="K10" i="11"/>
  <c r="M10" i="11"/>
  <c r="N10" i="11"/>
  <c r="J11" i="11"/>
  <c r="L11" i="11"/>
  <c r="K11" i="11"/>
  <c r="M11" i="11"/>
  <c r="N11" i="11"/>
  <c r="J12" i="11"/>
  <c r="L12" i="11"/>
  <c r="K12" i="11"/>
  <c r="M12" i="11"/>
  <c r="N12" i="11"/>
  <c r="J13" i="11"/>
  <c r="L13" i="11"/>
  <c r="K13" i="11"/>
  <c r="M13" i="11"/>
  <c r="N13" i="11"/>
  <c r="J14" i="11"/>
  <c r="L14" i="11"/>
  <c r="K14" i="11"/>
  <c r="M14" i="11"/>
  <c r="N14" i="11"/>
  <c r="J15" i="11"/>
  <c r="L15" i="11"/>
  <c r="K15" i="11"/>
  <c r="M15" i="11"/>
  <c r="N15" i="11"/>
  <c r="J16" i="11"/>
  <c r="L16" i="11"/>
  <c r="K16" i="11"/>
  <c r="M16" i="11"/>
  <c r="N16" i="11"/>
  <c r="J17" i="11"/>
  <c r="L17" i="11"/>
  <c r="K17" i="11"/>
  <c r="M17" i="11"/>
  <c r="N17" i="11"/>
  <c r="J18" i="11"/>
  <c r="L18" i="11"/>
  <c r="K18" i="11"/>
  <c r="M18" i="11"/>
  <c r="N18" i="11"/>
  <c r="J19" i="11"/>
  <c r="L19" i="11"/>
  <c r="K19" i="11"/>
  <c r="M19" i="11"/>
  <c r="N19" i="11"/>
  <c r="J20" i="11"/>
  <c r="L20" i="11"/>
  <c r="K20" i="11"/>
  <c r="M20" i="11"/>
  <c r="N20" i="11"/>
  <c r="J21" i="11"/>
  <c r="L21" i="11"/>
  <c r="K21" i="11"/>
  <c r="M21" i="11"/>
  <c r="N21" i="11"/>
  <c r="J22" i="11"/>
  <c r="L22" i="11"/>
  <c r="K22" i="11"/>
  <c r="M22" i="11"/>
  <c r="N22" i="11"/>
  <c r="J23" i="11"/>
  <c r="L23" i="11"/>
  <c r="K23" i="11"/>
  <c r="M23" i="11"/>
  <c r="N23" i="11"/>
  <c r="J24" i="11"/>
  <c r="L24" i="11"/>
  <c r="K24" i="11"/>
  <c r="M24" i="11"/>
  <c r="N24" i="11"/>
  <c r="J25" i="11"/>
  <c r="L25" i="11"/>
  <c r="K25" i="11"/>
  <c r="M25" i="11"/>
  <c r="N25" i="11"/>
  <c r="J26" i="11"/>
  <c r="L26" i="11"/>
  <c r="K26" i="11"/>
  <c r="M26" i="11"/>
  <c r="N26" i="11"/>
  <c r="J27" i="11"/>
  <c r="L27" i="11"/>
  <c r="K27" i="11"/>
  <c r="M27" i="11"/>
  <c r="N27" i="11"/>
  <c r="J28" i="11"/>
  <c r="L28" i="11"/>
  <c r="K28" i="11"/>
  <c r="M28" i="11"/>
  <c r="N28" i="11"/>
  <c r="J29" i="11"/>
  <c r="L29" i="11"/>
  <c r="K29" i="11"/>
  <c r="M29" i="11"/>
  <c r="N29" i="11"/>
  <c r="J30" i="11"/>
  <c r="L30" i="11"/>
  <c r="K30" i="11"/>
  <c r="M30" i="11"/>
  <c r="N30" i="11"/>
  <c r="J31" i="11"/>
  <c r="L31" i="11"/>
  <c r="K31" i="11"/>
  <c r="M31" i="11"/>
  <c r="N31" i="11"/>
  <c r="J32" i="11"/>
  <c r="L32" i="11"/>
  <c r="K32" i="11"/>
  <c r="M32" i="11"/>
  <c r="N32" i="11"/>
  <c r="J33" i="11"/>
  <c r="L33" i="11"/>
  <c r="K33" i="11"/>
  <c r="M33" i="11"/>
  <c r="N33" i="11"/>
  <c r="J34" i="11"/>
  <c r="L34" i="11"/>
  <c r="K34" i="11"/>
  <c r="M34" i="11"/>
  <c r="N34" i="11"/>
  <c r="J35" i="11"/>
  <c r="L35" i="11"/>
  <c r="K35" i="11"/>
  <c r="M35" i="11"/>
  <c r="N35" i="11"/>
  <c r="J36" i="11"/>
  <c r="L36" i="11"/>
  <c r="K36" i="11"/>
  <c r="M36" i="11"/>
  <c r="N36" i="11"/>
  <c r="J37" i="11"/>
  <c r="L37" i="11"/>
  <c r="K37" i="11"/>
  <c r="M37" i="11"/>
  <c r="N37" i="11"/>
  <c r="J38" i="11"/>
  <c r="L38" i="11"/>
  <c r="K38" i="11"/>
  <c r="M38" i="11"/>
  <c r="N38" i="11"/>
  <c r="J39" i="11"/>
  <c r="L39" i="11"/>
  <c r="K39" i="11"/>
  <c r="M39" i="11"/>
  <c r="N39" i="11"/>
  <c r="J40" i="11"/>
  <c r="L40" i="11"/>
  <c r="K40" i="11"/>
  <c r="M40" i="11"/>
  <c r="N40" i="11"/>
  <c r="J41" i="11"/>
  <c r="L41" i="11"/>
  <c r="K41" i="11"/>
  <c r="M41" i="11"/>
  <c r="N41" i="11"/>
  <c r="J42" i="11"/>
  <c r="L42" i="11"/>
  <c r="K42" i="11"/>
  <c r="M42" i="11"/>
  <c r="N42" i="11"/>
  <c r="J43" i="11"/>
  <c r="L43" i="11"/>
  <c r="K43" i="11"/>
  <c r="M43" i="11"/>
  <c r="N43" i="11"/>
  <c r="J44" i="11"/>
  <c r="L44" i="11"/>
  <c r="K44" i="11"/>
  <c r="M44" i="11"/>
  <c r="N44" i="11"/>
  <c r="J45" i="11"/>
  <c r="L45" i="11"/>
  <c r="K45" i="11"/>
  <c r="M45" i="11"/>
  <c r="N45" i="11"/>
  <c r="J46" i="11"/>
  <c r="L46" i="11"/>
  <c r="K46" i="11"/>
  <c r="M46" i="11"/>
  <c r="N46" i="11"/>
  <c r="J47" i="11"/>
  <c r="L47" i="11"/>
  <c r="K47" i="11"/>
  <c r="M47" i="11"/>
  <c r="N47" i="11"/>
  <c r="J48" i="11"/>
  <c r="L48" i="11"/>
  <c r="K48" i="11"/>
  <c r="M48" i="11"/>
  <c r="N48" i="11"/>
  <c r="J49" i="11"/>
  <c r="L49" i="11"/>
  <c r="K49" i="11"/>
  <c r="M49" i="11"/>
  <c r="N49" i="11"/>
  <c r="J50" i="11"/>
  <c r="L50" i="11"/>
  <c r="K50" i="11"/>
  <c r="M50" i="11"/>
  <c r="N50" i="11"/>
  <c r="J51" i="11"/>
  <c r="L51" i="11"/>
  <c r="K51" i="11"/>
  <c r="M51" i="11"/>
  <c r="N51" i="11"/>
  <c r="J52" i="11"/>
  <c r="L52" i="11"/>
  <c r="K52" i="11"/>
  <c r="M52" i="11"/>
  <c r="N52" i="11"/>
  <c r="J53" i="11"/>
  <c r="L53" i="11"/>
  <c r="K53" i="11"/>
  <c r="M53" i="11"/>
  <c r="N53" i="11"/>
  <c r="J54" i="11"/>
  <c r="L54" i="11"/>
  <c r="K54" i="11"/>
  <c r="M54" i="11"/>
  <c r="N54" i="11"/>
  <c r="J55" i="11"/>
  <c r="L55" i="11"/>
  <c r="K55" i="11"/>
  <c r="M55" i="11"/>
  <c r="N55" i="11"/>
  <c r="J56" i="11"/>
  <c r="L56" i="11"/>
  <c r="K56" i="11"/>
  <c r="M56" i="11"/>
  <c r="N56" i="11"/>
  <c r="J57" i="11"/>
  <c r="L57" i="11"/>
  <c r="K57" i="11"/>
  <c r="M57" i="11"/>
  <c r="N57" i="11"/>
  <c r="J58" i="11"/>
  <c r="L58" i="11"/>
  <c r="K58" i="11"/>
  <c r="M58" i="11"/>
  <c r="N58" i="11"/>
  <c r="J59" i="11"/>
  <c r="L59" i="11"/>
  <c r="K59" i="11"/>
  <c r="M59" i="11"/>
  <c r="N59" i="11"/>
  <c r="J60" i="11"/>
  <c r="L60" i="11"/>
  <c r="K60" i="11"/>
  <c r="M60" i="11"/>
  <c r="N60" i="11"/>
  <c r="J61" i="11"/>
  <c r="L61" i="11"/>
  <c r="K61" i="11"/>
  <c r="M61" i="11"/>
  <c r="N61" i="11"/>
  <c r="J62" i="11"/>
  <c r="L62" i="11"/>
  <c r="K62" i="11"/>
  <c r="M62" i="11"/>
  <c r="N62" i="11"/>
  <c r="J63" i="11"/>
  <c r="L63" i="11"/>
  <c r="K63" i="11"/>
  <c r="M63" i="11"/>
  <c r="N63" i="11"/>
  <c r="J64" i="11"/>
  <c r="L64" i="11"/>
  <c r="K64" i="11"/>
  <c r="M64" i="11"/>
  <c r="N64" i="11"/>
  <c r="J65" i="11"/>
  <c r="L65" i="11"/>
  <c r="K65" i="11"/>
  <c r="M65" i="11"/>
  <c r="N65" i="11"/>
  <c r="J66" i="11"/>
  <c r="L66" i="11"/>
  <c r="K66" i="11"/>
  <c r="M66" i="11"/>
  <c r="N66" i="11"/>
  <c r="J67" i="11"/>
  <c r="L67" i="11"/>
  <c r="K67" i="11"/>
  <c r="M67" i="11"/>
  <c r="N67" i="11"/>
  <c r="J68" i="11"/>
  <c r="L68" i="11"/>
  <c r="K68" i="11"/>
  <c r="M68" i="11"/>
  <c r="N68" i="11"/>
  <c r="J69" i="11"/>
  <c r="L69" i="11"/>
  <c r="K69" i="11"/>
  <c r="M69" i="11"/>
  <c r="N69" i="11"/>
  <c r="J70" i="11"/>
  <c r="L70" i="11"/>
  <c r="K70" i="11"/>
  <c r="M70" i="11"/>
  <c r="N70" i="11"/>
  <c r="J71" i="11"/>
  <c r="L71" i="11"/>
  <c r="K71" i="11"/>
  <c r="M71" i="11"/>
  <c r="N71" i="11"/>
  <c r="J72" i="11"/>
  <c r="L72" i="11"/>
  <c r="K72" i="11"/>
  <c r="M72" i="11"/>
  <c r="N72" i="11"/>
  <c r="J73" i="11"/>
  <c r="L73" i="11"/>
  <c r="K73" i="11"/>
  <c r="M73" i="11"/>
  <c r="N73" i="11"/>
  <c r="J74" i="11"/>
  <c r="L74" i="11"/>
  <c r="K74" i="11"/>
  <c r="M74" i="11"/>
  <c r="N74" i="11"/>
  <c r="J75" i="11"/>
  <c r="L75" i="11"/>
  <c r="K75" i="11"/>
  <c r="M75" i="11"/>
  <c r="N75" i="11"/>
  <c r="J76" i="11"/>
  <c r="L76" i="11"/>
  <c r="K76" i="11"/>
  <c r="M76" i="11"/>
  <c r="N76" i="11"/>
  <c r="J77" i="11"/>
  <c r="L77" i="11"/>
  <c r="K77" i="11"/>
  <c r="M77" i="11"/>
  <c r="N77" i="11"/>
  <c r="J78" i="11"/>
  <c r="L78" i="11"/>
  <c r="K78" i="11"/>
  <c r="M78" i="11"/>
  <c r="N78" i="11"/>
  <c r="J79" i="11"/>
  <c r="L79" i="11"/>
  <c r="K79" i="11"/>
  <c r="M79" i="11"/>
  <c r="N79" i="11"/>
  <c r="J80" i="11"/>
  <c r="L80" i="11"/>
  <c r="K80" i="11"/>
  <c r="M80" i="11"/>
  <c r="N80" i="11"/>
  <c r="J81" i="11"/>
  <c r="L81" i="11"/>
  <c r="K81" i="11"/>
  <c r="M81" i="11"/>
  <c r="N81" i="11"/>
  <c r="J82" i="11"/>
  <c r="L82" i="11"/>
  <c r="K82" i="11"/>
  <c r="M82" i="11"/>
  <c r="N82" i="11"/>
  <c r="J83" i="11"/>
  <c r="L83" i="11"/>
  <c r="K83" i="11"/>
  <c r="M83" i="11"/>
  <c r="N83" i="11"/>
  <c r="J84" i="11"/>
  <c r="L84" i="11"/>
  <c r="K84" i="11"/>
  <c r="M84" i="11"/>
  <c r="N84" i="11"/>
  <c r="J85" i="11"/>
  <c r="L85" i="11"/>
  <c r="K85" i="11"/>
  <c r="M85" i="11"/>
  <c r="N85" i="11"/>
  <c r="J86" i="11"/>
  <c r="L86" i="11"/>
  <c r="K86" i="11"/>
  <c r="M86" i="11"/>
  <c r="N86" i="11"/>
  <c r="J87" i="11"/>
  <c r="L87" i="11"/>
  <c r="K87" i="11"/>
  <c r="M87" i="11"/>
  <c r="N87" i="11"/>
  <c r="J88" i="11"/>
  <c r="L88" i="11"/>
  <c r="K88" i="11"/>
  <c r="M88" i="11"/>
  <c r="N88" i="11"/>
  <c r="J89" i="11"/>
  <c r="L89" i="11"/>
  <c r="K89" i="11"/>
  <c r="M89" i="11"/>
  <c r="N89" i="11"/>
  <c r="J90" i="11"/>
  <c r="L90" i="11"/>
  <c r="K90" i="11"/>
  <c r="M90" i="11"/>
  <c r="N90" i="11"/>
  <c r="J91" i="11"/>
  <c r="L91" i="11"/>
  <c r="K91" i="11"/>
  <c r="M91" i="11"/>
  <c r="N91" i="11"/>
  <c r="J92" i="11"/>
  <c r="L92" i="11"/>
  <c r="K92" i="11"/>
  <c r="M92" i="11"/>
  <c r="N92" i="11"/>
  <c r="J93" i="11"/>
  <c r="L93" i="11"/>
  <c r="K93" i="11"/>
  <c r="M93" i="11"/>
  <c r="N93" i="11"/>
  <c r="J94" i="11"/>
  <c r="L94" i="11"/>
  <c r="K94" i="11"/>
  <c r="M94" i="11"/>
  <c r="N94" i="11"/>
  <c r="J95" i="11"/>
  <c r="L95" i="11"/>
  <c r="K95" i="11"/>
  <c r="M95" i="11"/>
  <c r="N95" i="11"/>
  <c r="J96" i="11"/>
  <c r="L96" i="11"/>
  <c r="K96" i="11"/>
  <c r="M96" i="11"/>
  <c r="N96" i="11"/>
  <c r="J97" i="11"/>
  <c r="L97" i="11"/>
  <c r="K97" i="11"/>
  <c r="M97" i="11"/>
  <c r="N97" i="11"/>
  <c r="J98" i="11"/>
  <c r="L98" i="11"/>
  <c r="K98" i="11"/>
  <c r="M98" i="11"/>
  <c r="N98" i="11"/>
  <c r="J99" i="11"/>
  <c r="L99" i="11"/>
  <c r="K99" i="11"/>
  <c r="M99" i="11"/>
  <c r="N99" i="11"/>
  <c r="J100" i="11"/>
  <c r="L100" i="11"/>
  <c r="K100" i="11"/>
  <c r="M100" i="11"/>
  <c r="N100" i="11"/>
  <c r="J101" i="11"/>
  <c r="L101" i="11"/>
  <c r="K101" i="11"/>
  <c r="M101" i="11"/>
  <c r="N101" i="11"/>
  <c r="J102" i="11"/>
  <c r="L102" i="11"/>
  <c r="K102" i="11"/>
  <c r="M102" i="11"/>
  <c r="N102" i="11"/>
  <c r="J103" i="11"/>
  <c r="L103" i="11"/>
  <c r="K103" i="11"/>
  <c r="M103" i="11"/>
  <c r="N103" i="11"/>
  <c r="J104" i="11"/>
  <c r="L104" i="11"/>
  <c r="K104" i="11"/>
  <c r="M104" i="11"/>
  <c r="N104" i="11"/>
  <c r="J105" i="11"/>
  <c r="L105" i="11"/>
  <c r="K105" i="11"/>
  <c r="M105" i="11"/>
  <c r="N105" i="11"/>
  <c r="J106" i="11"/>
  <c r="L106" i="11"/>
  <c r="K106" i="11"/>
  <c r="M106" i="11"/>
  <c r="N106" i="11"/>
  <c r="J107" i="11"/>
  <c r="L107" i="11"/>
  <c r="K107" i="11"/>
  <c r="M107" i="11"/>
  <c r="N107" i="11"/>
  <c r="J108" i="11"/>
  <c r="L108" i="11"/>
  <c r="K108" i="11"/>
  <c r="M108" i="11"/>
  <c r="N108" i="11"/>
  <c r="J109" i="11"/>
  <c r="L109" i="11"/>
  <c r="K109" i="11"/>
  <c r="M109" i="11"/>
  <c r="N109" i="11"/>
  <c r="J110" i="11"/>
  <c r="L110" i="11"/>
  <c r="K110" i="11"/>
  <c r="M110" i="11"/>
  <c r="N110" i="11"/>
  <c r="J111" i="11"/>
  <c r="L111" i="11"/>
  <c r="K111" i="11"/>
  <c r="M111" i="11"/>
  <c r="N111" i="11"/>
  <c r="J112" i="11"/>
  <c r="L112" i="11"/>
  <c r="K112" i="11"/>
  <c r="M112" i="11"/>
  <c r="N112" i="11"/>
  <c r="J113" i="11"/>
  <c r="L113" i="11"/>
  <c r="K113" i="11"/>
  <c r="M113" i="11"/>
  <c r="N113" i="11"/>
  <c r="J114" i="11"/>
  <c r="L114" i="11"/>
  <c r="K114" i="11"/>
  <c r="M114" i="11"/>
  <c r="N114" i="11"/>
  <c r="J115" i="11"/>
  <c r="L115" i="11"/>
  <c r="K115" i="11"/>
  <c r="M115" i="11"/>
  <c r="N115" i="11"/>
  <c r="J116" i="11"/>
  <c r="L116" i="11"/>
  <c r="K116" i="11"/>
  <c r="M116" i="11"/>
  <c r="N116" i="11"/>
  <c r="J117" i="11"/>
  <c r="L117" i="11"/>
  <c r="K117" i="11"/>
  <c r="M117" i="11"/>
  <c r="N117" i="11"/>
  <c r="J118" i="11"/>
  <c r="L118" i="11"/>
  <c r="K118" i="11"/>
  <c r="M118" i="11"/>
  <c r="N118" i="11"/>
  <c r="J119" i="11"/>
  <c r="L119" i="11"/>
  <c r="K119" i="11"/>
  <c r="M119" i="11"/>
  <c r="N119" i="11"/>
  <c r="J120" i="11"/>
  <c r="L120" i="11"/>
  <c r="K120" i="11"/>
  <c r="M120" i="11"/>
  <c r="N120" i="11"/>
  <c r="J121" i="11"/>
  <c r="L121" i="11"/>
  <c r="K121" i="11"/>
  <c r="M121" i="11"/>
  <c r="N121" i="11"/>
  <c r="J122" i="11"/>
  <c r="L122" i="11"/>
  <c r="K122" i="11"/>
  <c r="M122" i="11"/>
  <c r="N122" i="11"/>
  <c r="J123" i="11"/>
  <c r="L123" i="11"/>
  <c r="K123" i="11"/>
  <c r="M123" i="11"/>
  <c r="N123" i="11"/>
  <c r="J124" i="11"/>
  <c r="L124" i="11"/>
  <c r="K124" i="11"/>
  <c r="M124" i="11"/>
  <c r="N124" i="11"/>
  <c r="J125" i="11"/>
  <c r="L125" i="11"/>
  <c r="K125" i="11"/>
  <c r="M125" i="11"/>
  <c r="N125" i="11"/>
  <c r="J126" i="11"/>
  <c r="L126" i="11"/>
  <c r="K126" i="11"/>
  <c r="M126" i="11"/>
  <c r="N126" i="11"/>
  <c r="J127" i="11"/>
  <c r="L127" i="11"/>
  <c r="K127" i="11"/>
  <c r="M127" i="11"/>
  <c r="N127" i="11"/>
  <c r="J128" i="11"/>
  <c r="L128" i="11"/>
  <c r="K128" i="11"/>
  <c r="M128" i="11"/>
  <c r="N128" i="11"/>
  <c r="J129" i="11"/>
  <c r="L129" i="11"/>
  <c r="K129" i="11"/>
  <c r="M129" i="11"/>
  <c r="N129" i="11"/>
  <c r="G7" i="14"/>
  <c r="P5" i="5"/>
  <c r="R5" i="5"/>
  <c r="S5" i="5"/>
  <c r="O6" i="5"/>
  <c r="Q6" i="5"/>
  <c r="P6" i="5"/>
  <c r="R6" i="5"/>
  <c r="S6" i="5"/>
  <c r="O7" i="5"/>
  <c r="Q7" i="5"/>
  <c r="P7" i="5"/>
  <c r="R7" i="5"/>
  <c r="S7" i="5"/>
  <c r="O8" i="5"/>
  <c r="Q8" i="5"/>
  <c r="P8" i="5"/>
  <c r="R8" i="5"/>
  <c r="S8" i="5"/>
  <c r="O9" i="5"/>
  <c r="Q9" i="5"/>
  <c r="P9" i="5"/>
  <c r="R9" i="5"/>
  <c r="S9" i="5"/>
  <c r="O10" i="5"/>
  <c r="Q10" i="5"/>
  <c r="P10" i="5"/>
  <c r="R10" i="5"/>
  <c r="S10" i="5"/>
  <c r="O11" i="5"/>
  <c r="Q11" i="5"/>
  <c r="P11" i="5"/>
  <c r="R11" i="5"/>
  <c r="S11" i="5"/>
  <c r="O12" i="5"/>
  <c r="Q12" i="5"/>
  <c r="P12" i="5"/>
  <c r="R12" i="5"/>
  <c r="S12" i="5"/>
  <c r="O13" i="5"/>
  <c r="Q13" i="5"/>
  <c r="P13" i="5"/>
  <c r="R13" i="5"/>
  <c r="S13" i="5"/>
  <c r="O14" i="5"/>
  <c r="Q14" i="5"/>
  <c r="P14" i="5"/>
  <c r="R14" i="5"/>
  <c r="S14" i="5"/>
  <c r="O15" i="5"/>
  <c r="Q15" i="5"/>
  <c r="P15" i="5"/>
  <c r="R15" i="5"/>
  <c r="S15" i="5"/>
  <c r="O16" i="5"/>
  <c r="Q16" i="5"/>
  <c r="P16" i="5"/>
  <c r="R16" i="5"/>
  <c r="S16" i="5"/>
  <c r="O17" i="5"/>
  <c r="Q17" i="5"/>
  <c r="P17" i="5"/>
  <c r="R17" i="5"/>
  <c r="S17" i="5"/>
  <c r="O18" i="5"/>
  <c r="Q18" i="5"/>
  <c r="P18" i="5"/>
  <c r="R18" i="5"/>
  <c r="S18" i="5"/>
  <c r="O19" i="5"/>
  <c r="Q19" i="5"/>
  <c r="P19" i="5"/>
  <c r="R19" i="5"/>
  <c r="S19" i="5"/>
  <c r="O20" i="5"/>
  <c r="Q20" i="5"/>
  <c r="P20" i="5"/>
  <c r="R20" i="5"/>
  <c r="S20" i="5"/>
  <c r="O21" i="5"/>
  <c r="Q21" i="5"/>
  <c r="P21" i="5"/>
  <c r="R21" i="5"/>
  <c r="S21" i="5"/>
  <c r="O22" i="5"/>
  <c r="Q22" i="5"/>
  <c r="P22" i="5"/>
  <c r="R22" i="5"/>
  <c r="S22" i="5"/>
  <c r="G8" i="14"/>
  <c r="G9" i="14"/>
  <c r="B14" i="14"/>
  <c r="B15" i="14"/>
  <c r="B16" i="14"/>
  <c r="F5" i="13"/>
  <c r="R146" i="1"/>
  <c r="S146" i="1"/>
  <c r="R247" i="1"/>
  <c r="S247" i="1"/>
  <c r="R248" i="1"/>
  <c r="S248" i="1"/>
  <c r="R249" i="1"/>
  <c r="S249" i="1"/>
  <c r="R2" i="1"/>
  <c r="S2" i="1"/>
  <c r="R3" i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S47" i="1"/>
  <c r="S48" i="1"/>
  <c r="S49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R94" i="1"/>
  <c r="S94" i="1"/>
  <c r="R95" i="1"/>
  <c r="S95" i="1"/>
  <c r="R96" i="1"/>
  <c r="S96" i="1"/>
  <c r="R97" i="1"/>
  <c r="S97" i="1"/>
  <c r="R98" i="1"/>
  <c r="S98" i="1"/>
  <c r="R99" i="1"/>
  <c r="S99" i="1"/>
  <c r="R100" i="1"/>
  <c r="S100" i="1"/>
  <c r="R101" i="1"/>
  <c r="S101" i="1"/>
  <c r="R102" i="1"/>
  <c r="S102" i="1"/>
  <c r="R103" i="1"/>
  <c r="S103" i="1"/>
  <c r="R104" i="1"/>
  <c r="S104" i="1"/>
  <c r="R105" i="1"/>
  <c r="S105" i="1"/>
  <c r="R106" i="1"/>
  <c r="S106" i="1"/>
  <c r="R107" i="1"/>
  <c r="S107" i="1"/>
  <c r="R108" i="1"/>
  <c r="S108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R119" i="1"/>
  <c r="S119" i="1"/>
  <c r="R120" i="1"/>
  <c r="S120" i="1"/>
  <c r="R121" i="1"/>
  <c r="S121" i="1"/>
  <c r="R122" i="1"/>
  <c r="S122" i="1"/>
  <c r="R123" i="1"/>
  <c r="S123" i="1"/>
  <c r="R124" i="1"/>
  <c r="S124" i="1"/>
  <c r="R125" i="1"/>
  <c r="S125" i="1"/>
  <c r="R126" i="1"/>
  <c r="S126" i="1"/>
  <c r="R127" i="1"/>
  <c r="S127" i="1"/>
  <c r="R128" i="1"/>
  <c r="S128" i="1"/>
  <c r="R129" i="1"/>
  <c r="S129" i="1"/>
  <c r="R130" i="1"/>
  <c r="S130" i="1"/>
  <c r="R131" i="1"/>
  <c r="S131" i="1"/>
  <c r="R132" i="1"/>
  <c r="S132" i="1"/>
  <c r="R133" i="1"/>
  <c r="S133" i="1"/>
  <c r="R134" i="1"/>
  <c r="S134" i="1"/>
  <c r="R135" i="1"/>
  <c r="S135" i="1"/>
  <c r="R136" i="1"/>
  <c r="S136" i="1"/>
  <c r="R137" i="1"/>
  <c r="S137" i="1"/>
  <c r="R138" i="1"/>
  <c r="S138" i="1"/>
  <c r="R139" i="1"/>
  <c r="S139" i="1"/>
  <c r="R140" i="1"/>
  <c r="S140" i="1"/>
  <c r="R141" i="1"/>
  <c r="S141" i="1"/>
  <c r="R142" i="1"/>
  <c r="S142" i="1"/>
  <c r="R143" i="1"/>
  <c r="S143" i="1"/>
  <c r="R144" i="1"/>
  <c r="S144" i="1"/>
  <c r="R145" i="1"/>
  <c r="S145" i="1"/>
  <c r="R147" i="1"/>
  <c r="S147" i="1"/>
  <c r="R148" i="1"/>
  <c r="S148" i="1"/>
  <c r="R149" i="1"/>
  <c r="S149" i="1"/>
  <c r="R150" i="1"/>
  <c r="S150" i="1"/>
  <c r="R151" i="1"/>
  <c r="S151" i="1"/>
  <c r="R152" i="1"/>
  <c r="S152" i="1"/>
  <c r="R153" i="1"/>
  <c r="S153" i="1"/>
  <c r="R154" i="1"/>
  <c r="S154" i="1"/>
  <c r="R155" i="1"/>
  <c r="S155" i="1"/>
  <c r="R156" i="1"/>
  <c r="S156" i="1"/>
  <c r="R157" i="1"/>
  <c r="S157" i="1"/>
  <c r="R158" i="1"/>
  <c r="S158" i="1"/>
  <c r="R159" i="1"/>
  <c r="S159" i="1"/>
  <c r="R160" i="1"/>
  <c r="S160" i="1"/>
  <c r="R161" i="1"/>
  <c r="S161" i="1"/>
  <c r="R162" i="1"/>
  <c r="S162" i="1"/>
  <c r="R163" i="1"/>
  <c r="S163" i="1"/>
  <c r="R164" i="1"/>
  <c r="S164" i="1"/>
  <c r="R165" i="1"/>
  <c r="S165" i="1"/>
  <c r="R166" i="1"/>
  <c r="S166" i="1"/>
  <c r="R167" i="1"/>
  <c r="S167" i="1"/>
  <c r="R168" i="1"/>
  <c r="S168" i="1"/>
  <c r="R169" i="1"/>
  <c r="S169" i="1"/>
  <c r="R170" i="1"/>
  <c r="S170" i="1"/>
  <c r="R171" i="1"/>
  <c r="S171" i="1"/>
  <c r="R172" i="1"/>
  <c r="S172" i="1"/>
  <c r="R173" i="1"/>
  <c r="S173" i="1"/>
  <c r="R174" i="1"/>
  <c r="S174" i="1"/>
  <c r="R175" i="1"/>
  <c r="S175" i="1"/>
  <c r="R176" i="1"/>
  <c r="S176" i="1"/>
  <c r="R177" i="1"/>
  <c r="S177" i="1"/>
  <c r="R178" i="1"/>
  <c r="S178" i="1"/>
  <c r="R179" i="1"/>
  <c r="S179" i="1"/>
  <c r="R180" i="1"/>
  <c r="S180" i="1"/>
  <c r="R181" i="1"/>
  <c r="S181" i="1"/>
  <c r="R182" i="1"/>
  <c r="S182" i="1"/>
  <c r="R183" i="1"/>
  <c r="S183" i="1"/>
  <c r="R184" i="1"/>
  <c r="S184" i="1"/>
  <c r="R185" i="1"/>
  <c r="S185" i="1"/>
  <c r="R186" i="1"/>
  <c r="S186" i="1"/>
  <c r="R187" i="1"/>
  <c r="S187" i="1"/>
  <c r="R188" i="1"/>
  <c r="S188" i="1"/>
  <c r="R189" i="1"/>
  <c r="S189" i="1"/>
  <c r="R190" i="1"/>
  <c r="S190" i="1"/>
  <c r="R191" i="1"/>
  <c r="S191" i="1"/>
  <c r="R192" i="1"/>
  <c r="S192" i="1"/>
  <c r="R193" i="1"/>
  <c r="S193" i="1"/>
  <c r="R194" i="1"/>
  <c r="S194" i="1"/>
  <c r="R195" i="1"/>
  <c r="S195" i="1"/>
  <c r="R196" i="1"/>
  <c r="S196" i="1"/>
  <c r="R197" i="1"/>
  <c r="S197" i="1"/>
  <c r="R198" i="1"/>
  <c r="S198" i="1"/>
  <c r="R199" i="1"/>
  <c r="S199" i="1"/>
  <c r="R200" i="1"/>
  <c r="S200" i="1"/>
  <c r="R201" i="1"/>
  <c r="S201" i="1"/>
  <c r="R202" i="1"/>
  <c r="S202" i="1"/>
  <c r="R203" i="1"/>
  <c r="S203" i="1"/>
  <c r="R204" i="1"/>
  <c r="S204" i="1"/>
  <c r="R205" i="1"/>
  <c r="S205" i="1"/>
  <c r="R206" i="1"/>
  <c r="S206" i="1"/>
  <c r="R207" i="1"/>
  <c r="S207" i="1"/>
  <c r="R208" i="1"/>
  <c r="S208" i="1"/>
  <c r="R209" i="1"/>
  <c r="S209" i="1"/>
  <c r="R210" i="1"/>
  <c r="S210" i="1"/>
  <c r="R211" i="1"/>
  <c r="S211" i="1"/>
  <c r="R212" i="1"/>
  <c r="S212" i="1"/>
  <c r="R213" i="1"/>
  <c r="S213" i="1"/>
  <c r="R214" i="1"/>
  <c r="S214" i="1"/>
  <c r="R215" i="1"/>
  <c r="S215" i="1"/>
  <c r="R216" i="1"/>
  <c r="S216" i="1"/>
  <c r="R217" i="1"/>
  <c r="S217" i="1"/>
  <c r="R218" i="1"/>
  <c r="S218" i="1"/>
  <c r="R219" i="1"/>
  <c r="S219" i="1"/>
  <c r="R220" i="1"/>
  <c r="S220" i="1"/>
  <c r="R221" i="1"/>
  <c r="S221" i="1"/>
  <c r="R222" i="1"/>
  <c r="S222" i="1"/>
  <c r="R223" i="1"/>
  <c r="S223" i="1"/>
  <c r="R224" i="1"/>
  <c r="S224" i="1"/>
  <c r="R225" i="1"/>
  <c r="S225" i="1"/>
  <c r="R226" i="1"/>
  <c r="S226" i="1"/>
  <c r="R227" i="1"/>
  <c r="S227" i="1"/>
  <c r="R228" i="1"/>
  <c r="S228" i="1"/>
  <c r="R229" i="1"/>
  <c r="S229" i="1"/>
  <c r="R230" i="1"/>
  <c r="S230" i="1"/>
  <c r="R231" i="1"/>
  <c r="S231" i="1"/>
  <c r="R232" i="1"/>
  <c r="S232" i="1"/>
  <c r="R233" i="1"/>
  <c r="S233" i="1"/>
  <c r="R234" i="1"/>
  <c r="S234" i="1"/>
  <c r="R235" i="1"/>
  <c r="S235" i="1"/>
  <c r="R236" i="1"/>
  <c r="S236" i="1"/>
  <c r="R237" i="1"/>
  <c r="S237" i="1"/>
  <c r="R238" i="1"/>
  <c r="S238" i="1"/>
  <c r="R239" i="1"/>
  <c r="S239" i="1"/>
  <c r="R240" i="1"/>
  <c r="S240" i="1"/>
  <c r="R241" i="1"/>
  <c r="S241" i="1"/>
  <c r="R242" i="1"/>
  <c r="S242" i="1"/>
  <c r="R243" i="1"/>
  <c r="S243" i="1"/>
  <c r="R244" i="1"/>
  <c r="S244" i="1"/>
  <c r="R245" i="1"/>
  <c r="S245" i="1"/>
  <c r="R246" i="1"/>
  <c r="S246" i="1"/>
  <c r="R250" i="1"/>
  <c r="S250" i="1"/>
  <c r="R251" i="1"/>
  <c r="S251" i="1"/>
  <c r="R252" i="1"/>
  <c r="S252" i="1"/>
  <c r="R253" i="1"/>
  <c r="S253" i="1"/>
  <c r="R254" i="1"/>
  <c r="S254" i="1"/>
  <c r="R255" i="1"/>
  <c r="S255" i="1"/>
  <c r="R256" i="1"/>
  <c r="S256" i="1"/>
  <c r="R257" i="1"/>
  <c r="S257" i="1"/>
  <c r="R258" i="1"/>
  <c r="S258" i="1"/>
  <c r="R259" i="1"/>
  <c r="S259" i="1"/>
  <c r="R260" i="1"/>
  <c r="S260" i="1"/>
  <c r="R261" i="1"/>
  <c r="S261" i="1"/>
  <c r="R262" i="1"/>
  <c r="S262" i="1"/>
  <c r="R263" i="1"/>
  <c r="S263" i="1"/>
  <c r="R264" i="1"/>
  <c r="S264" i="1"/>
  <c r="R265" i="1"/>
  <c r="S265" i="1"/>
  <c r="R266" i="1"/>
  <c r="S266" i="1"/>
  <c r="R267" i="1"/>
  <c r="S267" i="1"/>
  <c r="R268" i="1"/>
  <c r="S268" i="1"/>
  <c r="R269" i="1"/>
  <c r="S269" i="1"/>
  <c r="R270" i="1"/>
  <c r="S270" i="1"/>
  <c r="R271" i="1"/>
  <c r="S271" i="1"/>
  <c r="R272" i="1"/>
  <c r="S272" i="1"/>
  <c r="R273" i="1"/>
  <c r="S273" i="1"/>
  <c r="R274" i="1"/>
  <c r="S274" i="1"/>
  <c r="R275" i="1"/>
  <c r="S275" i="1"/>
  <c r="R276" i="1"/>
  <c r="S276" i="1"/>
  <c r="R277" i="1"/>
  <c r="S277" i="1"/>
  <c r="R278" i="1"/>
  <c r="S278" i="1"/>
  <c r="R279" i="1"/>
  <c r="S279" i="1"/>
  <c r="R280" i="1"/>
  <c r="S280" i="1"/>
  <c r="R281" i="1"/>
  <c r="S281" i="1"/>
  <c r="R282" i="1"/>
  <c r="S282" i="1"/>
  <c r="R283" i="1"/>
  <c r="S283" i="1"/>
  <c r="R284" i="1"/>
  <c r="S284" i="1"/>
  <c r="R285" i="1"/>
  <c r="S285" i="1"/>
  <c r="R286" i="1"/>
  <c r="S286" i="1"/>
  <c r="R287" i="1"/>
  <c r="S287" i="1"/>
  <c r="R288" i="1"/>
  <c r="S288" i="1"/>
  <c r="R289" i="1"/>
  <c r="S289" i="1"/>
  <c r="R290" i="1"/>
  <c r="S290" i="1"/>
  <c r="R291" i="1"/>
  <c r="S291" i="1"/>
  <c r="R292" i="1"/>
  <c r="S292" i="1"/>
  <c r="R293" i="1"/>
  <c r="S293" i="1"/>
  <c r="R294" i="1"/>
  <c r="S294" i="1"/>
  <c r="R295" i="1"/>
  <c r="S295" i="1"/>
  <c r="R296" i="1"/>
  <c r="S296" i="1"/>
  <c r="R297" i="1"/>
  <c r="S297" i="1"/>
  <c r="R298" i="1"/>
  <c r="S298" i="1"/>
  <c r="R299" i="1"/>
  <c r="S299" i="1"/>
  <c r="R300" i="1"/>
  <c r="S300" i="1"/>
  <c r="R301" i="1"/>
  <c r="S301" i="1"/>
  <c r="R302" i="1"/>
  <c r="S302" i="1"/>
  <c r="R303" i="1"/>
  <c r="S303" i="1"/>
  <c r="R304" i="1"/>
  <c r="S304" i="1"/>
  <c r="R305" i="1"/>
  <c r="S305" i="1"/>
  <c r="R306" i="1"/>
  <c r="S306" i="1"/>
  <c r="R307" i="1"/>
  <c r="S307" i="1"/>
  <c r="R310" i="1"/>
  <c r="S310" i="1"/>
  <c r="R311" i="1"/>
  <c r="S311" i="1"/>
  <c r="R312" i="1"/>
  <c r="S312" i="1"/>
  <c r="R313" i="1"/>
  <c r="S313" i="1"/>
  <c r="R314" i="1"/>
  <c r="S314" i="1"/>
  <c r="R315" i="1"/>
  <c r="S315" i="1"/>
  <c r="R316" i="1"/>
  <c r="S316" i="1"/>
  <c r="R317" i="1"/>
  <c r="S317" i="1"/>
  <c r="R318" i="1"/>
  <c r="S318" i="1"/>
  <c r="R319" i="1"/>
  <c r="S319" i="1"/>
  <c r="R320" i="1"/>
  <c r="S320" i="1"/>
  <c r="R321" i="1"/>
  <c r="S321" i="1"/>
  <c r="R322" i="1"/>
  <c r="S322" i="1"/>
  <c r="R323" i="1"/>
  <c r="S323" i="1"/>
  <c r="R324" i="1"/>
  <c r="S324" i="1"/>
  <c r="R325" i="1"/>
  <c r="S325" i="1"/>
  <c r="R326" i="1"/>
  <c r="S326" i="1"/>
  <c r="R327" i="1"/>
  <c r="S327" i="1"/>
  <c r="R328" i="1"/>
  <c r="S328" i="1"/>
  <c r="R329" i="1"/>
  <c r="S329" i="1"/>
  <c r="R330" i="1"/>
  <c r="S330" i="1"/>
  <c r="R331" i="1"/>
  <c r="S331" i="1"/>
  <c r="R332" i="1"/>
  <c r="S332" i="1"/>
  <c r="R333" i="1"/>
  <c r="S333" i="1"/>
  <c r="R334" i="1"/>
  <c r="S334" i="1"/>
  <c r="R335" i="1"/>
  <c r="S335" i="1"/>
  <c r="R336" i="1"/>
  <c r="S336" i="1"/>
  <c r="R337" i="1"/>
  <c r="S337" i="1"/>
  <c r="R338" i="1"/>
  <c r="S338" i="1"/>
  <c r="R339" i="1"/>
  <c r="S339" i="1"/>
  <c r="R340" i="1"/>
  <c r="S340" i="1"/>
  <c r="R341" i="1"/>
  <c r="S341" i="1"/>
  <c r="R342" i="1"/>
  <c r="S342" i="1"/>
  <c r="R343" i="1"/>
  <c r="S343" i="1"/>
  <c r="R344" i="1"/>
  <c r="S344" i="1"/>
  <c r="R345" i="1"/>
  <c r="S345" i="1"/>
  <c r="R346" i="1"/>
  <c r="S346" i="1"/>
  <c r="R347" i="1"/>
  <c r="S347" i="1"/>
  <c r="R348" i="1"/>
  <c r="S348" i="1"/>
  <c r="R349" i="1"/>
  <c r="S349" i="1"/>
  <c r="R350" i="1"/>
  <c r="S350" i="1"/>
  <c r="R351" i="1"/>
  <c r="S351" i="1"/>
  <c r="R352" i="1"/>
  <c r="S352" i="1"/>
  <c r="R353" i="1"/>
  <c r="S353" i="1"/>
  <c r="R354" i="1"/>
  <c r="S354" i="1"/>
  <c r="R355" i="1"/>
  <c r="S355" i="1"/>
  <c r="R356" i="1"/>
  <c r="S356" i="1"/>
  <c r="D7" i="7"/>
  <c r="F6" i="7"/>
  <c r="C45" i="11"/>
  <c r="E27" i="2"/>
  <c r="F27" i="2"/>
  <c r="C42" i="11"/>
  <c r="E28" i="2"/>
  <c r="F28" i="2"/>
  <c r="C19" i="11"/>
  <c r="E29" i="2"/>
  <c r="F29" i="2"/>
  <c r="D15" i="7"/>
  <c r="F14" i="7"/>
  <c r="C53" i="11"/>
  <c r="E30" i="2"/>
  <c r="F30" i="2"/>
  <c r="C21" i="11"/>
  <c r="E31" i="2"/>
  <c r="F31" i="2"/>
  <c r="C52" i="11"/>
  <c r="E32" i="2"/>
  <c r="F32" i="2"/>
  <c r="D31" i="7"/>
  <c r="F30" i="7"/>
  <c r="C40" i="11"/>
  <c r="E33" i="2"/>
  <c r="F33" i="2"/>
  <c r="D19" i="7"/>
  <c r="F18" i="7"/>
  <c r="C60" i="11"/>
  <c r="E34" i="2"/>
  <c r="F34" i="2"/>
  <c r="D21" i="7"/>
  <c r="F20" i="7"/>
  <c r="C63" i="11"/>
  <c r="E35" i="2"/>
  <c r="F35" i="2"/>
  <c r="C56" i="11"/>
  <c r="E36" i="2"/>
  <c r="F36" i="2"/>
  <c r="D17" i="7"/>
  <c r="F16" i="7"/>
  <c r="C57" i="11"/>
  <c r="E37" i="2"/>
  <c r="F37" i="2"/>
  <c r="E38" i="2"/>
  <c r="F38" i="2"/>
  <c r="E39" i="2"/>
  <c r="F39" i="2"/>
  <c r="E40" i="2"/>
  <c r="F40" i="2"/>
  <c r="C112" i="11"/>
  <c r="E41" i="2"/>
  <c r="F41" i="2"/>
  <c r="C46" i="11"/>
  <c r="E42" i="2"/>
  <c r="F42" i="2"/>
  <c r="E43" i="2"/>
  <c r="F43" i="2"/>
  <c r="C41" i="11"/>
  <c r="E44" i="2"/>
  <c r="F44" i="2"/>
  <c r="D32" i="7"/>
  <c r="F31" i="7"/>
  <c r="C43" i="11"/>
  <c r="E45" i="2"/>
  <c r="F45" i="2"/>
  <c r="C51" i="11"/>
  <c r="E46" i="2"/>
  <c r="F46" i="2"/>
  <c r="C70" i="11"/>
  <c r="E47" i="2"/>
  <c r="F47" i="2"/>
  <c r="C72" i="11"/>
  <c r="E48" i="2"/>
  <c r="F48" i="2"/>
  <c r="G62" i="4"/>
  <c r="H62" i="4"/>
  <c r="C26" i="11"/>
  <c r="E49" i="2"/>
  <c r="F49" i="2"/>
  <c r="D34" i="7"/>
  <c r="F33" i="7"/>
  <c r="C110" i="11"/>
  <c r="E50" i="2"/>
  <c r="F50" i="2"/>
  <c r="C9" i="11"/>
  <c r="E51" i="2"/>
  <c r="F51" i="2"/>
  <c r="C90" i="11"/>
  <c r="E52" i="2"/>
  <c r="F52" i="2"/>
  <c r="C44" i="11"/>
  <c r="E53" i="2"/>
  <c r="F53" i="2"/>
  <c r="C3" i="11"/>
  <c r="E54" i="2"/>
  <c r="F54" i="2"/>
  <c r="C28" i="11"/>
  <c r="E55" i="2"/>
  <c r="F55" i="2"/>
  <c r="C80" i="11"/>
  <c r="E56" i="2"/>
  <c r="F56" i="2"/>
  <c r="C127" i="11"/>
  <c r="E57" i="2"/>
  <c r="F57" i="2"/>
  <c r="D35" i="7"/>
  <c r="F34" i="7"/>
  <c r="C111" i="11"/>
  <c r="E58" i="2"/>
  <c r="F58" i="2"/>
  <c r="E59" i="2"/>
  <c r="F59" i="2"/>
  <c r="C25" i="11"/>
  <c r="E60" i="2"/>
  <c r="F60" i="2"/>
  <c r="C39" i="11"/>
  <c r="E61" i="2"/>
  <c r="F61" i="2"/>
  <c r="D28" i="7"/>
  <c r="F27" i="7"/>
  <c r="C17" i="11"/>
  <c r="D17" i="11"/>
  <c r="E17" i="11"/>
  <c r="E62" i="2"/>
  <c r="F62" i="2"/>
  <c r="D4" i="7"/>
  <c r="F3" i="7"/>
  <c r="C38" i="11"/>
  <c r="E63" i="2"/>
  <c r="F63" i="2"/>
  <c r="D5" i="7"/>
  <c r="F4" i="7"/>
  <c r="C16" i="11"/>
  <c r="D16" i="11"/>
  <c r="E16" i="11"/>
  <c r="E64" i="2"/>
  <c r="F64" i="2"/>
  <c r="C11" i="11"/>
  <c r="E65" i="2"/>
  <c r="F65" i="2"/>
  <c r="C92" i="11"/>
  <c r="E66" i="2"/>
  <c r="F66" i="2"/>
  <c r="C93" i="11"/>
  <c r="E67" i="2"/>
  <c r="F67" i="2"/>
  <c r="D29" i="7"/>
  <c r="F28" i="7"/>
  <c r="C107" i="11"/>
  <c r="E68" i="2"/>
  <c r="F68" i="2"/>
  <c r="C18" i="11"/>
  <c r="E69" i="2"/>
  <c r="F69" i="2"/>
  <c r="C84" i="11"/>
  <c r="E70" i="2"/>
  <c r="F70" i="2"/>
  <c r="D30" i="7"/>
  <c r="F29" i="7"/>
  <c r="C108" i="11"/>
  <c r="E71" i="2"/>
  <c r="F71" i="2"/>
  <c r="C98" i="11"/>
  <c r="E72" i="2"/>
  <c r="F72" i="2"/>
  <c r="D33" i="7"/>
  <c r="F32" i="7"/>
  <c r="C109" i="11"/>
  <c r="E73" i="2"/>
  <c r="F73" i="2"/>
  <c r="D18" i="7"/>
  <c r="F17" i="7"/>
  <c r="C58" i="11"/>
  <c r="E74" i="2"/>
  <c r="F74" i="2"/>
  <c r="D41" i="7"/>
  <c r="F40" i="7"/>
  <c r="C118" i="11"/>
  <c r="E75" i="2"/>
  <c r="F75" i="2"/>
  <c r="C59" i="11"/>
  <c r="E76" i="2"/>
  <c r="F76" i="2"/>
  <c r="C77" i="11"/>
  <c r="E77" i="2"/>
  <c r="F77" i="2"/>
  <c r="D20" i="7"/>
  <c r="F19" i="7"/>
  <c r="C61" i="11"/>
  <c r="E78" i="2"/>
  <c r="F78" i="2"/>
  <c r="C62" i="11"/>
  <c r="E79" i="2"/>
  <c r="F79" i="2"/>
  <c r="C121" i="11"/>
  <c r="E80" i="2"/>
  <c r="F80" i="2"/>
  <c r="C94" i="11"/>
  <c r="E81" i="2"/>
  <c r="F81" i="2"/>
  <c r="C95" i="11"/>
  <c r="E82" i="2"/>
  <c r="F82" i="2"/>
  <c r="D42" i="7"/>
  <c r="F41" i="7"/>
  <c r="C119" i="11"/>
  <c r="E83" i="2"/>
  <c r="F83" i="2"/>
  <c r="E84" i="2"/>
  <c r="F84" i="2"/>
  <c r="C66" i="11"/>
  <c r="E85" i="2"/>
  <c r="F85" i="2"/>
  <c r="C14" i="11"/>
  <c r="E86" i="2"/>
  <c r="F86" i="2"/>
  <c r="C10" i="11"/>
  <c r="E87" i="2"/>
  <c r="F87" i="2"/>
  <c r="C128" i="11"/>
  <c r="D128" i="11"/>
  <c r="E128" i="11"/>
  <c r="E88" i="2"/>
  <c r="F88" i="2"/>
  <c r="C126" i="11"/>
  <c r="E89" i="2"/>
  <c r="F89" i="2"/>
  <c r="C8" i="11"/>
  <c r="E90" i="2"/>
  <c r="F90" i="2"/>
  <c r="C120" i="11"/>
  <c r="E91" i="2"/>
  <c r="F91" i="2"/>
  <c r="C89" i="11"/>
  <c r="E92" i="2"/>
  <c r="F92" i="2"/>
  <c r="D16" i="7"/>
  <c r="F15" i="7"/>
  <c r="C54" i="11"/>
  <c r="D54" i="11"/>
  <c r="E54" i="11"/>
  <c r="E93" i="2"/>
  <c r="F93" i="2"/>
  <c r="D40" i="7"/>
  <c r="F39" i="7"/>
  <c r="C117" i="11"/>
  <c r="E94" i="2"/>
  <c r="F94" i="2"/>
  <c r="C91" i="11"/>
  <c r="E95" i="2"/>
  <c r="F95" i="2"/>
  <c r="D38" i="7"/>
  <c r="F37" i="7"/>
  <c r="C115" i="11"/>
  <c r="E96" i="2"/>
  <c r="F96" i="2"/>
  <c r="E97" i="2"/>
  <c r="F97" i="2"/>
  <c r="C12" i="11"/>
  <c r="E98" i="2"/>
  <c r="F98" i="2"/>
  <c r="C73" i="11"/>
  <c r="E99" i="2"/>
  <c r="F99" i="2"/>
  <c r="C55" i="11"/>
  <c r="E100" i="2"/>
  <c r="F100" i="2"/>
  <c r="G63" i="4"/>
  <c r="H63" i="4"/>
  <c r="C27" i="11"/>
  <c r="E101" i="2"/>
  <c r="F101" i="2"/>
  <c r="C7" i="11"/>
  <c r="E102" i="2"/>
  <c r="F102" i="2"/>
  <c r="C20" i="11"/>
  <c r="D20" i="11"/>
  <c r="E20" i="11"/>
  <c r="E103" i="2"/>
  <c r="F103" i="2"/>
  <c r="C125" i="11"/>
  <c r="E104" i="2"/>
  <c r="F104" i="2"/>
  <c r="D39" i="7"/>
  <c r="F38" i="7"/>
  <c r="C116" i="11"/>
  <c r="E105" i="2"/>
  <c r="F105" i="2"/>
  <c r="D13" i="7"/>
  <c r="F12" i="7"/>
  <c r="C49" i="11"/>
  <c r="D49" i="11"/>
  <c r="E49" i="11"/>
  <c r="E106" i="2"/>
  <c r="F106" i="2"/>
  <c r="C23" i="11"/>
  <c r="E107" i="2"/>
  <c r="F107" i="2"/>
  <c r="D37" i="7"/>
  <c r="F36" i="7"/>
  <c r="C114" i="11"/>
  <c r="E108" i="2"/>
  <c r="F108" i="2"/>
  <c r="C78" i="11"/>
  <c r="E109" i="2"/>
  <c r="F109" i="2"/>
  <c r="D8" i="7"/>
  <c r="F7" i="7"/>
  <c r="C50" i="11"/>
  <c r="E110" i="2"/>
  <c r="F110" i="2"/>
  <c r="C6" i="11"/>
  <c r="E111" i="2"/>
  <c r="F111" i="2"/>
  <c r="C83" i="11"/>
  <c r="E112" i="2"/>
  <c r="F112" i="2"/>
  <c r="C74" i="11"/>
  <c r="E113" i="2"/>
  <c r="F113" i="2"/>
  <c r="C124" i="11"/>
  <c r="E114" i="2"/>
  <c r="F114" i="2"/>
  <c r="E115" i="2"/>
  <c r="F115" i="2"/>
  <c r="D9" i="7"/>
  <c r="F8" i="7"/>
  <c r="C47" i="11"/>
  <c r="E26" i="2"/>
  <c r="F26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27" i="2"/>
  <c r="D28" i="2"/>
  <c r="D29" i="2"/>
  <c r="D30" i="2"/>
  <c r="D31" i="2"/>
  <c r="D32" i="2"/>
  <c r="D33" i="2"/>
  <c r="D34" i="2"/>
  <c r="D35" i="2"/>
  <c r="D36" i="2"/>
  <c r="D37" i="2"/>
  <c r="D26" i="2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2" i="7"/>
  <c r="C4" i="11"/>
  <c r="C5" i="11"/>
  <c r="C13" i="11"/>
  <c r="C15" i="11"/>
  <c r="C22" i="11"/>
  <c r="G61" i="4"/>
  <c r="H61" i="4"/>
  <c r="C24" i="11"/>
  <c r="E129" i="6"/>
  <c r="F129" i="6"/>
  <c r="G129" i="6"/>
  <c r="C29" i="11"/>
  <c r="C30" i="11"/>
  <c r="C31" i="11"/>
  <c r="E177" i="6"/>
  <c r="F177" i="6"/>
  <c r="G177" i="6"/>
  <c r="C32" i="11"/>
  <c r="C33" i="11"/>
  <c r="C34" i="11"/>
  <c r="C35" i="11"/>
  <c r="C36" i="11"/>
  <c r="C37" i="11"/>
  <c r="D11" i="7"/>
  <c r="F10" i="7"/>
  <c r="C48" i="11"/>
  <c r="D22" i="7"/>
  <c r="F21" i="7"/>
  <c r="C64" i="11"/>
  <c r="C65" i="11"/>
  <c r="C67" i="11"/>
  <c r="C68" i="11"/>
  <c r="C69" i="11"/>
  <c r="C71" i="11"/>
  <c r="C75" i="11"/>
  <c r="C76" i="11"/>
  <c r="C79" i="11"/>
  <c r="G65" i="4"/>
  <c r="H65" i="4"/>
  <c r="C81" i="11"/>
  <c r="C82" i="11"/>
  <c r="C85" i="11"/>
  <c r="C86" i="11"/>
  <c r="C87" i="11"/>
  <c r="C88" i="11"/>
  <c r="C96" i="11"/>
  <c r="C97" i="11"/>
  <c r="G67" i="4"/>
  <c r="H67" i="4"/>
  <c r="C99" i="11"/>
  <c r="C100" i="11"/>
  <c r="C101" i="11"/>
  <c r="C102" i="11"/>
  <c r="C103" i="11"/>
  <c r="G64" i="4"/>
  <c r="H64" i="4"/>
  <c r="C104" i="11"/>
  <c r="C105" i="11"/>
  <c r="D27" i="7"/>
  <c r="F26" i="7"/>
  <c r="C106" i="11"/>
  <c r="D36" i="7"/>
  <c r="F35" i="7"/>
  <c r="C113" i="11"/>
  <c r="C122" i="11"/>
  <c r="C123" i="11"/>
  <c r="C2" i="11"/>
  <c r="J9" i="5"/>
  <c r="K9" i="5"/>
  <c r="L9" i="5"/>
  <c r="M9" i="5"/>
  <c r="J5" i="5"/>
  <c r="J6" i="5"/>
  <c r="J7" i="5"/>
  <c r="J8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3" i="5"/>
  <c r="I8" i="13"/>
  <c r="F7" i="13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F8" i="13"/>
  <c r="P7" i="13"/>
  <c r="C9" i="13"/>
  <c r="C8" i="13"/>
  <c r="P3" i="13"/>
  <c r="I16" i="13"/>
  <c r="F16" i="13"/>
  <c r="C16" i="13"/>
  <c r="P13" i="13"/>
  <c r="P11" i="13"/>
  <c r="P9" i="13"/>
  <c r="P5" i="13"/>
  <c r="C5" i="13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2" i="7"/>
  <c r="O5" i="5"/>
  <c r="K6" i="5"/>
  <c r="L6" i="5"/>
  <c r="M6" i="5"/>
  <c r="K7" i="5"/>
  <c r="L7" i="5"/>
  <c r="M7" i="5"/>
  <c r="K8" i="5"/>
  <c r="L8" i="5"/>
  <c r="M8" i="5"/>
  <c r="K10" i="5"/>
  <c r="L10" i="5"/>
  <c r="M10" i="5"/>
  <c r="K11" i="5"/>
  <c r="L11" i="5"/>
  <c r="M11" i="5"/>
  <c r="K12" i="5"/>
  <c r="L12" i="5"/>
  <c r="M12" i="5"/>
  <c r="K13" i="5"/>
  <c r="L13" i="5"/>
  <c r="M13" i="5"/>
  <c r="K14" i="5"/>
  <c r="L14" i="5"/>
  <c r="M14" i="5"/>
  <c r="K15" i="5"/>
  <c r="L15" i="5"/>
  <c r="M15" i="5"/>
  <c r="K16" i="5"/>
  <c r="L16" i="5"/>
  <c r="M16" i="5"/>
  <c r="K17" i="5"/>
  <c r="L17" i="5"/>
  <c r="M17" i="5"/>
  <c r="K18" i="5"/>
  <c r="L18" i="5"/>
  <c r="M18" i="5"/>
  <c r="K19" i="5"/>
  <c r="L19" i="5"/>
  <c r="M19" i="5"/>
  <c r="K20" i="5"/>
  <c r="L20" i="5"/>
  <c r="M20" i="5"/>
  <c r="K21" i="5"/>
  <c r="L21" i="5"/>
  <c r="M21" i="5"/>
  <c r="K22" i="5"/>
  <c r="L22" i="5"/>
  <c r="M22" i="5"/>
  <c r="K5" i="5"/>
  <c r="L5" i="5"/>
  <c r="M5" i="5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" i="3"/>
  <c r="AF272" i="17"/>
  <c r="X272" i="17"/>
  <c r="W272" i="17"/>
  <c r="U272" i="17"/>
  <c r="B5" i="6"/>
  <c r="X4" i="17"/>
  <c r="M2" i="17"/>
  <c r="T272" i="17"/>
  <c r="S272" i="17"/>
  <c r="R272" i="17"/>
  <c r="Q272" i="17"/>
  <c r="P272" i="17"/>
  <c r="O272" i="17"/>
  <c r="N272" i="17"/>
  <c r="M272" i="17"/>
  <c r="L272" i="17"/>
  <c r="K272" i="17"/>
  <c r="J272" i="17"/>
  <c r="I272" i="17"/>
  <c r="H272" i="17"/>
  <c r="G272" i="17"/>
  <c r="F272" i="17"/>
  <c r="E272" i="17"/>
  <c r="D272" i="17"/>
  <c r="C272" i="17"/>
  <c r="A272" i="17"/>
  <c r="AF271" i="17"/>
  <c r="X271" i="17"/>
  <c r="W271" i="17"/>
  <c r="U271" i="17"/>
  <c r="T271" i="17"/>
  <c r="S271" i="17"/>
  <c r="R271" i="17"/>
  <c r="Q271" i="17"/>
  <c r="P271" i="17"/>
  <c r="O271" i="17"/>
  <c r="N271" i="17"/>
  <c r="M271" i="17"/>
  <c r="L271" i="17"/>
  <c r="K271" i="17"/>
  <c r="J271" i="17"/>
  <c r="I271" i="17"/>
  <c r="H271" i="17"/>
  <c r="G271" i="17"/>
  <c r="F271" i="17"/>
  <c r="E271" i="17"/>
  <c r="D271" i="17"/>
  <c r="C271" i="17"/>
  <c r="A271" i="17"/>
  <c r="AF270" i="17"/>
  <c r="X270" i="17"/>
  <c r="W270" i="17"/>
  <c r="U270" i="17"/>
  <c r="T270" i="17"/>
  <c r="S270" i="17"/>
  <c r="R270" i="17"/>
  <c r="Q270" i="17"/>
  <c r="P270" i="17"/>
  <c r="O270" i="17"/>
  <c r="N270" i="17"/>
  <c r="M270" i="17"/>
  <c r="L270" i="17"/>
  <c r="K270" i="17"/>
  <c r="J270" i="17"/>
  <c r="I270" i="17"/>
  <c r="H270" i="17"/>
  <c r="G270" i="17"/>
  <c r="F270" i="17"/>
  <c r="E270" i="17"/>
  <c r="D270" i="17"/>
  <c r="C270" i="17"/>
  <c r="A270" i="17"/>
  <c r="AF269" i="17"/>
  <c r="X269" i="17"/>
  <c r="W269" i="17"/>
  <c r="U269" i="17"/>
  <c r="T269" i="17"/>
  <c r="S269" i="17"/>
  <c r="R269" i="17"/>
  <c r="Q269" i="17"/>
  <c r="P269" i="17"/>
  <c r="O269" i="17"/>
  <c r="N269" i="17"/>
  <c r="M269" i="17"/>
  <c r="L269" i="17"/>
  <c r="K269" i="17"/>
  <c r="J269" i="17"/>
  <c r="I269" i="17"/>
  <c r="H269" i="17"/>
  <c r="G269" i="17"/>
  <c r="F269" i="17"/>
  <c r="E269" i="17"/>
  <c r="D269" i="17"/>
  <c r="C269" i="17"/>
  <c r="A269" i="17"/>
  <c r="AF268" i="17"/>
  <c r="X268" i="17"/>
  <c r="W268" i="17"/>
  <c r="U268" i="17"/>
  <c r="T268" i="17"/>
  <c r="S268" i="17"/>
  <c r="R268" i="17"/>
  <c r="Q268" i="17"/>
  <c r="P268" i="17"/>
  <c r="O268" i="17"/>
  <c r="N268" i="17"/>
  <c r="M268" i="17"/>
  <c r="L268" i="17"/>
  <c r="K268" i="17"/>
  <c r="J268" i="17"/>
  <c r="I268" i="17"/>
  <c r="H268" i="17"/>
  <c r="G268" i="17"/>
  <c r="F268" i="17"/>
  <c r="E268" i="17"/>
  <c r="D268" i="17"/>
  <c r="C268" i="17"/>
  <c r="A268" i="17"/>
  <c r="AF267" i="17"/>
  <c r="X267" i="17"/>
  <c r="W267" i="17"/>
  <c r="U267" i="17"/>
  <c r="T267" i="17"/>
  <c r="S267" i="17"/>
  <c r="R267" i="17"/>
  <c r="Q267" i="17"/>
  <c r="P267" i="17"/>
  <c r="O267" i="17"/>
  <c r="N267" i="17"/>
  <c r="M267" i="17"/>
  <c r="L267" i="17"/>
  <c r="K267" i="17"/>
  <c r="J267" i="17"/>
  <c r="I267" i="17"/>
  <c r="H267" i="17"/>
  <c r="G267" i="17"/>
  <c r="F267" i="17"/>
  <c r="E267" i="17"/>
  <c r="D267" i="17"/>
  <c r="C267" i="17"/>
  <c r="A267" i="17"/>
  <c r="AF266" i="17"/>
  <c r="X266" i="17"/>
  <c r="W266" i="17"/>
  <c r="U266" i="17"/>
  <c r="T266" i="17"/>
  <c r="S266" i="17"/>
  <c r="R266" i="17"/>
  <c r="Q266" i="17"/>
  <c r="P266" i="17"/>
  <c r="O266" i="17"/>
  <c r="N266" i="17"/>
  <c r="M266" i="17"/>
  <c r="L266" i="17"/>
  <c r="K266" i="17"/>
  <c r="J266" i="17"/>
  <c r="I266" i="17"/>
  <c r="H266" i="17"/>
  <c r="G266" i="17"/>
  <c r="F266" i="17"/>
  <c r="E266" i="17"/>
  <c r="D266" i="17"/>
  <c r="C266" i="17"/>
  <c r="A266" i="17"/>
  <c r="AF265" i="17"/>
  <c r="X265" i="17"/>
  <c r="W265" i="17"/>
  <c r="U265" i="17"/>
  <c r="T265" i="17"/>
  <c r="S265" i="17"/>
  <c r="R265" i="17"/>
  <c r="Q265" i="17"/>
  <c r="P265" i="17"/>
  <c r="O265" i="17"/>
  <c r="N265" i="17"/>
  <c r="M265" i="17"/>
  <c r="L265" i="17"/>
  <c r="K265" i="17"/>
  <c r="J265" i="17"/>
  <c r="I265" i="17"/>
  <c r="H265" i="17"/>
  <c r="G265" i="17"/>
  <c r="F265" i="17"/>
  <c r="E265" i="17"/>
  <c r="D265" i="17"/>
  <c r="C265" i="17"/>
  <c r="A265" i="17"/>
  <c r="AF264" i="17"/>
  <c r="X264" i="17"/>
  <c r="W264" i="17"/>
  <c r="U264" i="17"/>
  <c r="T264" i="17"/>
  <c r="S264" i="17"/>
  <c r="R264" i="17"/>
  <c r="Q264" i="17"/>
  <c r="P264" i="17"/>
  <c r="O264" i="17"/>
  <c r="N264" i="17"/>
  <c r="M264" i="17"/>
  <c r="L264" i="17"/>
  <c r="K264" i="17"/>
  <c r="J264" i="17"/>
  <c r="I264" i="17"/>
  <c r="H264" i="17"/>
  <c r="G264" i="17"/>
  <c r="F264" i="17"/>
  <c r="E264" i="17"/>
  <c r="D264" i="17"/>
  <c r="C264" i="17"/>
  <c r="A264" i="17"/>
  <c r="AF263" i="17"/>
  <c r="B264" i="6"/>
  <c r="X263" i="17"/>
  <c r="W263" i="17"/>
  <c r="U263" i="17"/>
  <c r="T263" i="17"/>
  <c r="S263" i="17"/>
  <c r="R263" i="17"/>
  <c r="Q263" i="17"/>
  <c r="P263" i="17"/>
  <c r="O263" i="17"/>
  <c r="N263" i="17"/>
  <c r="M263" i="17"/>
  <c r="L263" i="17"/>
  <c r="K263" i="17"/>
  <c r="J263" i="17"/>
  <c r="I263" i="17"/>
  <c r="H263" i="17"/>
  <c r="G263" i="17"/>
  <c r="F263" i="17"/>
  <c r="E263" i="17"/>
  <c r="D263" i="17"/>
  <c r="C263" i="17"/>
  <c r="A263" i="17"/>
  <c r="AF262" i="17"/>
  <c r="B263" i="6"/>
  <c r="X262" i="17"/>
  <c r="W262" i="17"/>
  <c r="U262" i="17"/>
  <c r="T262" i="17"/>
  <c r="S262" i="17"/>
  <c r="R262" i="17"/>
  <c r="Q262" i="17"/>
  <c r="P262" i="17"/>
  <c r="O262" i="17"/>
  <c r="N262" i="17"/>
  <c r="M262" i="17"/>
  <c r="L262" i="17"/>
  <c r="K262" i="17"/>
  <c r="J262" i="17"/>
  <c r="I262" i="17"/>
  <c r="H262" i="17"/>
  <c r="G262" i="17"/>
  <c r="F262" i="17"/>
  <c r="E262" i="17"/>
  <c r="D262" i="17"/>
  <c r="C262" i="17"/>
  <c r="A262" i="17"/>
  <c r="AF261" i="17"/>
  <c r="B262" i="6"/>
  <c r="X261" i="17"/>
  <c r="W261" i="17"/>
  <c r="U261" i="17"/>
  <c r="T261" i="17"/>
  <c r="S261" i="17"/>
  <c r="R261" i="17"/>
  <c r="Q261" i="17"/>
  <c r="P261" i="17"/>
  <c r="O261" i="17"/>
  <c r="N261" i="17"/>
  <c r="M261" i="17"/>
  <c r="L261" i="17"/>
  <c r="K261" i="17"/>
  <c r="J261" i="17"/>
  <c r="I261" i="17"/>
  <c r="H261" i="17"/>
  <c r="G261" i="17"/>
  <c r="F261" i="17"/>
  <c r="E261" i="17"/>
  <c r="D261" i="17"/>
  <c r="C261" i="17"/>
  <c r="A261" i="17"/>
  <c r="AF260" i="17"/>
  <c r="B261" i="6"/>
  <c r="X260" i="17"/>
  <c r="W260" i="17"/>
  <c r="U260" i="17"/>
  <c r="T260" i="17"/>
  <c r="S260" i="17"/>
  <c r="R260" i="17"/>
  <c r="Q260" i="17"/>
  <c r="P260" i="17"/>
  <c r="O260" i="17"/>
  <c r="N260" i="17"/>
  <c r="M260" i="17"/>
  <c r="L260" i="17"/>
  <c r="K260" i="17"/>
  <c r="J260" i="17"/>
  <c r="I260" i="17"/>
  <c r="H260" i="17"/>
  <c r="G260" i="17"/>
  <c r="F260" i="17"/>
  <c r="E260" i="17"/>
  <c r="D260" i="17"/>
  <c r="C260" i="17"/>
  <c r="A260" i="17"/>
  <c r="AF259" i="17"/>
  <c r="B260" i="6"/>
  <c r="X259" i="17"/>
  <c r="W259" i="17"/>
  <c r="U259" i="17"/>
  <c r="T259" i="17"/>
  <c r="S259" i="17"/>
  <c r="R259" i="17"/>
  <c r="Q259" i="17"/>
  <c r="P259" i="17"/>
  <c r="O259" i="17"/>
  <c r="N259" i="17"/>
  <c r="M259" i="17"/>
  <c r="L259" i="17"/>
  <c r="K259" i="17"/>
  <c r="J259" i="17"/>
  <c r="I259" i="17"/>
  <c r="H259" i="17"/>
  <c r="G259" i="17"/>
  <c r="F259" i="17"/>
  <c r="E259" i="17"/>
  <c r="D259" i="17"/>
  <c r="C259" i="17"/>
  <c r="A259" i="17"/>
  <c r="AF258" i="17"/>
  <c r="B259" i="6"/>
  <c r="X258" i="17"/>
  <c r="W258" i="17"/>
  <c r="U258" i="17"/>
  <c r="T258" i="17"/>
  <c r="S258" i="17"/>
  <c r="R258" i="17"/>
  <c r="Q258" i="17"/>
  <c r="P258" i="17"/>
  <c r="O258" i="17"/>
  <c r="N258" i="17"/>
  <c r="M258" i="17"/>
  <c r="L258" i="17"/>
  <c r="K258" i="17"/>
  <c r="J258" i="17"/>
  <c r="I258" i="17"/>
  <c r="H258" i="17"/>
  <c r="G258" i="17"/>
  <c r="F258" i="17"/>
  <c r="E258" i="17"/>
  <c r="D258" i="17"/>
  <c r="C258" i="17"/>
  <c r="A258" i="17"/>
  <c r="AF257" i="17"/>
  <c r="B258" i="6"/>
  <c r="X257" i="17"/>
  <c r="W257" i="17"/>
  <c r="U257" i="17"/>
  <c r="T257" i="17"/>
  <c r="S257" i="17"/>
  <c r="R257" i="17"/>
  <c r="Q257" i="17"/>
  <c r="P257" i="17"/>
  <c r="O257" i="17"/>
  <c r="N257" i="17"/>
  <c r="M257" i="17"/>
  <c r="L257" i="17"/>
  <c r="K257" i="17"/>
  <c r="J257" i="17"/>
  <c r="I257" i="17"/>
  <c r="H257" i="17"/>
  <c r="G257" i="17"/>
  <c r="F257" i="17"/>
  <c r="E257" i="17"/>
  <c r="D257" i="17"/>
  <c r="C257" i="17"/>
  <c r="A257" i="17"/>
  <c r="AS256" i="17"/>
  <c r="AF256" i="17"/>
  <c r="B257" i="6"/>
  <c r="X256" i="17"/>
  <c r="W256" i="17"/>
  <c r="U256" i="17"/>
  <c r="T256" i="17"/>
  <c r="S256" i="17"/>
  <c r="R256" i="17"/>
  <c r="Q256" i="17"/>
  <c r="P256" i="17"/>
  <c r="O256" i="17"/>
  <c r="N256" i="17"/>
  <c r="M256" i="17"/>
  <c r="L256" i="17"/>
  <c r="K256" i="17"/>
  <c r="J256" i="17"/>
  <c r="I256" i="17"/>
  <c r="H256" i="17"/>
  <c r="G256" i="17"/>
  <c r="F256" i="17"/>
  <c r="E256" i="17"/>
  <c r="D256" i="17"/>
  <c r="C256" i="17"/>
  <c r="A256" i="17"/>
  <c r="AS255" i="17"/>
  <c r="AF255" i="17"/>
  <c r="B256" i="6"/>
  <c r="X255" i="17"/>
  <c r="W255" i="17"/>
  <c r="U255" i="17"/>
  <c r="T255" i="17"/>
  <c r="S255" i="17"/>
  <c r="R255" i="17"/>
  <c r="Q255" i="17"/>
  <c r="P255" i="17"/>
  <c r="O255" i="17"/>
  <c r="N255" i="17"/>
  <c r="M255" i="17"/>
  <c r="L255" i="17"/>
  <c r="K255" i="17"/>
  <c r="J255" i="17"/>
  <c r="I255" i="17"/>
  <c r="H255" i="17"/>
  <c r="G255" i="17"/>
  <c r="F255" i="17"/>
  <c r="E255" i="17"/>
  <c r="D255" i="17"/>
  <c r="C255" i="17"/>
  <c r="A255" i="17"/>
  <c r="AS254" i="17"/>
  <c r="AF254" i="17"/>
  <c r="B255" i="6"/>
  <c r="X254" i="17"/>
  <c r="W254" i="17"/>
  <c r="U254" i="17"/>
  <c r="T254" i="17"/>
  <c r="S254" i="17"/>
  <c r="R254" i="17"/>
  <c r="Q254" i="17"/>
  <c r="P254" i="17"/>
  <c r="O254" i="17"/>
  <c r="N254" i="17"/>
  <c r="M254" i="17"/>
  <c r="L254" i="17"/>
  <c r="K254" i="17"/>
  <c r="J254" i="17"/>
  <c r="I254" i="17"/>
  <c r="H254" i="17"/>
  <c r="G254" i="17"/>
  <c r="F254" i="17"/>
  <c r="E254" i="17"/>
  <c r="D254" i="17"/>
  <c r="C254" i="17"/>
  <c r="A254" i="17"/>
  <c r="AS253" i="17"/>
  <c r="AF253" i="17"/>
  <c r="B254" i="6"/>
  <c r="X253" i="17"/>
  <c r="W253" i="17"/>
  <c r="U253" i="17"/>
  <c r="T253" i="17"/>
  <c r="S253" i="17"/>
  <c r="R253" i="17"/>
  <c r="Q253" i="17"/>
  <c r="P253" i="17"/>
  <c r="O253" i="17"/>
  <c r="N253" i="17"/>
  <c r="M253" i="17"/>
  <c r="L253" i="17"/>
  <c r="K253" i="17"/>
  <c r="J253" i="17"/>
  <c r="I253" i="17"/>
  <c r="H253" i="17"/>
  <c r="G253" i="17"/>
  <c r="F253" i="17"/>
  <c r="E253" i="17"/>
  <c r="D253" i="17"/>
  <c r="C253" i="17"/>
  <c r="A253" i="17"/>
  <c r="AS252" i="17"/>
  <c r="AF252" i="17"/>
  <c r="B253" i="6"/>
  <c r="X252" i="17"/>
  <c r="W252" i="17"/>
  <c r="U252" i="17"/>
  <c r="T252" i="17"/>
  <c r="S252" i="17"/>
  <c r="R252" i="17"/>
  <c r="Q252" i="17"/>
  <c r="P252" i="17"/>
  <c r="O252" i="17"/>
  <c r="N252" i="17"/>
  <c r="M252" i="17"/>
  <c r="L252" i="17"/>
  <c r="K252" i="17"/>
  <c r="J252" i="17"/>
  <c r="I252" i="17"/>
  <c r="H252" i="17"/>
  <c r="G252" i="17"/>
  <c r="F252" i="17"/>
  <c r="E252" i="17"/>
  <c r="D252" i="17"/>
  <c r="C252" i="17"/>
  <c r="A252" i="17"/>
  <c r="AS251" i="17"/>
  <c r="AF251" i="17"/>
  <c r="B252" i="6"/>
  <c r="X251" i="17"/>
  <c r="W251" i="17"/>
  <c r="U251" i="17"/>
  <c r="T251" i="17"/>
  <c r="S251" i="17"/>
  <c r="R251" i="17"/>
  <c r="Q251" i="17"/>
  <c r="P251" i="17"/>
  <c r="O251" i="17"/>
  <c r="N251" i="17"/>
  <c r="M251" i="17"/>
  <c r="L251" i="17"/>
  <c r="K251" i="17"/>
  <c r="J251" i="17"/>
  <c r="I251" i="17"/>
  <c r="H251" i="17"/>
  <c r="G251" i="17"/>
  <c r="F251" i="17"/>
  <c r="E251" i="17"/>
  <c r="D251" i="17"/>
  <c r="C251" i="17"/>
  <c r="A251" i="17"/>
  <c r="AS250" i="17"/>
  <c r="AF250" i="17"/>
  <c r="B251" i="6"/>
  <c r="X250" i="17"/>
  <c r="W250" i="17"/>
  <c r="U250" i="17"/>
  <c r="T250" i="17"/>
  <c r="S250" i="17"/>
  <c r="R250" i="17"/>
  <c r="Q250" i="17"/>
  <c r="P250" i="17"/>
  <c r="O250" i="17"/>
  <c r="N250" i="17"/>
  <c r="M250" i="17"/>
  <c r="L250" i="17"/>
  <c r="K250" i="17"/>
  <c r="J250" i="17"/>
  <c r="I250" i="17"/>
  <c r="H250" i="17"/>
  <c r="G250" i="17"/>
  <c r="F250" i="17"/>
  <c r="E250" i="17"/>
  <c r="D250" i="17"/>
  <c r="C250" i="17"/>
  <c r="A250" i="17"/>
  <c r="AS249" i="17"/>
  <c r="AF249" i="17"/>
  <c r="B250" i="6"/>
  <c r="X249" i="17"/>
  <c r="W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A249" i="17"/>
  <c r="AS248" i="17"/>
  <c r="AF248" i="17"/>
  <c r="B249" i="6"/>
  <c r="X248" i="17"/>
  <c r="W248" i="17"/>
  <c r="U248" i="17"/>
  <c r="T248" i="17"/>
  <c r="S248" i="17"/>
  <c r="R248" i="17"/>
  <c r="Q248" i="17"/>
  <c r="P248" i="17"/>
  <c r="O248" i="17"/>
  <c r="N248" i="17"/>
  <c r="M248" i="17"/>
  <c r="L248" i="17"/>
  <c r="K248" i="17"/>
  <c r="J248" i="17"/>
  <c r="I248" i="17"/>
  <c r="H248" i="17"/>
  <c r="G248" i="17"/>
  <c r="F248" i="17"/>
  <c r="E248" i="17"/>
  <c r="D248" i="17"/>
  <c r="C248" i="17"/>
  <c r="A248" i="17"/>
  <c r="AS247" i="17"/>
  <c r="AF247" i="17"/>
  <c r="B248" i="6"/>
  <c r="X247" i="17"/>
  <c r="W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A247" i="17"/>
  <c r="AS246" i="17"/>
  <c r="AF246" i="17"/>
  <c r="B247" i="6"/>
  <c r="X246" i="17"/>
  <c r="W246" i="17"/>
  <c r="U246" i="17"/>
  <c r="T246" i="17"/>
  <c r="S246" i="17"/>
  <c r="R246" i="17"/>
  <c r="Q246" i="17"/>
  <c r="P246" i="17"/>
  <c r="O246" i="17"/>
  <c r="N246" i="17"/>
  <c r="M246" i="17"/>
  <c r="L246" i="17"/>
  <c r="K246" i="17"/>
  <c r="J246" i="17"/>
  <c r="I246" i="17"/>
  <c r="H246" i="17"/>
  <c r="G246" i="17"/>
  <c r="F246" i="17"/>
  <c r="E246" i="17"/>
  <c r="D246" i="17"/>
  <c r="C246" i="17"/>
  <c r="A246" i="17"/>
  <c r="AS245" i="17"/>
  <c r="AF245" i="17"/>
  <c r="B246" i="6"/>
  <c r="X245" i="17"/>
  <c r="W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A245" i="17"/>
  <c r="AS244" i="17"/>
  <c r="AF244" i="17"/>
  <c r="B245" i="6"/>
  <c r="X244" i="17"/>
  <c r="W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A244" i="17"/>
  <c r="AS243" i="17"/>
  <c r="AF243" i="17"/>
  <c r="B244" i="6"/>
  <c r="X243" i="17"/>
  <c r="W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A243" i="17"/>
  <c r="AS242" i="17"/>
  <c r="AF242" i="17"/>
  <c r="B243" i="6"/>
  <c r="X242" i="17"/>
  <c r="W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A242" i="17"/>
  <c r="AS241" i="17"/>
  <c r="AF241" i="17"/>
  <c r="B242" i="6"/>
  <c r="X241" i="17"/>
  <c r="W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A241" i="17"/>
  <c r="AS240" i="17"/>
  <c r="AF240" i="17"/>
  <c r="B241" i="6"/>
  <c r="X240" i="17"/>
  <c r="W240" i="17"/>
  <c r="U240" i="17"/>
  <c r="T240" i="17"/>
  <c r="S240" i="17"/>
  <c r="R240" i="17"/>
  <c r="Q240" i="17"/>
  <c r="P240" i="17"/>
  <c r="O240" i="17"/>
  <c r="N240" i="17"/>
  <c r="M240" i="17"/>
  <c r="L240" i="17"/>
  <c r="K240" i="17"/>
  <c r="J240" i="17"/>
  <c r="I240" i="17"/>
  <c r="H240" i="17"/>
  <c r="G240" i="17"/>
  <c r="F240" i="17"/>
  <c r="E240" i="17"/>
  <c r="D240" i="17"/>
  <c r="C240" i="17"/>
  <c r="A240" i="17"/>
  <c r="AS239" i="17"/>
  <c r="AF239" i="17"/>
  <c r="B240" i="6"/>
  <c r="X239" i="17"/>
  <c r="W239" i="17"/>
  <c r="U239" i="17"/>
  <c r="T239" i="17"/>
  <c r="S239" i="17"/>
  <c r="R239" i="17"/>
  <c r="Q239" i="17"/>
  <c r="P239" i="17"/>
  <c r="O239" i="17"/>
  <c r="N239" i="17"/>
  <c r="M239" i="17"/>
  <c r="L239" i="17"/>
  <c r="K239" i="17"/>
  <c r="J239" i="17"/>
  <c r="I239" i="17"/>
  <c r="H239" i="17"/>
  <c r="G239" i="17"/>
  <c r="F239" i="17"/>
  <c r="E239" i="17"/>
  <c r="D239" i="17"/>
  <c r="C239" i="17"/>
  <c r="A239" i="17"/>
  <c r="AS238" i="17"/>
  <c r="AF238" i="17"/>
  <c r="B239" i="6"/>
  <c r="X238" i="17"/>
  <c r="W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A238" i="17"/>
  <c r="AS237" i="17"/>
  <c r="AF237" i="17"/>
  <c r="B238" i="6"/>
  <c r="X237" i="17"/>
  <c r="W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A237" i="17"/>
  <c r="AS236" i="17"/>
  <c r="AF236" i="17"/>
  <c r="B237" i="6"/>
  <c r="X236" i="17"/>
  <c r="W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A236" i="17"/>
  <c r="AS235" i="17"/>
  <c r="AF235" i="17"/>
  <c r="B236" i="6"/>
  <c r="X235" i="17"/>
  <c r="W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D235" i="17"/>
  <c r="C235" i="17"/>
  <c r="A235" i="17"/>
  <c r="AS234" i="17"/>
  <c r="AF234" i="17"/>
  <c r="B235" i="6"/>
  <c r="X234" i="17"/>
  <c r="W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A234" i="17"/>
  <c r="AS233" i="17"/>
  <c r="AF233" i="17"/>
  <c r="B234" i="6"/>
  <c r="X233" i="17"/>
  <c r="W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A233" i="17"/>
  <c r="AS232" i="17"/>
  <c r="AF232" i="17"/>
  <c r="B233" i="6"/>
  <c r="X232" i="17"/>
  <c r="W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A232" i="17"/>
  <c r="AS231" i="17"/>
  <c r="AF231" i="17"/>
  <c r="B232" i="6"/>
  <c r="X231" i="17"/>
  <c r="W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A231" i="17"/>
  <c r="AS230" i="17"/>
  <c r="AF230" i="17"/>
  <c r="B231" i="6"/>
  <c r="X230" i="17"/>
  <c r="W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A230" i="17"/>
  <c r="AS229" i="17"/>
  <c r="AF229" i="17"/>
  <c r="B230" i="6"/>
  <c r="X229" i="17"/>
  <c r="W229" i="17"/>
  <c r="U229" i="17"/>
  <c r="T229" i="17"/>
  <c r="S229" i="17"/>
  <c r="R229" i="17"/>
  <c r="Q229" i="17"/>
  <c r="P229" i="17"/>
  <c r="O229" i="17"/>
  <c r="N229" i="17"/>
  <c r="M229" i="17"/>
  <c r="L229" i="17"/>
  <c r="K229" i="17"/>
  <c r="J229" i="17"/>
  <c r="I229" i="17"/>
  <c r="H229" i="17"/>
  <c r="G229" i="17"/>
  <c r="F229" i="17"/>
  <c r="E229" i="17"/>
  <c r="D229" i="17"/>
  <c r="C229" i="17"/>
  <c r="A229" i="17"/>
  <c r="AS228" i="17"/>
  <c r="AF228" i="17"/>
  <c r="B229" i="6"/>
  <c r="X228" i="17"/>
  <c r="W228" i="17"/>
  <c r="U228" i="17"/>
  <c r="T228" i="17"/>
  <c r="S228" i="17"/>
  <c r="R228" i="17"/>
  <c r="Q228" i="17"/>
  <c r="P228" i="17"/>
  <c r="O228" i="17"/>
  <c r="N228" i="17"/>
  <c r="M228" i="17"/>
  <c r="L228" i="17"/>
  <c r="K228" i="17"/>
  <c r="J228" i="17"/>
  <c r="I228" i="17"/>
  <c r="H228" i="17"/>
  <c r="G228" i="17"/>
  <c r="F228" i="17"/>
  <c r="E228" i="17"/>
  <c r="D228" i="17"/>
  <c r="C228" i="17"/>
  <c r="A228" i="17"/>
  <c r="AS227" i="17"/>
  <c r="AF227" i="17"/>
  <c r="B228" i="6"/>
  <c r="X227" i="17"/>
  <c r="W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A227" i="17"/>
  <c r="AS226" i="17"/>
  <c r="AF226" i="17"/>
  <c r="B227" i="6"/>
  <c r="X226" i="17"/>
  <c r="W226" i="17"/>
  <c r="U226" i="17"/>
  <c r="T226" i="17"/>
  <c r="S226" i="17"/>
  <c r="R226" i="17"/>
  <c r="Q226" i="17"/>
  <c r="P226" i="17"/>
  <c r="O226" i="17"/>
  <c r="N226" i="17"/>
  <c r="M226" i="17"/>
  <c r="L226" i="17"/>
  <c r="K226" i="17"/>
  <c r="J226" i="17"/>
  <c r="I226" i="17"/>
  <c r="H226" i="17"/>
  <c r="G226" i="17"/>
  <c r="F226" i="17"/>
  <c r="E226" i="17"/>
  <c r="D226" i="17"/>
  <c r="C226" i="17"/>
  <c r="A226" i="17"/>
  <c r="AS225" i="17"/>
  <c r="AF225" i="17"/>
  <c r="B226" i="6"/>
  <c r="X225" i="17"/>
  <c r="W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A225" i="17"/>
  <c r="AS224" i="17"/>
  <c r="AF224" i="17"/>
  <c r="B225" i="6"/>
  <c r="X224" i="17"/>
  <c r="W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A224" i="17"/>
  <c r="AS223" i="17"/>
  <c r="AF223" i="17"/>
  <c r="B224" i="6"/>
  <c r="X223" i="17"/>
  <c r="W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A223" i="17"/>
  <c r="AS222" i="17"/>
  <c r="AF222" i="17"/>
  <c r="B223" i="6"/>
  <c r="X222" i="17"/>
  <c r="W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A222" i="17"/>
  <c r="AS221" i="17"/>
  <c r="AF221" i="17"/>
  <c r="B222" i="6"/>
  <c r="X221" i="17"/>
  <c r="W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A221" i="17"/>
  <c r="AS220" i="17"/>
  <c r="AF220" i="17"/>
  <c r="B221" i="6"/>
  <c r="X220" i="17"/>
  <c r="W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A220" i="17"/>
  <c r="AS219" i="17"/>
  <c r="AF219" i="17"/>
  <c r="B220" i="6"/>
  <c r="X219" i="17"/>
  <c r="W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A219" i="17"/>
  <c r="AS218" i="17"/>
  <c r="AF218" i="17"/>
  <c r="B219" i="6"/>
  <c r="X218" i="17"/>
  <c r="W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A218" i="17"/>
  <c r="AS217" i="17"/>
  <c r="AF217" i="17"/>
  <c r="B218" i="6"/>
  <c r="X217" i="17"/>
  <c r="W217" i="17"/>
  <c r="U217" i="17"/>
  <c r="T217" i="17"/>
  <c r="S217" i="17"/>
  <c r="R217" i="17"/>
  <c r="Q217" i="17"/>
  <c r="P217" i="17"/>
  <c r="O217" i="17"/>
  <c r="N217" i="17"/>
  <c r="M217" i="17"/>
  <c r="L217" i="17"/>
  <c r="K217" i="17"/>
  <c r="J217" i="17"/>
  <c r="I217" i="17"/>
  <c r="H217" i="17"/>
  <c r="G217" i="17"/>
  <c r="F217" i="17"/>
  <c r="E217" i="17"/>
  <c r="D217" i="17"/>
  <c r="C217" i="17"/>
  <c r="A217" i="17"/>
  <c r="AS216" i="17"/>
  <c r="AF216" i="17"/>
  <c r="B217" i="6"/>
  <c r="X216" i="17"/>
  <c r="W216" i="17"/>
  <c r="U216" i="17"/>
  <c r="T216" i="17"/>
  <c r="S216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F216" i="17"/>
  <c r="E216" i="17"/>
  <c r="D216" i="17"/>
  <c r="C216" i="17"/>
  <c r="A216" i="17"/>
  <c r="AS215" i="17"/>
  <c r="AF215" i="17"/>
  <c r="B216" i="6"/>
  <c r="X215" i="17"/>
  <c r="W215" i="17"/>
  <c r="U215" i="17"/>
  <c r="T215" i="17"/>
  <c r="S215" i="17"/>
  <c r="R215" i="17"/>
  <c r="Q215" i="17"/>
  <c r="P215" i="17"/>
  <c r="O215" i="17"/>
  <c r="N215" i="17"/>
  <c r="M215" i="17"/>
  <c r="L215" i="17"/>
  <c r="K215" i="17"/>
  <c r="J215" i="17"/>
  <c r="I215" i="17"/>
  <c r="H215" i="17"/>
  <c r="G215" i="17"/>
  <c r="F215" i="17"/>
  <c r="E215" i="17"/>
  <c r="D215" i="17"/>
  <c r="C215" i="17"/>
  <c r="A215" i="17"/>
  <c r="AS214" i="17"/>
  <c r="AF214" i="17"/>
  <c r="B215" i="6"/>
  <c r="X214" i="17"/>
  <c r="W214" i="17"/>
  <c r="U214" i="17"/>
  <c r="T214" i="17"/>
  <c r="S214" i="17"/>
  <c r="R214" i="17"/>
  <c r="Q214" i="17"/>
  <c r="P214" i="17"/>
  <c r="O214" i="17"/>
  <c r="N214" i="17"/>
  <c r="M214" i="17"/>
  <c r="L214" i="17"/>
  <c r="K214" i="17"/>
  <c r="J214" i="17"/>
  <c r="I214" i="17"/>
  <c r="H214" i="17"/>
  <c r="G214" i="17"/>
  <c r="F214" i="17"/>
  <c r="E214" i="17"/>
  <c r="D214" i="17"/>
  <c r="C214" i="17"/>
  <c r="A214" i="17"/>
  <c r="AS213" i="17"/>
  <c r="AF213" i="17"/>
  <c r="B214" i="6"/>
  <c r="X213" i="17"/>
  <c r="W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A213" i="17"/>
  <c r="AS212" i="17"/>
  <c r="AF212" i="17"/>
  <c r="B213" i="6"/>
  <c r="X212" i="17"/>
  <c r="W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A212" i="17"/>
  <c r="AS211" i="17"/>
  <c r="AF211" i="17"/>
  <c r="B212" i="6"/>
  <c r="X211" i="17"/>
  <c r="W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A211" i="17"/>
  <c r="AS210" i="17"/>
  <c r="AF210" i="17"/>
  <c r="B211" i="6"/>
  <c r="X210" i="17"/>
  <c r="W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A210" i="17"/>
  <c r="AS209" i="17"/>
  <c r="AF209" i="17"/>
  <c r="B210" i="6"/>
  <c r="X209" i="17"/>
  <c r="W209" i="17"/>
  <c r="U209" i="17"/>
  <c r="T209" i="17"/>
  <c r="S209" i="17"/>
  <c r="R209" i="17"/>
  <c r="Q209" i="17"/>
  <c r="P209" i="17"/>
  <c r="O209" i="17"/>
  <c r="N209" i="17"/>
  <c r="M209" i="17"/>
  <c r="L209" i="17"/>
  <c r="K209" i="17"/>
  <c r="J209" i="17"/>
  <c r="I209" i="17"/>
  <c r="H209" i="17"/>
  <c r="G209" i="17"/>
  <c r="F209" i="17"/>
  <c r="E209" i="17"/>
  <c r="D209" i="17"/>
  <c r="C209" i="17"/>
  <c r="A209" i="17"/>
  <c r="AS208" i="17"/>
  <c r="AF208" i="17"/>
  <c r="B209" i="6"/>
  <c r="X208" i="17"/>
  <c r="W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A208" i="17"/>
  <c r="AS207" i="17"/>
  <c r="AF207" i="17"/>
  <c r="B208" i="6"/>
  <c r="X207" i="17"/>
  <c r="W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A207" i="17"/>
  <c r="AS206" i="17"/>
  <c r="AF206" i="17"/>
  <c r="B207" i="6"/>
  <c r="X206" i="17"/>
  <c r="W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A206" i="17"/>
  <c r="AS205" i="17"/>
  <c r="AF205" i="17"/>
  <c r="B206" i="6"/>
  <c r="X205" i="17"/>
  <c r="W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A205" i="17"/>
  <c r="AS204" i="17"/>
  <c r="AF204" i="17"/>
  <c r="B205" i="6"/>
  <c r="X204" i="17"/>
  <c r="W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A204" i="17"/>
  <c r="AS203" i="17"/>
  <c r="AF203" i="17"/>
  <c r="B204" i="6"/>
  <c r="X203" i="17"/>
  <c r="W203" i="17"/>
  <c r="U203" i="17"/>
  <c r="T203" i="17"/>
  <c r="S203" i="17"/>
  <c r="R203" i="17"/>
  <c r="Q203" i="17"/>
  <c r="P203" i="17"/>
  <c r="O203" i="17"/>
  <c r="N203" i="17"/>
  <c r="M203" i="17"/>
  <c r="L203" i="17"/>
  <c r="K203" i="17"/>
  <c r="J203" i="17"/>
  <c r="I203" i="17"/>
  <c r="H203" i="17"/>
  <c r="G203" i="17"/>
  <c r="F203" i="17"/>
  <c r="E203" i="17"/>
  <c r="D203" i="17"/>
  <c r="C203" i="17"/>
  <c r="A203" i="17"/>
  <c r="AS202" i="17"/>
  <c r="AF202" i="17"/>
  <c r="B203" i="6"/>
  <c r="X202" i="17"/>
  <c r="W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A202" i="17"/>
  <c r="AS201" i="17"/>
  <c r="AF201" i="17"/>
  <c r="B202" i="6"/>
  <c r="X201" i="17"/>
  <c r="W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A201" i="17"/>
  <c r="AS200" i="17"/>
  <c r="AF200" i="17"/>
  <c r="B201" i="6"/>
  <c r="X200" i="17"/>
  <c r="W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A200" i="17"/>
  <c r="AS199" i="17"/>
  <c r="AF199" i="17"/>
  <c r="B200" i="6"/>
  <c r="X199" i="17"/>
  <c r="W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A199" i="17"/>
  <c r="AS198" i="17"/>
  <c r="AF198" i="17"/>
  <c r="B199" i="6"/>
  <c r="X198" i="17"/>
  <c r="W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A198" i="17"/>
  <c r="AS197" i="17"/>
  <c r="AF197" i="17"/>
  <c r="B198" i="6"/>
  <c r="X197" i="17"/>
  <c r="W197" i="17"/>
  <c r="U197" i="17"/>
  <c r="T197" i="17"/>
  <c r="S197" i="17"/>
  <c r="R197" i="17"/>
  <c r="Q197" i="17"/>
  <c r="P197" i="17"/>
  <c r="O197" i="17"/>
  <c r="N197" i="17"/>
  <c r="M197" i="17"/>
  <c r="L197" i="17"/>
  <c r="K197" i="17"/>
  <c r="J197" i="17"/>
  <c r="I197" i="17"/>
  <c r="H197" i="17"/>
  <c r="G197" i="17"/>
  <c r="F197" i="17"/>
  <c r="E197" i="17"/>
  <c r="D197" i="17"/>
  <c r="C197" i="17"/>
  <c r="A197" i="17"/>
  <c r="AS196" i="17"/>
  <c r="AF196" i="17"/>
  <c r="B197" i="6"/>
  <c r="X196" i="17"/>
  <c r="W196" i="17"/>
  <c r="U196" i="17"/>
  <c r="T196" i="17"/>
  <c r="S196" i="17"/>
  <c r="R196" i="17"/>
  <c r="Q196" i="17"/>
  <c r="P196" i="17"/>
  <c r="O196" i="17"/>
  <c r="N196" i="17"/>
  <c r="M196" i="17"/>
  <c r="L196" i="17"/>
  <c r="K196" i="17"/>
  <c r="J196" i="17"/>
  <c r="I196" i="17"/>
  <c r="H196" i="17"/>
  <c r="G196" i="17"/>
  <c r="F196" i="17"/>
  <c r="E196" i="17"/>
  <c r="D196" i="17"/>
  <c r="C196" i="17"/>
  <c r="A196" i="17"/>
  <c r="AS195" i="17"/>
  <c r="AF195" i="17"/>
  <c r="B196" i="6"/>
  <c r="X195" i="17"/>
  <c r="W195" i="17"/>
  <c r="U195" i="17"/>
  <c r="T195" i="17"/>
  <c r="S195" i="17"/>
  <c r="R195" i="17"/>
  <c r="Q195" i="17"/>
  <c r="P195" i="17"/>
  <c r="O195" i="17"/>
  <c r="N195" i="17"/>
  <c r="M195" i="17"/>
  <c r="L195" i="17"/>
  <c r="K195" i="17"/>
  <c r="J195" i="17"/>
  <c r="I195" i="17"/>
  <c r="H195" i="17"/>
  <c r="G195" i="17"/>
  <c r="F195" i="17"/>
  <c r="E195" i="17"/>
  <c r="D195" i="17"/>
  <c r="C195" i="17"/>
  <c r="A195" i="17"/>
  <c r="AS194" i="17"/>
  <c r="AF194" i="17"/>
  <c r="B195" i="6"/>
  <c r="X194" i="17"/>
  <c r="W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A194" i="17"/>
  <c r="AS193" i="17"/>
  <c r="AF193" i="17"/>
  <c r="B194" i="6"/>
  <c r="X193" i="17"/>
  <c r="W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A193" i="17"/>
  <c r="AS192" i="17"/>
  <c r="AF192" i="17"/>
  <c r="B193" i="6"/>
  <c r="X192" i="17"/>
  <c r="W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A192" i="17"/>
  <c r="AS191" i="17"/>
  <c r="AF191" i="17"/>
  <c r="B192" i="6"/>
  <c r="X191" i="17"/>
  <c r="W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A191" i="17"/>
  <c r="AS190" i="17"/>
  <c r="AF190" i="17"/>
  <c r="B191" i="6"/>
  <c r="X190" i="17"/>
  <c r="W190" i="17"/>
  <c r="U190" i="17"/>
  <c r="T190" i="17"/>
  <c r="S190" i="17"/>
  <c r="R190" i="17"/>
  <c r="Q190" i="17"/>
  <c r="P190" i="17"/>
  <c r="O190" i="17"/>
  <c r="N190" i="17"/>
  <c r="M190" i="17"/>
  <c r="L190" i="17"/>
  <c r="K190" i="17"/>
  <c r="J190" i="17"/>
  <c r="I190" i="17"/>
  <c r="H190" i="17"/>
  <c r="G190" i="17"/>
  <c r="F190" i="17"/>
  <c r="E190" i="17"/>
  <c r="D190" i="17"/>
  <c r="C190" i="17"/>
  <c r="A190" i="17"/>
  <c r="AS189" i="17"/>
  <c r="AF189" i="17"/>
  <c r="B190" i="6"/>
  <c r="X189" i="17"/>
  <c r="W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A189" i="17"/>
  <c r="AS188" i="17"/>
  <c r="AF188" i="17"/>
  <c r="B189" i="6"/>
  <c r="X188" i="17"/>
  <c r="W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A188" i="17"/>
  <c r="AS187" i="17"/>
  <c r="AF187" i="17"/>
  <c r="B188" i="6"/>
  <c r="X187" i="17"/>
  <c r="W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A187" i="17"/>
  <c r="AS186" i="17"/>
  <c r="AF186" i="17"/>
  <c r="B187" i="6"/>
  <c r="X186" i="17"/>
  <c r="W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A186" i="17"/>
  <c r="AS185" i="17"/>
  <c r="AF185" i="17"/>
  <c r="B186" i="6"/>
  <c r="X185" i="17"/>
  <c r="W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A185" i="17"/>
  <c r="AS184" i="17"/>
  <c r="AF184" i="17"/>
  <c r="B185" i="6"/>
  <c r="X184" i="17"/>
  <c r="W184" i="17"/>
  <c r="U184" i="17"/>
  <c r="T184" i="17"/>
  <c r="S184" i="17"/>
  <c r="R184" i="17"/>
  <c r="Q184" i="17"/>
  <c r="P184" i="17"/>
  <c r="O184" i="17"/>
  <c r="N184" i="17"/>
  <c r="M184" i="17"/>
  <c r="L184" i="17"/>
  <c r="K184" i="17"/>
  <c r="J184" i="17"/>
  <c r="I184" i="17"/>
  <c r="H184" i="17"/>
  <c r="G184" i="17"/>
  <c r="F184" i="17"/>
  <c r="E184" i="17"/>
  <c r="D184" i="17"/>
  <c r="C184" i="17"/>
  <c r="A184" i="17"/>
  <c r="AS183" i="17"/>
  <c r="AF183" i="17"/>
  <c r="B184" i="6"/>
  <c r="X183" i="17"/>
  <c r="W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A183" i="17"/>
  <c r="AS182" i="17"/>
  <c r="AF182" i="17"/>
  <c r="B183" i="6"/>
  <c r="X182" i="17"/>
  <c r="W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A182" i="17"/>
  <c r="AS181" i="17"/>
  <c r="AF181" i="17"/>
  <c r="B182" i="6"/>
  <c r="X181" i="17"/>
  <c r="W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A181" i="17"/>
  <c r="AS180" i="17"/>
  <c r="AF180" i="17"/>
  <c r="B181" i="6"/>
  <c r="X180" i="17"/>
  <c r="W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A180" i="17"/>
  <c r="AS179" i="17"/>
  <c r="AF179" i="17"/>
  <c r="B180" i="6"/>
  <c r="X179" i="17"/>
  <c r="W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A179" i="17"/>
  <c r="AS178" i="17"/>
  <c r="AF178" i="17"/>
  <c r="B179" i="6"/>
  <c r="X178" i="17"/>
  <c r="W178" i="17"/>
  <c r="U178" i="17"/>
  <c r="T178" i="17"/>
  <c r="S178" i="17"/>
  <c r="R178" i="17"/>
  <c r="Q178" i="17"/>
  <c r="P178" i="17"/>
  <c r="O178" i="17"/>
  <c r="N178" i="17"/>
  <c r="M178" i="17"/>
  <c r="L178" i="17"/>
  <c r="K178" i="17"/>
  <c r="J178" i="17"/>
  <c r="I178" i="17"/>
  <c r="H178" i="17"/>
  <c r="G178" i="17"/>
  <c r="F178" i="17"/>
  <c r="E178" i="17"/>
  <c r="D178" i="17"/>
  <c r="C178" i="17"/>
  <c r="A178" i="17"/>
  <c r="AS177" i="17"/>
  <c r="AF177" i="17"/>
  <c r="B178" i="6"/>
  <c r="X177" i="17"/>
  <c r="W177" i="17"/>
  <c r="U177" i="17"/>
  <c r="T177" i="17"/>
  <c r="S177" i="17"/>
  <c r="R177" i="17"/>
  <c r="Q177" i="17"/>
  <c r="P177" i="17"/>
  <c r="O177" i="17"/>
  <c r="N177" i="17"/>
  <c r="M177" i="17"/>
  <c r="L177" i="17"/>
  <c r="K177" i="17"/>
  <c r="J177" i="17"/>
  <c r="I177" i="17"/>
  <c r="H177" i="17"/>
  <c r="G177" i="17"/>
  <c r="F177" i="17"/>
  <c r="E177" i="17"/>
  <c r="D177" i="17"/>
  <c r="C177" i="17"/>
  <c r="A177" i="17"/>
  <c r="AS176" i="17"/>
  <c r="AF176" i="17"/>
  <c r="B177" i="6"/>
  <c r="X176" i="17"/>
  <c r="W176" i="17"/>
  <c r="U176" i="17"/>
  <c r="T176" i="17"/>
  <c r="S176" i="17"/>
  <c r="R176" i="17"/>
  <c r="Q176" i="17"/>
  <c r="P176" i="17"/>
  <c r="O176" i="17"/>
  <c r="N176" i="17"/>
  <c r="M176" i="17"/>
  <c r="L176" i="17"/>
  <c r="K176" i="17"/>
  <c r="J176" i="17"/>
  <c r="I176" i="17"/>
  <c r="H176" i="17"/>
  <c r="G176" i="17"/>
  <c r="F176" i="17"/>
  <c r="E176" i="17"/>
  <c r="D176" i="17"/>
  <c r="C176" i="17"/>
  <c r="A176" i="17"/>
  <c r="AS175" i="17"/>
  <c r="AF175" i="17"/>
  <c r="B176" i="6"/>
  <c r="X175" i="17"/>
  <c r="W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A175" i="17"/>
  <c r="AS174" i="17"/>
  <c r="AF174" i="17"/>
  <c r="B175" i="6"/>
  <c r="X174" i="17"/>
  <c r="W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A174" i="17"/>
  <c r="AS173" i="17"/>
  <c r="AF173" i="17"/>
  <c r="B174" i="6"/>
  <c r="X173" i="17"/>
  <c r="W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A173" i="17"/>
  <c r="AS172" i="17"/>
  <c r="AF172" i="17"/>
  <c r="B173" i="6"/>
  <c r="X172" i="17"/>
  <c r="W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A172" i="17"/>
  <c r="AS171" i="17"/>
  <c r="AF171" i="17"/>
  <c r="B172" i="6"/>
  <c r="X171" i="17"/>
  <c r="W171" i="17"/>
  <c r="U171" i="17"/>
  <c r="T171" i="17"/>
  <c r="S171" i="17"/>
  <c r="R171" i="17"/>
  <c r="Q171" i="17"/>
  <c r="P171" i="17"/>
  <c r="O171" i="17"/>
  <c r="N171" i="17"/>
  <c r="M171" i="17"/>
  <c r="L171" i="17"/>
  <c r="K171" i="17"/>
  <c r="J171" i="17"/>
  <c r="I171" i="17"/>
  <c r="H171" i="17"/>
  <c r="G171" i="17"/>
  <c r="F171" i="17"/>
  <c r="E171" i="17"/>
  <c r="D171" i="17"/>
  <c r="C171" i="17"/>
  <c r="A171" i="17"/>
  <c r="AS170" i="17"/>
  <c r="AF170" i="17"/>
  <c r="B171" i="6"/>
  <c r="X170" i="17"/>
  <c r="W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A170" i="17"/>
  <c r="AS169" i="17"/>
  <c r="AF169" i="17"/>
  <c r="B170" i="6"/>
  <c r="X169" i="17"/>
  <c r="W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A169" i="17"/>
  <c r="AS168" i="17"/>
  <c r="AF168" i="17"/>
  <c r="B169" i="6"/>
  <c r="X168" i="17"/>
  <c r="W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A168" i="17"/>
  <c r="AS167" i="17"/>
  <c r="AF167" i="17"/>
  <c r="B168" i="6"/>
  <c r="X167" i="17"/>
  <c r="W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A167" i="17"/>
  <c r="AS166" i="17"/>
  <c r="AF166" i="17"/>
  <c r="B167" i="6"/>
  <c r="X166" i="17"/>
  <c r="W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A166" i="17"/>
  <c r="AS165" i="17"/>
  <c r="AF165" i="17"/>
  <c r="B166" i="6"/>
  <c r="X165" i="17"/>
  <c r="W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A165" i="17"/>
  <c r="AS164" i="17"/>
  <c r="AF164" i="17"/>
  <c r="B165" i="6"/>
  <c r="X164" i="17"/>
  <c r="W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A164" i="17"/>
  <c r="AS163" i="17"/>
  <c r="AF163" i="17"/>
  <c r="B164" i="6"/>
  <c r="X163" i="17"/>
  <c r="W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A163" i="17"/>
  <c r="AS162" i="17"/>
  <c r="AF162" i="17"/>
  <c r="B163" i="6"/>
  <c r="X162" i="17"/>
  <c r="W162" i="17"/>
  <c r="U162" i="17"/>
  <c r="T162" i="17"/>
  <c r="S162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A162" i="17"/>
  <c r="AS161" i="17"/>
  <c r="AF161" i="17"/>
  <c r="B162" i="6"/>
  <c r="X161" i="17"/>
  <c r="W161" i="17"/>
  <c r="U161" i="17"/>
  <c r="T161" i="17"/>
  <c r="S161" i="17"/>
  <c r="R161" i="17"/>
  <c r="Q161" i="17"/>
  <c r="P161" i="17"/>
  <c r="O161" i="17"/>
  <c r="N161" i="17"/>
  <c r="M161" i="17"/>
  <c r="L161" i="17"/>
  <c r="K161" i="17"/>
  <c r="J161" i="17"/>
  <c r="I161" i="17"/>
  <c r="H161" i="17"/>
  <c r="G161" i="17"/>
  <c r="F161" i="17"/>
  <c r="E161" i="17"/>
  <c r="D161" i="17"/>
  <c r="C161" i="17"/>
  <c r="A161" i="17"/>
  <c r="AS160" i="17"/>
  <c r="AF160" i="17"/>
  <c r="B161" i="6"/>
  <c r="X160" i="17"/>
  <c r="W160" i="17"/>
  <c r="U160" i="17"/>
  <c r="T160" i="17"/>
  <c r="S160" i="17"/>
  <c r="R160" i="17"/>
  <c r="Q160" i="17"/>
  <c r="P160" i="17"/>
  <c r="O160" i="17"/>
  <c r="N160" i="17"/>
  <c r="M160" i="17"/>
  <c r="L160" i="17"/>
  <c r="K160" i="17"/>
  <c r="J160" i="17"/>
  <c r="I160" i="17"/>
  <c r="H160" i="17"/>
  <c r="G160" i="17"/>
  <c r="F160" i="17"/>
  <c r="E160" i="17"/>
  <c r="D160" i="17"/>
  <c r="C160" i="17"/>
  <c r="A160" i="17"/>
  <c r="AS159" i="17"/>
  <c r="AF159" i="17"/>
  <c r="B160" i="6"/>
  <c r="X159" i="17"/>
  <c r="W159" i="17"/>
  <c r="U159" i="17"/>
  <c r="T159" i="17"/>
  <c r="S159" i="17"/>
  <c r="R159" i="17"/>
  <c r="Q159" i="17"/>
  <c r="P159" i="17"/>
  <c r="O159" i="17"/>
  <c r="N159" i="17"/>
  <c r="M159" i="17"/>
  <c r="L159" i="17"/>
  <c r="K159" i="17"/>
  <c r="J159" i="17"/>
  <c r="I159" i="17"/>
  <c r="H159" i="17"/>
  <c r="G159" i="17"/>
  <c r="F159" i="17"/>
  <c r="E159" i="17"/>
  <c r="D159" i="17"/>
  <c r="C159" i="17"/>
  <c r="A159" i="17"/>
  <c r="AS158" i="17"/>
  <c r="AF158" i="17"/>
  <c r="B159" i="6"/>
  <c r="X158" i="17"/>
  <c r="W158" i="17"/>
  <c r="U158" i="17"/>
  <c r="T158" i="17"/>
  <c r="S158" i="17"/>
  <c r="R158" i="17"/>
  <c r="Q158" i="17"/>
  <c r="P158" i="17"/>
  <c r="O158" i="17"/>
  <c r="N158" i="17"/>
  <c r="M158" i="17"/>
  <c r="L158" i="17"/>
  <c r="K158" i="17"/>
  <c r="J158" i="17"/>
  <c r="I158" i="17"/>
  <c r="H158" i="17"/>
  <c r="G158" i="17"/>
  <c r="F158" i="17"/>
  <c r="E158" i="17"/>
  <c r="D158" i="17"/>
  <c r="C158" i="17"/>
  <c r="A158" i="17"/>
  <c r="AS157" i="17"/>
  <c r="AF157" i="17"/>
  <c r="B158" i="6"/>
  <c r="X157" i="17"/>
  <c r="W157" i="17"/>
  <c r="U157" i="17"/>
  <c r="T157" i="17"/>
  <c r="S157" i="17"/>
  <c r="R157" i="17"/>
  <c r="Q157" i="17"/>
  <c r="P157" i="17"/>
  <c r="O157" i="17"/>
  <c r="N157" i="17"/>
  <c r="M157" i="17"/>
  <c r="L157" i="17"/>
  <c r="K157" i="17"/>
  <c r="J157" i="17"/>
  <c r="I157" i="17"/>
  <c r="H157" i="17"/>
  <c r="G157" i="17"/>
  <c r="F157" i="17"/>
  <c r="E157" i="17"/>
  <c r="D157" i="17"/>
  <c r="C157" i="17"/>
  <c r="A157" i="17"/>
  <c r="AS156" i="17"/>
  <c r="AF156" i="17"/>
  <c r="B157" i="6"/>
  <c r="X156" i="17"/>
  <c r="W156" i="17"/>
  <c r="U156" i="17"/>
  <c r="T156" i="17"/>
  <c r="S156" i="17"/>
  <c r="R156" i="17"/>
  <c r="Q156" i="17"/>
  <c r="P156" i="17"/>
  <c r="O156" i="17"/>
  <c r="N156" i="17"/>
  <c r="M156" i="17"/>
  <c r="L156" i="17"/>
  <c r="K156" i="17"/>
  <c r="J156" i="17"/>
  <c r="I156" i="17"/>
  <c r="H156" i="17"/>
  <c r="G156" i="17"/>
  <c r="F156" i="17"/>
  <c r="E156" i="17"/>
  <c r="D156" i="17"/>
  <c r="C156" i="17"/>
  <c r="A156" i="17"/>
  <c r="AS155" i="17"/>
  <c r="AF155" i="17"/>
  <c r="B156" i="6"/>
  <c r="X155" i="17"/>
  <c r="W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A155" i="17"/>
  <c r="AS154" i="17"/>
  <c r="AF154" i="17"/>
  <c r="B155" i="6"/>
  <c r="X154" i="17"/>
  <c r="W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A154" i="17"/>
  <c r="AS153" i="17"/>
  <c r="AF153" i="17"/>
  <c r="B154" i="6"/>
  <c r="X153" i="17"/>
  <c r="W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A153" i="17"/>
  <c r="AS152" i="17"/>
  <c r="AF152" i="17"/>
  <c r="B153" i="6"/>
  <c r="X152" i="17"/>
  <c r="W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A152" i="17"/>
  <c r="AS151" i="17"/>
  <c r="AF151" i="17"/>
  <c r="B152" i="6"/>
  <c r="X151" i="17"/>
  <c r="W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A151" i="17"/>
  <c r="AS150" i="17"/>
  <c r="AF150" i="17"/>
  <c r="B151" i="6"/>
  <c r="X150" i="17"/>
  <c r="W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A150" i="17"/>
  <c r="AS149" i="17"/>
  <c r="AF149" i="17"/>
  <c r="B150" i="6"/>
  <c r="X149" i="17"/>
  <c r="W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A149" i="17"/>
  <c r="AS148" i="17"/>
  <c r="AF148" i="17"/>
  <c r="B149" i="6"/>
  <c r="X148" i="17"/>
  <c r="W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A148" i="17"/>
  <c r="AS147" i="17"/>
  <c r="AF147" i="17"/>
  <c r="B148" i="6"/>
  <c r="X147" i="17"/>
  <c r="W147" i="17"/>
  <c r="U147" i="17"/>
  <c r="T147" i="17"/>
  <c r="S147" i="17"/>
  <c r="R147" i="17"/>
  <c r="Q147" i="17"/>
  <c r="P147" i="17"/>
  <c r="O147" i="17"/>
  <c r="N147" i="17"/>
  <c r="M147" i="17"/>
  <c r="L147" i="17"/>
  <c r="K147" i="17"/>
  <c r="J147" i="17"/>
  <c r="I147" i="17"/>
  <c r="H147" i="17"/>
  <c r="G147" i="17"/>
  <c r="F147" i="17"/>
  <c r="E147" i="17"/>
  <c r="D147" i="17"/>
  <c r="C147" i="17"/>
  <c r="A147" i="17"/>
  <c r="AS146" i="17"/>
  <c r="AF146" i="17"/>
  <c r="B147" i="6"/>
  <c r="X146" i="17"/>
  <c r="W146" i="17"/>
  <c r="U146" i="17"/>
  <c r="T146" i="17"/>
  <c r="S146" i="17"/>
  <c r="R146" i="17"/>
  <c r="Q146" i="17"/>
  <c r="P146" i="17"/>
  <c r="O146" i="17"/>
  <c r="N146" i="17"/>
  <c r="M146" i="17"/>
  <c r="L146" i="17"/>
  <c r="K146" i="17"/>
  <c r="J146" i="17"/>
  <c r="I146" i="17"/>
  <c r="H146" i="17"/>
  <c r="G146" i="17"/>
  <c r="F146" i="17"/>
  <c r="E146" i="17"/>
  <c r="D146" i="17"/>
  <c r="C146" i="17"/>
  <c r="A146" i="17"/>
  <c r="AS145" i="17"/>
  <c r="AF145" i="17"/>
  <c r="B146" i="6"/>
  <c r="X145" i="17"/>
  <c r="W145" i="17"/>
  <c r="U145" i="17"/>
  <c r="T145" i="17"/>
  <c r="S145" i="17"/>
  <c r="R145" i="17"/>
  <c r="Q145" i="17"/>
  <c r="P145" i="17"/>
  <c r="O145" i="17"/>
  <c r="N145" i="17"/>
  <c r="M145" i="17"/>
  <c r="L145" i="17"/>
  <c r="K145" i="17"/>
  <c r="J145" i="17"/>
  <c r="I145" i="17"/>
  <c r="H145" i="17"/>
  <c r="G145" i="17"/>
  <c r="F145" i="17"/>
  <c r="E145" i="17"/>
  <c r="D145" i="17"/>
  <c r="C145" i="17"/>
  <c r="A145" i="17"/>
  <c r="AS144" i="17"/>
  <c r="AF144" i="17"/>
  <c r="B145" i="6"/>
  <c r="X144" i="17"/>
  <c r="W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A144" i="17"/>
  <c r="AS143" i="17"/>
  <c r="AF143" i="17"/>
  <c r="B144" i="6"/>
  <c r="X143" i="17"/>
  <c r="W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A143" i="17"/>
  <c r="AS142" i="17"/>
  <c r="AF142" i="17"/>
  <c r="B143" i="6"/>
  <c r="X142" i="17"/>
  <c r="W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A142" i="17"/>
  <c r="AS141" i="17"/>
  <c r="AF141" i="17"/>
  <c r="B142" i="6"/>
  <c r="X141" i="17"/>
  <c r="W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A141" i="17"/>
  <c r="AS140" i="17"/>
  <c r="AF140" i="17"/>
  <c r="B141" i="6"/>
  <c r="X140" i="17"/>
  <c r="W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A140" i="17"/>
  <c r="AS139" i="17"/>
  <c r="AF139" i="17"/>
  <c r="B140" i="6"/>
  <c r="X139" i="17"/>
  <c r="W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A139" i="17"/>
  <c r="AS138" i="17"/>
  <c r="AF138" i="17"/>
  <c r="B139" i="6"/>
  <c r="X138" i="17"/>
  <c r="W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A138" i="17"/>
  <c r="AS137" i="17"/>
  <c r="AF137" i="17"/>
  <c r="B138" i="6"/>
  <c r="X137" i="17"/>
  <c r="W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A137" i="17"/>
  <c r="AS136" i="17"/>
  <c r="AF136" i="17"/>
  <c r="B137" i="6"/>
  <c r="X136" i="17"/>
  <c r="W136" i="17"/>
  <c r="U136" i="17"/>
  <c r="T136" i="17"/>
  <c r="S136" i="17"/>
  <c r="R136" i="17"/>
  <c r="Q136" i="17"/>
  <c r="P136" i="17"/>
  <c r="O136" i="17"/>
  <c r="N136" i="17"/>
  <c r="M136" i="17"/>
  <c r="L136" i="17"/>
  <c r="K136" i="17"/>
  <c r="J136" i="17"/>
  <c r="I136" i="17"/>
  <c r="H136" i="17"/>
  <c r="G136" i="17"/>
  <c r="F136" i="17"/>
  <c r="E136" i="17"/>
  <c r="D136" i="17"/>
  <c r="C136" i="17"/>
  <c r="A136" i="17"/>
  <c r="AS135" i="17"/>
  <c r="AF135" i="17"/>
  <c r="B136" i="6"/>
  <c r="X135" i="17"/>
  <c r="W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D135" i="17"/>
  <c r="C135" i="17"/>
  <c r="A135" i="17"/>
  <c r="AS134" i="17"/>
  <c r="AF134" i="17"/>
  <c r="B135" i="6"/>
  <c r="X134" i="17"/>
  <c r="W134" i="17"/>
  <c r="U134" i="17"/>
  <c r="T134" i="17"/>
  <c r="S134" i="17"/>
  <c r="R134" i="17"/>
  <c r="Q134" i="17"/>
  <c r="P134" i="17"/>
  <c r="O134" i="17"/>
  <c r="N134" i="17"/>
  <c r="M134" i="17"/>
  <c r="L134" i="17"/>
  <c r="K134" i="17"/>
  <c r="J134" i="17"/>
  <c r="I134" i="17"/>
  <c r="H134" i="17"/>
  <c r="G134" i="17"/>
  <c r="F134" i="17"/>
  <c r="E134" i="17"/>
  <c r="D134" i="17"/>
  <c r="C134" i="17"/>
  <c r="A134" i="17"/>
  <c r="AS133" i="17"/>
  <c r="AF133" i="17"/>
  <c r="B134" i="6"/>
  <c r="X133" i="17"/>
  <c r="W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A133" i="17"/>
  <c r="AS132" i="17"/>
  <c r="AF132" i="17"/>
  <c r="B133" i="6"/>
  <c r="X132" i="17"/>
  <c r="W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A132" i="17"/>
  <c r="AS131" i="17"/>
  <c r="AF131" i="17"/>
  <c r="B132" i="6"/>
  <c r="X131" i="17"/>
  <c r="W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A131" i="17"/>
  <c r="AS130" i="17"/>
  <c r="AF130" i="17"/>
  <c r="B131" i="6"/>
  <c r="X130" i="17"/>
  <c r="W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A130" i="17"/>
  <c r="AS129" i="17"/>
  <c r="AF129" i="17"/>
  <c r="B130" i="6"/>
  <c r="X129" i="17"/>
  <c r="W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A129" i="17"/>
  <c r="AS128" i="17"/>
  <c r="AF128" i="17"/>
  <c r="B129" i="6"/>
  <c r="X128" i="17"/>
  <c r="W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A128" i="17"/>
  <c r="AS127" i="17"/>
  <c r="AF127" i="17"/>
  <c r="B128" i="6"/>
  <c r="X127" i="17"/>
  <c r="W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A127" i="17"/>
  <c r="AS126" i="17"/>
  <c r="AF126" i="17"/>
  <c r="B127" i="6"/>
  <c r="X126" i="17"/>
  <c r="W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A126" i="17"/>
  <c r="AS125" i="17"/>
  <c r="AF125" i="17"/>
  <c r="B126" i="6"/>
  <c r="X125" i="17"/>
  <c r="W125" i="17"/>
  <c r="U125" i="17"/>
  <c r="T125" i="17"/>
  <c r="S125" i="17"/>
  <c r="R125" i="17"/>
  <c r="Q125" i="17"/>
  <c r="P125" i="17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C125" i="17"/>
  <c r="A125" i="17"/>
  <c r="AS124" i="17"/>
  <c r="AF124" i="17"/>
  <c r="B125" i="6"/>
  <c r="X124" i="17"/>
  <c r="W124" i="17"/>
  <c r="U124" i="17"/>
  <c r="T124" i="17"/>
  <c r="S124" i="17"/>
  <c r="R124" i="17"/>
  <c r="Q124" i="17"/>
  <c r="P124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C124" i="17"/>
  <c r="A124" i="17"/>
  <c r="AS123" i="17"/>
  <c r="AF123" i="17"/>
  <c r="B124" i="6"/>
  <c r="X123" i="17"/>
  <c r="W123" i="17"/>
  <c r="U123" i="17"/>
  <c r="T123" i="17"/>
  <c r="S123" i="17"/>
  <c r="R123" i="17"/>
  <c r="Q123" i="17"/>
  <c r="P123" i="17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C123" i="17"/>
  <c r="A123" i="17"/>
  <c r="AS122" i="17"/>
  <c r="AF122" i="17"/>
  <c r="B123" i="6"/>
  <c r="X122" i="17"/>
  <c r="W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A122" i="17"/>
  <c r="AS121" i="17"/>
  <c r="AF121" i="17"/>
  <c r="B122" i="6"/>
  <c r="X121" i="17"/>
  <c r="W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A121" i="17"/>
  <c r="AS120" i="17"/>
  <c r="AF120" i="17"/>
  <c r="B121" i="6"/>
  <c r="X120" i="17"/>
  <c r="W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A120" i="17"/>
  <c r="AS119" i="17"/>
  <c r="AF119" i="17"/>
  <c r="B120" i="6"/>
  <c r="X119" i="17"/>
  <c r="W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A119" i="17"/>
  <c r="AS118" i="17"/>
  <c r="AF118" i="17"/>
  <c r="B119" i="6"/>
  <c r="X118" i="17"/>
  <c r="W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A118" i="17"/>
  <c r="AS117" i="17"/>
  <c r="AF117" i="17"/>
  <c r="B118" i="6"/>
  <c r="X117" i="17"/>
  <c r="W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A117" i="17"/>
  <c r="AS116" i="17"/>
  <c r="AF116" i="17"/>
  <c r="B117" i="6"/>
  <c r="X116" i="17"/>
  <c r="W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A116" i="17"/>
  <c r="AS115" i="17"/>
  <c r="AF115" i="17"/>
  <c r="B116" i="6"/>
  <c r="X115" i="17"/>
  <c r="W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A115" i="17"/>
  <c r="AS114" i="17"/>
  <c r="AF114" i="17"/>
  <c r="B115" i="6"/>
  <c r="X114" i="17"/>
  <c r="W114" i="17"/>
  <c r="U114" i="17"/>
  <c r="T114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C114" i="17"/>
  <c r="A114" i="17"/>
  <c r="AS113" i="17"/>
  <c r="AF113" i="17"/>
  <c r="B114" i="6"/>
  <c r="X113" i="17"/>
  <c r="W113" i="17"/>
  <c r="U113" i="17"/>
  <c r="T113" i="17"/>
  <c r="S113" i="17"/>
  <c r="R113" i="17"/>
  <c r="Q113" i="17"/>
  <c r="P113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C113" i="17"/>
  <c r="A113" i="17"/>
  <c r="AS112" i="17"/>
  <c r="AF112" i="17"/>
  <c r="B113" i="6"/>
  <c r="X112" i="17"/>
  <c r="W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C112" i="17"/>
  <c r="A112" i="17"/>
  <c r="AS111" i="17"/>
  <c r="AF111" i="17"/>
  <c r="B112" i="6"/>
  <c r="X111" i="17"/>
  <c r="W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A111" i="17"/>
  <c r="AS110" i="17"/>
  <c r="AF110" i="17"/>
  <c r="B111" i="6"/>
  <c r="X110" i="17"/>
  <c r="W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A110" i="17"/>
  <c r="AS109" i="17"/>
  <c r="AF109" i="17"/>
  <c r="B110" i="6"/>
  <c r="X109" i="17"/>
  <c r="W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A109" i="17"/>
  <c r="AS108" i="17"/>
  <c r="AF108" i="17"/>
  <c r="B109" i="6"/>
  <c r="X108" i="17"/>
  <c r="W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A108" i="17"/>
  <c r="AS107" i="17"/>
  <c r="AF107" i="17"/>
  <c r="B108" i="6"/>
  <c r="X107" i="17"/>
  <c r="W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A107" i="17"/>
  <c r="AS106" i="17"/>
  <c r="AF106" i="17"/>
  <c r="B107" i="6"/>
  <c r="X106" i="17"/>
  <c r="W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A106" i="17"/>
  <c r="AS105" i="17"/>
  <c r="AF105" i="17"/>
  <c r="B106" i="6"/>
  <c r="X105" i="17"/>
  <c r="W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A105" i="17"/>
  <c r="AS104" i="17"/>
  <c r="AF104" i="17"/>
  <c r="B105" i="6"/>
  <c r="X104" i="17"/>
  <c r="W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A104" i="17"/>
  <c r="AS103" i="17"/>
  <c r="AF103" i="17"/>
  <c r="B104" i="6"/>
  <c r="X103" i="17"/>
  <c r="W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A103" i="17"/>
  <c r="AS102" i="17"/>
  <c r="AF102" i="17"/>
  <c r="B103" i="6"/>
  <c r="X102" i="17"/>
  <c r="W102" i="17"/>
  <c r="U102" i="17"/>
  <c r="T102" i="17"/>
  <c r="S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A102" i="17"/>
  <c r="AS101" i="17"/>
  <c r="AF101" i="17"/>
  <c r="B102" i="6"/>
  <c r="X101" i="17"/>
  <c r="W101" i="17"/>
  <c r="U101" i="17"/>
  <c r="T101" i="17"/>
  <c r="S101" i="17"/>
  <c r="R101" i="17"/>
  <c r="Q101" i="17"/>
  <c r="P101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A101" i="17"/>
  <c r="AS100" i="17"/>
  <c r="AF100" i="17"/>
  <c r="B101" i="6"/>
  <c r="X100" i="17"/>
  <c r="W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A100" i="17"/>
  <c r="AS99" i="17"/>
  <c r="AF99" i="17"/>
  <c r="B100" i="6"/>
  <c r="X99" i="17"/>
  <c r="W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A99" i="17"/>
  <c r="AS98" i="17"/>
  <c r="AF98" i="17"/>
  <c r="B99" i="6"/>
  <c r="X98" i="17"/>
  <c r="W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A98" i="17"/>
  <c r="AS97" i="17"/>
  <c r="AF97" i="17"/>
  <c r="B98" i="6"/>
  <c r="X97" i="17"/>
  <c r="W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A97" i="17"/>
  <c r="AS96" i="17"/>
  <c r="AF96" i="17"/>
  <c r="B97" i="6"/>
  <c r="X96" i="17"/>
  <c r="W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A96" i="17"/>
  <c r="AS95" i="17"/>
  <c r="AF95" i="17"/>
  <c r="B96" i="6"/>
  <c r="X95" i="17"/>
  <c r="W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A95" i="17"/>
  <c r="AS94" i="17"/>
  <c r="AF94" i="17"/>
  <c r="B95" i="6"/>
  <c r="X94" i="17"/>
  <c r="W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A94" i="17"/>
  <c r="AS93" i="17"/>
  <c r="AF93" i="17"/>
  <c r="B94" i="6"/>
  <c r="X93" i="17"/>
  <c r="W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A93" i="17"/>
  <c r="AS92" i="17"/>
  <c r="AF92" i="17"/>
  <c r="B93" i="6"/>
  <c r="X92" i="17"/>
  <c r="W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A92" i="17"/>
  <c r="AS91" i="17"/>
  <c r="AF91" i="17"/>
  <c r="B92" i="6"/>
  <c r="X91" i="17"/>
  <c r="W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A91" i="17"/>
  <c r="AS90" i="17"/>
  <c r="AF90" i="17"/>
  <c r="B91" i="6"/>
  <c r="X90" i="17"/>
  <c r="W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A90" i="17"/>
  <c r="AS89" i="17"/>
  <c r="AF89" i="17"/>
  <c r="B90" i="6"/>
  <c r="X89" i="17"/>
  <c r="W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A89" i="17"/>
  <c r="AS88" i="17"/>
  <c r="AF88" i="17"/>
  <c r="B89" i="6"/>
  <c r="X88" i="17"/>
  <c r="W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A88" i="17"/>
  <c r="AS87" i="17"/>
  <c r="AF87" i="17"/>
  <c r="B88" i="6"/>
  <c r="X87" i="17"/>
  <c r="W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A87" i="17"/>
  <c r="AS86" i="17"/>
  <c r="AF86" i="17"/>
  <c r="B87" i="6"/>
  <c r="X86" i="17"/>
  <c r="W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A86" i="17"/>
  <c r="AS85" i="17"/>
  <c r="AF85" i="17"/>
  <c r="B86" i="6"/>
  <c r="X85" i="17"/>
  <c r="W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A85" i="17"/>
  <c r="AS84" i="17"/>
  <c r="AF84" i="17"/>
  <c r="B85" i="6"/>
  <c r="X84" i="17"/>
  <c r="W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A84" i="17"/>
  <c r="AS83" i="17"/>
  <c r="AF83" i="17"/>
  <c r="B84" i="6"/>
  <c r="X83" i="17"/>
  <c r="W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A83" i="17"/>
  <c r="AS82" i="17"/>
  <c r="AF82" i="17"/>
  <c r="B83" i="6"/>
  <c r="X82" i="17"/>
  <c r="W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A82" i="17"/>
  <c r="AS81" i="17"/>
  <c r="AF81" i="17"/>
  <c r="B82" i="6"/>
  <c r="X81" i="17"/>
  <c r="W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A81" i="17"/>
  <c r="AS80" i="17"/>
  <c r="AF80" i="17"/>
  <c r="B81" i="6"/>
  <c r="X80" i="17"/>
  <c r="W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80" i="17"/>
  <c r="AS79" i="17"/>
  <c r="AF79" i="17"/>
  <c r="B80" i="6"/>
  <c r="X79" i="17"/>
  <c r="W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79" i="17"/>
  <c r="AS78" i="17"/>
  <c r="AF78" i="17"/>
  <c r="B79" i="6"/>
  <c r="X78" i="17"/>
  <c r="W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78" i="17"/>
  <c r="AS77" i="17"/>
  <c r="AF77" i="17"/>
  <c r="B78" i="6"/>
  <c r="X77" i="17"/>
  <c r="W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77" i="17"/>
  <c r="AS76" i="17"/>
  <c r="AF76" i="17"/>
  <c r="B77" i="6"/>
  <c r="X76" i="17"/>
  <c r="W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76" i="17"/>
  <c r="AS75" i="17"/>
  <c r="AF75" i="17"/>
  <c r="B76" i="6"/>
  <c r="X75" i="17"/>
  <c r="W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75" i="17"/>
  <c r="AS74" i="17"/>
  <c r="AF74" i="17"/>
  <c r="B75" i="6"/>
  <c r="X74" i="17"/>
  <c r="W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A74" i="17"/>
  <c r="AS73" i="17"/>
  <c r="AF73" i="17"/>
  <c r="B74" i="6"/>
  <c r="X73" i="17"/>
  <c r="W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A73" i="17"/>
  <c r="AS72" i="17"/>
  <c r="AF72" i="17"/>
  <c r="B73" i="6"/>
  <c r="X72" i="17"/>
  <c r="W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A72" i="17"/>
  <c r="AS71" i="17"/>
  <c r="AF71" i="17"/>
  <c r="B72" i="6"/>
  <c r="X71" i="17"/>
  <c r="W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A71" i="17"/>
  <c r="AS70" i="17"/>
  <c r="AF70" i="17"/>
  <c r="B71" i="6"/>
  <c r="X70" i="17"/>
  <c r="W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A70" i="17"/>
  <c r="AS69" i="17"/>
  <c r="AF69" i="17"/>
  <c r="B70" i="6"/>
  <c r="X69" i="17"/>
  <c r="W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A69" i="17"/>
  <c r="AS68" i="17"/>
  <c r="AF68" i="17"/>
  <c r="B69" i="6"/>
  <c r="X68" i="17"/>
  <c r="W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A68" i="17"/>
  <c r="AS67" i="17"/>
  <c r="AF67" i="17"/>
  <c r="B68" i="6"/>
  <c r="X67" i="17"/>
  <c r="W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A67" i="17"/>
  <c r="AS66" i="17"/>
  <c r="AF66" i="17"/>
  <c r="B67" i="6"/>
  <c r="X66" i="17"/>
  <c r="W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A66" i="17"/>
  <c r="AS65" i="17"/>
  <c r="AF65" i="17"/>
  <c r="B66" i="6"/>
  <c r="X65" i="17"/>
  <c r="W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A65" i="17"/>
  <c r="AS64" i="17"/>
  <c r="AF64" i="17"/>
  <c r="B65" i="6"/>
  <c r="X64" i="17"/>
  <c r="W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A64" i="17"/>
  <c r="AS63" i="17"/>
  <c r="AF63" i="17"/>
  <c r="B64" i="6"/>
  <c r="X63" i="17"/>
  <c r="W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A63" i="17"/>
  <c r="AS62" i="17"/>
  <c r="AF62" i="17"/>
  <c r="B63" i="6"/>
  <c r="X62" i="17"/>
  <c r="W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A62" i="17"/>
  <c r="AS61" i="17"/>
  <c r="AF61" i="17"/>
  <c r="B62" i="6"/>
  <c r="X61" i="17"/>
  <c r="W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A61" i="17"/>
  <c r="AS60" i="17"/>
  <c r="AF60" i="17"/>
  <c r="B61" i="6"/>
  <c r="X60" i="17"/>
  <c r="W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A60" i="17"/>
  <c r="AS59" i="17"/>
  <c r="AF59" i="17"/>
  <c r="B60" i="6"/>
  <c r="X59" i="17"/>
  <c r="W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A59" i="17"/>
  <c r="AS58" i="17"/>
  <c r="AF58" i="17"/>
  <c r="B59" i="6"/>
  <c r="X58" i="17"/>
  <c r="W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A58" i="17"/>
  <c r="AS57" i="17"/>
  <c r="AF57" i="17"/>
  <c r="B58" i="6"/>
  <c r="X57" i="17"/>
  <c r="W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A57" i="17"/>
  <c r="AS56" i="17"/>
  <c r="AF56" i="17"/>
  <c r="B57" i="6"/>
  <c r="X56" i="17"/>
  <c r="W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A56" i="17"/>
  <c r="AS55" i="17"/>
  <c r="AF55" i="17"/>
  <c r="B56" i="6"/>
  <c r="X55" i="17"/>
  <c r="W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A55" i="17"/>
  <c r="AS54" i="17"/>
  <c r="AF54" i="17"/>
  <c r="B55" i="6"/>
  <c r="X54" i="17"/>
  <c r="W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A54" i="17"/>
  <c r="AS53" i="17"/>
  <c r="AF53" i="17"/>
  <c r="B54" i="6"/>
  <c r="X53" i="17"/>
  <c r="W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A53" i="17"/>
  <c r="AS52" i="17"/>
  <c r="AF52" i="17"/>
  <c r="B53" i="6"/>
  <c r="X52" i="17"/>
  <c r="W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A52" i="17"/>
  <c r="AS51" i="17"/>
  <c r="AF51" i="17"/>
  <c r="B52" i="6"/>
  <c r="X51" i="17"/>
  <c r="W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A51" i="17"/>
  <c r="AS50" i="17"/>
  <c r="AF50" i="17"/>
  <c r="B51" i="6"/>
  <c r="X50" i="17"/>
  <c r="W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A50" i="17"/>
  <c r="AS49" i="17"/>
  <c r="AF49" i="17"/>
  <c r="B50" i="6"/>
  <c r="X49" i="17"/>
  <c r="W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A49" i="17"/>
  <c r="AS48" i="17"/>
  <c r="AF48" i="17"/>
  <c r="B49" i="6"/>
  <c r="X48" i="17"/>
  <c r="W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A48" i="17"/>
  <c r="AS47" i="17"/>
  <c r="AF47" i="17"/>
  <c r="B48" i="6"/>
  <c r="X47" i="17"/>
  <c r="W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A47" i="17"/>
  <c r="AS46" i="17"/>
  <c r="AF46" i="17"/>
  <c r="B47" i="6"/>
  <c r="X46" i="17"/>
  <c r="W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A46" i="17"/>
  <c r="AS45" i="17"/>
  <c r="AF45" i="17"/>
  <c r="B46" i="6"/>
  <c r="X45" i="17"/>
  <c r="W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A45" i="17"/>
  <c r="AS44" i="17"/>
  <c r="AF44" i="17"/>
  <c r="B45" i="6"/>
  <c r="X44" i="17"/>
  <c r="W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A44" i="17"/>
  <c r="AS43" i="17"/>
  <c r="AF43" i="17"/>
  <c r="B44" i="6"/>
  <c r="X43" i="17"/>
  <c r="W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A43" i="17"/>
  <c r="AS42" i="17"/>
  <c r="AF42" i="17"/>
  <c r="B43" i="6"/>
  <c r="X42" i="17"/>
  <c r="W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A42" i="17"/>
  <c r="AS41" i="17"/>
  <c r="AF41" i="17"/>
  <c r="B42" i="6"/>
  <c r="X41" i="17"/>
  <c r="W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A41" i="17"/>
  <c r="AS40" i="17"/>
  <c r="AF40" i="17"/>
  <c r="B41" i="6"/>
  <c r="X40" i="17"/>
  <c r="W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A40" i="17"/>
  <c r="AS39" i="17"/>
  <c r="AF39" i="17"/>
  <c r="B40" i="6"/>
  <c r="X39" i="17"/>
  <c r="W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A39" i="17"/>
  <c r="AS38" i="17"/>
  <c r="AF38" i="17"/>
  <c r="B39" i="6"/>
  <c r="X38" i="17"/>
  <c r="W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A38" i="17"/>
  <c r="AS37" i="17"/>
  <c r="AF37" i="17"/>
  <c r="B38" i="6"/>
  <c r="X37" i="17"/>
  <c r="W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A37" i="17"/>
  <c r="AS36" i="17"/>
  <c r="AF36" i="17"/>
  <c r="B37" i="6"/>
  <c r="X36" i="17"/>
  <c r="W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A36" i="17"/>
  <c r="AS35" i="17"/>
  <c r="AF35" i="17"/>
  <c r="B36" i="6"/>
  <c r="X35" i="17"/>
  <c r="W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A35" i="17"/>
  <c r="AS34" i="17"/>
  <c r="AF34" i="17"/>
  <c r="B35" i="6"/>
  <c r="X34" i="17"/>
  <c r="W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A34" i="17"/>
  <c r="AS33" i="17"/>
  <c r="AF33" i="17"/>
  <c r="B34" i="6"/>
  <c r="X33" i="17"/>
  <c r="W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A33" i="17"/>
  <c r="AS32" i="17"/>
  <c r="AF32" i="17"/>
  <c r="B33" i="6"/>
  <c r="X32" i="17"/>
  <c r="W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A32" i="17"/>
  <c r="AS31" i="17"/>
  <c r="B9" i="6"/>
  <c r="X8" i="17"/>
  <c r="C6" i="17"/>
  <c r="A4" i="17"/>
  <c r="B10" i="6"/>
  <c r="X9" i="17"/>
  <c r="C7" i="17"/>
  <c r="A5" i="17"/>
  <c r="B11" i="6"/>
  <c r="X10" i="17"/>
  <c r="C8" i="17"/>
  <c r="A6" i="17"/>
  <c r="B12" i="6"/>
  <c r="X11" i="17"/>
  <c r="C9" i="17"/>
  <c r="A7" i="17"/>
  <c r="B13" i="6"/>
  <c r="X12" i="17"/>
  <c r="C10" i="17"/>
  <c r="A8" i="17"/>
  <c r="B14" i="6"/>
  <c r="X13" i="17"/>
  <c r="C11" i="17"/>
  <c r="A9" i="17"/>
  <c r="B15" i="6"/>
  <c r="X14" i="17"/>
  <c r="C12" i="17"/>
  <c r="A10" i="17"/>
  <c r="B16" i="6"/>
  <c r="X15" i="17"/>
  <c r="C13" i="17"/>
  <c r="A11" i="17"/>
  <c r="B17" i="6"/>
  <c r="X16" i="17"/>
  <c r="C14" i="17"/>
  <c r="A12" i="17"/>
  <c r="B18" i="6"/>
  <c r="X17" i="17"/>
  <c r="C15" i="17"/>
  <c r="A13" i="17"/>
  <c r="B19" i="6"/>
  <c r="X18" i="17"/>
  <c r="C16" i="17"/>
  <c r="A14" i="17"/>
  <c r="B20" i="6"/>
  <c r="X19" i="17"/>
  <c r="C17" i="17"/>
  <c r="A15" i="17"/>
  <c r="B21" i="6"/>
  <c r="X20" i="17"/>
  <c r="C18" i="17"/>
  <c r="A16" i="17"/>
  <c r="B22" i="6"/>
  <c r="X21" i="17"/>
  <c r="C19" i="17"/>
  <c r="A17" i="17"/>
  <c r="B23" i="6"/>
  <c r="X22" i="17"/>
  <c r="C20" i="17"/>
  <c r="A18" i="17"/>
  <c r="B24" i="6"/>
  <c r="X23" i="17"/>
  <c r="C21" i="17"/>
  <c r="A19" i="17"/>
  <c r="B25" i="6"/>
  <c r="X24" i="17"/>
  <c r="C22" i="17"/>
  <c r="A20" i="17"/>
  <c r="B26" i="6"/>
  <c r="X25" i="17"/>
  <c r="C23" i="17"/>
  <c r="A21" i="17"/>
  <c r="B27" i="6"/>
  <c r="X26" i="17"/>
  <c r="C24" i="17"/>
  <c r="A22" i="17"/>
  <c r="B28" i="6"/>
  <c r="X27" i="17"/>
  <c r="C25" i="17"/>
  <c r="A23" i="17"/>
  <c r="B29" i="6"/>
  <c r="X28" i="17"/>
  <c r="C26" i="17"/>
  <c r="A24" i="17"/>
  <c r="B30" i="6"/>
  <c r="X29" i="17"/>
  <c r="C27" i="17"/>
  <c r="A25" i="17"/>
  <c r="B31" i="6"/>
  <c r="X30" i="17"/>
  <c r="C28" i="17"/>
  <c r="A26" i="17"/>
  <c r="B32" i="6"/>
  <c r="X31" i="17"/>
  <c r="C29" i="17"/>
  <c r="A27" i="17"/>
  <c r="C30" i="17"/>
  <c r="A28" i="17"/>
  <c r="C31" i="17"/>
  <c r="A29" i="17"/>
  <c r="A30" i="17"/>
  <c r="A31" i="17"/>
  <c r="D6" i="17"/>
  <c r="K4" i="17"/>
  <c r="D7" i="17"/>
  <c r="K5" i="17"/>
  <c r="D8" i="17"/>
  <c r="K6" i="17"/>
  <c r="D9" i="17"/>
  <c r="K7" i="17"/>
  <c r="D10" i="17"/>
  <c r="K8" i="17"/>
  <c r="D11" i="17"/>
  <c r="K9" i="17"/>
  <c r="D12" i="17"/>
  <c r="K10" i="17"/>
  <c r="D13" i="17"/>
  <c r="K11" i="17"/>
  <c r="D14" i="17"/>
  <c r="K12" i="17"/>
  <c r="D15" i="17"/>
  <c r="K13" i="17"/>
  <c r="D16" i="17"/>
  <c r="K14" i="17"/>
  <c r="D17" i="17"/>
  <c r="K15" i="17"/>
  <c r="D18" i="17"/>
  <c r="K16" i="17"/>
  <c r="D19" i="17"/>
  <c r="K17" i="17"/>
  <c r="D20" i="17"/>
  <c r="K18" i="17"/>
  <c r="D21" i="17"/>
  <c r="K19" i="17"/>
  <c r="D22" i="17"/>
  <c r="K20" i="17"/>
  <c r="D23" i="17"/>
  <c r="K21" i="17"/>
  <c r="D24" i="17"/>
  <c r="K22" i="17"/>
  <c r="D25" i="17"/>
  <c r="K23" i="17"/>
  <c r="D26" i="17"/>
  <c r="K24" i="17"/>
  <c r="D27" i="17"/>
  <c r="K25" i="17"/>
  <c r="D28" i="17"/>
  <c r="K26" i="17"/>
  <c r="D29" i="17"/>
  <c r="K27" i="17"/>
  <c r="D30" i="17"/>
  <c r="K28" i="17"/>
  <c r="D31" i="17"/>
  <c r="K29" i="17"/>
  <c r="K30" i="17"/>
  <c r="K31" i="17"/>
  <c r="AI27" i="17"/>
  <c r="AI31" i="17"/>
  <c r="AF31" i="17"/>
  <c r="W31" i="17"/>
  <c r="U31" i="17"/>
  <c r="T31" i="17"/>
  <c r="S31" i="17"/>
  <c r="R31" i="17"/>
  <c r="Q31" i="17"/>
  <c r="P31" i="17"/>
  <c r="O31" i="17"/>
  <c r="N31" i="17"/>
  <c r="M31" i="17"/>
  <c r="L31" i="17"/>
  <c r="J31" i="17"/>
  <c r="I31" i="17"/>
  <c r="H31" i="17"/>
  <c r="G31" i="17"/>
  <c r="F31" i="17"/>
  <c r="E31" i="17"/>
  <c r="AS30" i="17"/>
  <c r="AF30" i="17"/>
  <c r="W30" i="17"/>
  <c r="U30" i="17"/>
  <c r="T30" i="17"/>
  <c r="S30" i="17"/>
  <c r="R30" i="17"/>
  <c r="Q30" i="17"/>
  <c r="P30" i="17"/>
  <c r="O30" i="17"/>
  <c r="N30" i="17"/>
  <c r="M30" i="17"/>
  <c r="L30" i="17"/>
  <c r="J30" i="17"/>
  <c r="I30" i="17"/>
  <c r="H30" i="17"/>
  <c r="G30" i="17"/>
  <c r="F30" i="17"/>
  <c r="E30" i="17"/>
  <c r="AS29" i="17"/>
  <c r="AI29" i="17"/>
  <c r="AF29" i="17"/>
  <c r="W29" i="17"/>
  <c r="U29" i="17"/>
  <c r="T29" i="17"/>
  <c r="S29" i="17"/>
  <c r="R29" i="17"/>
  <c r="Q29" i="17"/>
  <c r="P29" i="17"/>
  <c r="O29" i="17"/>
  <c r="N29" i="17"/>
  <c r="M29" i="17"/>
  <c r="L29" i="17"/>
  <c r="J29" i="17"/>
  <c r="I29" i="17"/>
  <c r="H29" i="17"/>
  <c r="G29" i="17"/>
  <c r="F29" i="17"/>
  <c r="E29" i="17"/>
  <c r="AS28" i="17"/>
  <c r="AI28" i="17"/>
  <c r="AF28" i="17"/>
  <c r="W28" i="17"/>
  <c r="U28" i="17"/>
  <c r="T28" i="17"/>
  <c r="S28" i="17"/>
  <c r="R28" i="17"/>
  <c r="Q28" i="17"/>
  <c r="P28" i="17"/>
  <c r="O28" i="17"/>
  <c r="N28" i="17"/>
  <c r="M28" i="17"/>
  <c r="L28" i="17"/>
  <c r="J28" i="17"/>
  <c r="I28" i="17"/>
  <c r="H28" i="17"/>
  <c r="G28" i="17"/>
  <c r="F28" i="17"/>
  <c r="E28" i="17"/>
  <c r="AS27" i="17"/>
  <c r="AF27" i="17"/>
  <c r="W27" i="17"/>
  <c r="U27" i="17"/>
  <c r="T27" i="17"/>
  <c r="S27" i="17"/>
  <c r="R27" i="17"/>
  <c r="Q27" i="17"/>
  <c r="P27" i="17"/>
  <c r="O27" i="17"/>
  <c r="N27" i="17"/>
  <c r="M27" i="17"/>
  <c r="L27" i="17"/>
  <c r="J27" i="17"/>
  <c r="I27" i="17"/>
  <c r="H27" i="17"/>
  <c r="G27" i="17"/>
  <c r="F27" i="17"/>
  <c r="E27" i="17"/>
  <c r="AS26" i="17"/>
  <c r="AI26" i="17"/>
  <c r="AF26" i="17"/>
  <c r="W26" i="17"/>
  <c r="U26" i="17"/>
  <c r="T26" i="17"/>
  <c r="S26" i="17"/>
  <c r="R26" i="17"/>
  <c r="Q26" i="17"/>
  <c r="P26" i="17"/>
  <c r="O26" i="17"/>
  <c r="N26" i="17"/>
  <c r="M26" i="17"/>
  <c r="L26" i="17"/>
  <c r="J26" i="17"/>
  <c r="I26" i="17"/>
  <c r="H26" i="17"/>
  <c r="G26" i="17"/>
  <c r="F26" i="17"/>
  <c r="E26" i="17"/>
  <c r="AS25" i="17"/>
  <c r="AI25" i="17"/>
  <c r="AF25" i="17"/>
  <c r="W25" i="17"/>
  <c r="U25" i="17"/>
  <c r="T25" i="17"/>
  <c r="S25" i="17"/>
  <c r="R25" i="17"/>
  <c r="Q25" i="17"/>
  <c r="P25" i="17"/>
  <c r="O25" i="17"/>
  <c r="N25" i="17"/>
  <c r="M25" i="17"/>
  <c r="L25" i="17"/>
  <c r="J25" i="17"/>
  <c r="I25" i="17"/>
  <c r="H25" i="17"/>
  <c r="G25" i="17"/>
  <c r="F25" i="17"/>
  <c r="E25" i="17"/>
  <c r="AS24" i="17"/>
  <c r="AF24" i="17"/>
  <c r="W24" i="17"/>
  <c r="U24" i="17"/>
  <c r="T24" i="17"/>
  <c r="S24" i="17"/>
  <c r="R24" i="17"/>
  <c r="Q24" i="17"/>
  <c r="P24" i="17"/>
  <c r="O24" i="17"/>
  <c r="N24" i="17"/>
  <c r="M24" i="17"/>
  <c r="L24" i="17"/>
  <c r="J24" i="17"/>
  <c r="I24" i="17"/>
  <c r="H24" i="17"/>
  <c r="G24" i="17"/>
  <c r="F24" i="17"/>
  <c r="E24" i="17"/>
  <c r="AS23" i="17"/>
  <c r="AF23" i="17"/>
  <c r="W23" i="17"/>
  <c r="U23" i="17"/>
  <c r="T23" i="17"/>
  <c r="S23" i="17"/>
  <c r="R23" i="17"/>
  <c r="Q23" i="17"/>
  <c r="P23" i="17"/>
  <c r="O23" i="17"/>
  <c r="N23" i="17"/>
  <c r="M23" i="17"/>
  <c r="L23" i="17"/>
  <c r="J23" i="17"/>
  <c r="I23" i="17"/>
  <c r="H23" i="17"/>
  <c r="G23" i="17"/>
  <c r="F23" i="17"/>
  <c r="E23" i="17"/>
  <c r="AS22" i="17"/>
  <c r="AF22" i="17"/>
  <c r="W22" i="17"/>
  <c r="U22" i="17"/>
  <c r="T22" i="17"/>
  <c r="S22" i="17"/>
  <c r="R22" i="17"/>
  <c r="Q22" i="17"/>
  <c r="P22" i="17"/>
  <c r="O22" i="17"/>
  <c r="N22" i="17"/>
  <c r="M22" i="17"/>
  <c r="L22" i="17"/>
  <c r="J22" i="17"/>
  <c r="I22" i="17"/>
  <c r="H22" i="17"/>
  <c r="G22" i="17"/>
  <c r="F22" i="17"/>
  <c r="E22" i="17"/>
  <c r="AS21" i="17"/>
  <c r="AF21" i="17"/>
  <c r="W21" i="17"/>
  <c r="U21" i="17"/>
  <c r="T21" i="17"/>
  <c r="S21" i="17"/>
  <c r="R21" i="17"/>
  <c r="Q21" i="17"/>
  <c r="P21" i="17"/>
  <c r="O21" i="17"/>
  <c r="N21" i="17"/>
  <c r="M21" i="17"/>
  <c r="L21" i="17"/>
  <c r="J21" i="17"/>
  <c r="I21" i="17"/>
  <c r="H21" i="17"/>
  <c r="G21" i="17"/>
  <c r="F21" i="17"/>
  <c r="E21" i="17"/>
  <c r="AS20" i="17"/>
  <c r="AF20" i="17"/>
  <c r="W20" i="17"/>
  <c r="U20" i="17"/>
  <c r="T20" i="17"/>
  <c r="S20" i="17"/>
  <c r="R20" i="17"/>
  <c r="Q20" i="17"/>
  <c r="P20" i="17"/>
  <c r="O20" i="17"/>
  <c r="N20" i="17"/>
  <c r="M20" i="17"/>
  <c r="L20" i="17"/>
  <c r="J20" i="17"/>
  <c r="I20" i="17"/>
  <c r="H20" i="17"/>
  <c r="G20" i="17"/>
  <c r="F20" i="17"/>
  <c r="E20" i="17"/>
  <c r="AS19" i="17"/>
  <c r="AF19" i="17"/>
  <c r="W19" i="17"/>
  <c r="U19" i="17"/>
  <c r="T19" i="17"/>
  <c r="S19" i="17"/>
  <c r="R19" i="17"/>
  <c r="Q19" i="17"/>
  <c r="P19" i="17"/>
  <c r="O19" i="17"/>
  <c r="N19" i="17"/>
  <c r="M19" i="17"/>
  <c r="L19" i="17"/>
  <c r="J19" i="17"/>
  <c r="I19" i="17"/>
  <c r="H19" i="17"/>
  <c r="G19" i="17"/>
  <c r="F19" i="17"/>
  <c r="E19" i="17"/>
  <c r="AS18" i="17"/>
  <c r="AF18" i="17"/>
  <c r="W18" i="17"/>
  <c r="U18" i="17"/>
  <c r="T18" i="17"/>
  <c r="S18" i="17"/>
  <c r="R18" i="17"/>
  <c r="Q18" i="17"/>
  <c r="P18" i="17"/>
  <c r="O18" i="17"/>
  <c r="N18" i="17"/>
  <c r="M18" i="17"/>
  <c r="L18" i="17"/>
  <c r="J18" i="17"/>
  <c r="I18" i="17"/>
  <c r="H18" i="17"/>
  <c r="G18" i="17"/>
  <c r="F18" i="17"/>
  <c r="E18" i="17"/>
  <c r="AS17" i="17"/>
  <c r="AF17" i="17"/>
  <c r="W17" i="17"/>
  <c r="U17" i="17"/>
  <c r="T17" i="17"/>
  <c r="S17" i="17"/>
  <c r="R17" i="17"/>
  <c r="Q17" i="17"/>
  <c r="P17" i="17"/>
  <c r="O17" i="17"/>
  <c r="N17" i="17"/>
  <c r="M17" i="17"/>
  <c r="L17" i="17"/>
  <c r="J17" i="17"/>
  <c r="I17" i="17"/>
  <c r="H17" i="17"/>
  <c r="G17" i="17"/>
  <c r="F17" i="17"/>
  <c r="E17" i="17"/>
  <c r="AS16" i="17"/>
  <c r="AF16" i="17"/>
  <c r="W16" i="17"/>
  <c r="U16" i="17"/>
  <c r="T16" i="17"/>
  <c r="S16" i="17"/>
  <c r="R16" i="17"/>
  <c r="Q16" i="17"/>
  <c r="P16" i="17"/>
  <c r="O16" i="17"/>
  <c r="N16" i="17"/>
  <c r="M16" i="17"/>
  <c r="L16" i="17"/>
  <c r="J16" i="17"/>
  <c r="I16" i="17"/>
  <c r="H16" i="17"/>
  <c r="G16" i="17"/>
  <c r="F16" i="17"/>
  <c r="E16" i="17"/>
  <c r="AS15" i="17"/>
  <c r="AF15" i="17"/>
  <c r="W15" i="17"/>
  <c r="U15" i="17"/>
  <c r="T15" i="17"/>
  <c r="S15" i="17"/>
  <c r="R15" i="17"/>
  <c r="Q15" i="17"/>
  <c r="P15" i="17"/>
  <c r="O15" i="17"/>
  <c r="N15" i="17"/>
  <c r="M15" i="17"/>
  <c r="L15" i="17"/>
  <c r="J15" i="17"/>
  <c r="I15" i="17"/>
  <c r="H15" i="17"/>
  <c r="G15" i="17"/>
  <c r="F15" i="17"/>
  <c r="E15" i="17"/>
  <c r="AS14" i="17"/>
  <c r="AF14" i="17"/>
  <c r="W14" i="17"/>
  <c r="U14" i="17"/>
  <c r="T14" i="17"/>
  <c r="S14" i="17"/>
  <c r="R14" i="17"/>
  <c r="Q14" i="17"/>
  <c r="P14" i="17"/>
  <c r="O14" i="17"/>
  <c r="N14" i="17"/>
  <c r="M14" i="17"/>
  <c r="L14" i="17"/>
  <c r="J14" i="17"/>
  <c r="I14" i="17"/>
  <c r="H14" i="17"/>
  <c r="G14" i="17"/>
  <c r="F14" i="17"/>
  <c r="E14" i="17"/>
  <c r="AS13" i="17"/>
  <c r="AF13" i="17"/>
  <c r="W13" i="17"/>
  <c r="U13" i="17"/>
  <c r="T13" i="17"/>
  <c r="S13" i="17"/>
  <c r="R13" i="17"/>
  <c r="Q13" i="17"/>
  <c r="P13" i="17"/>
  <c r="O13" i="17"/>
  <c r="N13" i="17"/>
  <c r="M13" i="17"/>
  <c r="L13" i="17"/>
  <c r="J13" i="17"/>
  <c r="I13" i="17"/>
  <c r="H13" i="17"/>
  <c r="G13" i="17"/>
  <c r="F13" i="17"/>
  <c r="E13" i="17"/>
  <c r="AS12" i="17"/>
  <c r="AF12" i="17"/>
  <c r="W12" i="17"/>
  <c r="U12" i="17"/>
  <c r="T12" i="17"/>
  <c r="S12" i="17"/>
  <c r="R12" i="17"/>
  <c r="Q12" i="17"/>
  <c r="P12" i="17"/>
  <c r="O12" i="17"/>
  <c r="N12" i="17"/>
  <c r="M12" i="17"/>
  <c r="L12" i="17"/>
  <c r="J12" i="17"/>
  <c r="I12" i="17"/>
  <c r="H12" i="17"/>
  <c r="G12" i="17"/>
  <c r="F12" i="17"/>
  <c r="E12" i="17"/>
  <c r="AS11" i="17"/>
  <c r="AF11" i="17"/>
  <c r="W11" i="17"/>
  <c r="U11" i="17"/>
  <c r="T11" i="17"/>
  <c r="S11" i="17"/>
  <c r="R11" i="17"/>
  <c r="Q11" i="17"/>
  <c r="P11" i="17"/>
  <c r="O11" i="17"/>
  <c r="N11" i="17"/>
  <c r="M11" i="17"/>
  <c r="L11" i="17"/>
  <c r="J11" i="17"/>
  <c r="I11" i="17"/>
  <c r="H11" i="17"/>
  <c r="G11" i="17"/>
  <c r="F11" i="17"/>
  <c r="E11" i="17"/>
  <c r="AS10" i="17"/>
  <c r="AF10" i="17"/>
  <c r="W10" i="17"/>
  <c r="U10" i="17"/>
  <c r="T10" i="17"/>
  <c r="S10" i="17"/>
  <c r="R10" i="17"/>
  <c r="Q10" i="17"/>
  <c r="P10" i="17"/>
  <c r="O10" i="17"/>
  <c r="N10" i="17"/>
  <c r="M10" i="17"/>
  <c r="L10" i="17"/>
  <c r="J10" i="17"/>
  <c r="I10" i="17"/>
  <c r="H10" i="17"/>
  <c r="G10" i="17"/>
  <c r="F10" i="17"/>
  <c r="E10" i="17"/>
  <c r="AS9" i="17"/>
  <c r="AF9" i="17"/>
  <c r="W9" i="17"/>
  <c r="U9" i="17"/>
  <c r="T9" i="17"/>
  <c r="S9" i="17"/>
  <c r="R9" i="17"/>
  <c r="Q9" i="17"/>
  <c r="P9" i="17"/>
  <c r="O9" i="17"/>
  <c r="N9" i="17"/>
  <c r="M9" i="17"/>
  <c r="L9" i="17"/>
  <c r="J9" i="17"/>
  <c r="I9" i="17"/>
  <c r="H9" i="17"/>
  <c r="G9" i="17"/>
  <c r="F9" i="17"/>
  <c r="E9" i="17"/>
  <c r="AS8" i="17"/>
  <c r="AF8" i="17"/>
  <c r="W8" i="17"/>
  <c r="U8" i="17"/>
  <c r="T8" i="17"/>
  <c r="S8" i="17"/>
  <c r="R8" i="17"/>
  <c r="Q8" i="17"/>
  <c r="P8" i="17"/>
  <c r="O8" i="17"/>
  <c r="N8" i="17"/>
  <c r="M8" i="17"/>
  <c r="L8" i="17"/>
  <c r="J8" i="17"/>
  <c r="I8" i="17"/>
  <c r="H8" i="17"/>
  <c r="G8" i="17"/>
  <c r="F8" i="17"/>
  <c r="E8" i="17"/>
  <c r="AS7" i="17"/>
  <c r="AF7" i="17"/>
  <c r="B8" i="6"/>
  <c r="X7" i="17"/>
  <c r="W7" i="17"/>
  <c r="U7" i="17"/>
  <c r="T7" i="17"/>
  <c r="S7" i="17"/>
  <c r="R7" i="17"/>
  <c r="Q7" i="17"/>
  <c r="P7" i="17"/>
  <c r="O7" i="17"/>
  <c r="N7" i="17"/>
  <c r="M7" i="17"/>
  <c r="L7" i="17"/>
  <c r="J7" i="17"/>
  <c r="I7" i="17"/>
  <c r="H7" i="17"/>
  <c r="G7" i="17"/>
  <c r="F7" i="17"/>
  <c r="E7" i="17"/>
  <c r="AS6" i="17"/>
  <c r="AF6" i="17"/>
  <c r="B7" i="6"/>
  <c r="X6" i="17"/>
  <c r="W6" i="17"/>
  <c r="U6" i="17"/>
  <c r="T6" i="17"/>
  <c r="S6" i="17"/>
  <c r="R6" i="17"/>
  <c r="Q6" i="17"/>
  <c r="P6" i="17"/>
  <c r="O6" i="17"/>
  <c r="N6" i="17"/>
  <c r="M6" i="17"/>
  <c r="L6" i="17"/>
  <c r="J6" i="17"/>
  <c r="I6" i="17"/>
  <c r="H6" i="17"/>
  <c r="G6" i="17"/>
  <c r="F6" i="17"/>
  <c r="E6" i="17"/>
  <c r="AS5" i="17"/>
  <c r="AF5" i="17"/>
  <c r="B6" i="6"/>
  <c r="X5" i="17"/>
  <c r="W5" i="17"/>
  <c r="U5" i="17"/>
  <c r="T5" i="17"/>
  <c r="S5" i="17"/>
  <c r="R5" i="17"/>
  <c r="Q5" i="17"/>
  <c r="P5" i="17"/>
  <c r="O5" i="17"/>
  <c r="N5" i="17"/>
  <c r="M5" i="17"/>
  <c r="L5" i="17"/>
  <c r="J5" i="17"/>
  <c r="I5" i="17"/>
  <c r="H5" i="17"/>
  <c r="G5" i="17"/>
  <c r="F5" i="17"/>
  <c r="E5" i="17"/>
  <c r="D5" i="17"/>
  <c r="C5" i="17"/>
  <c r="AS4" i="17"/>
  <c r="AF4" i="17"/>
  <c r="W4" i="17"/>
  <c r="U4" i="17"/>
  <c r="T4" i="17"/>
  <c r="S4" i="17"/>
  <c r="R4" i="17"/>
  <c r="Q4" i="17"/>
  <c r="P4" i="17"/>
  <c r="O4" i="17"/>
  <c r="N4" i="17"/>
  <c r="M4" i="17"/>
  <c r="L4" i="17"/>
  <c r="J4" i="17"/>
  <c r="I4" i="17"/>
  <c r="H4" i="17"/>
  <c r="G4" i="17"/>
  <c r="F4" i="17"/>
  <c r="E4" i="17"/>
  <c r="D4" i="17"/>
  <c r="C4" i="17"/>
  <c r="AS3" i="17"/>
  <c r="AF3" i="17"/>
  <c r="B4" i="6"/>
  <c r="X3" i="17"/>
  <c r="W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A3" i="17"/>
  <c r="AS2" i="17"/>
  <c r="AF2" i="17"/>
  <c r="B3" i="6"/>
  <c r="X2" i="17"/>
  <c r="W2" i="17"/>
  <c r="U2" i="17"/>
  <c r="T2" i="17"/>
  <c r="S2" i="17"/>
  <c r="R2" i="17"/>
  <c r="Q2" i="17"/>
  <c r="P2" i="17"/>
  <c r="O2" i="17"/>
  <c r="N2" i="17"/>
  <c r="L2" i="17"/>
  <c r="K2" i="17"/>
  <c r="J2" i="17"/>
  <c r="I2" i="17"/>
  <c r="H2" i="17"/>
  <c r="G2" i="17"/>
  <c r="F2" i="17"/>
  <c r="E2" i="17"/>
  <c r="D2" i="17"/>
  <c r="C2" i="17"/>
  <c r="A2" i="17"/>
  <c r="AF1" i="17"/>
  <c r="S56" i="16"/>
  <c r="S55" i="16"/>
  <c r="S54" i="16"/>
  <c r="S53" i="16"/>
  <c r="S52" i="16"/>
  <c r="S51" i="16"/>
  <c r="S50" i="16"/>
  <c r="S49" i="16"/>
  <c r="S48" i="16"/>
  <c r="S47" i="16"/>
  <c r="S46" i="16"/>
  <c r="S45" i="16"/>
  <c r="W41" i="16"/>
  <c r="G4" i="16"/>
  <c r="H4" i="16"/>
  <c r="I4" i="16"/>
  <c r="J4" i="16"/>
  <c r="K4" i="16"/>
  <c r="L4" i="16"/>
  <c r="M4" i="16"/>
  <c r="P4" i="16"/>
  <c r="W42" i="16"/>
  <c r="G40" i="16"/>
  <c r="H40" i="16"/>
  <c r="I40" i="16"/>
  <c r="J40" i="16"/>
  <c r="K40" i="16"/>
  <c r="L40" i="16"/>
  <c r="M40" i="16"/>
  <c r="P40" i="16"/>
  <c r="O40" i="16"/>
  <c r="F33" i="16"/>
  <c r="M37" i="16"/>
  <c r="J37" i="16"/>
  <c r="J33" i="16"/>
  <c r="J34" i="16"/>
  <c r="J35" i="16"/>
  <c r="J36" i="16"/>
  <c r="M33" i="16"/>
  <c r="M34" i="16"/>
  <c r="M35" i="16"/>
  <c r="M36" i="16"/>
  <c r="F37" i="16"/>
  <c r="G5" i="16"/>
  <c r="H5" i="16"/>
  <c r="I5" i="16"/>
  <c r="J5" i="16"/>
  <c r="K5" i="16"/>
  <c r="L5" i="16"/>
  <c r="M5" i="16"/>
  <c r="P5" i="16"/>
  <c r="G8" i="16"/>
  <c r="H8" i="16"/>
  <c r="I8" i="16"/>
  <c r="J8" i="16"/>
  <c r="K8" i="16"/>
  <c r="L8" i="16"/>
  <c r="M8" i="16"/>
  <c r="P8" i="16"/>
  <c r="G11" i="16"/>
  <c r="H11" i="16"/>
  <c r="I11" i="16"/>
  <c r="J11" i="16"/>
  <c r="K11" i="16"/>
  <c r="L11" i="16"/>
  <c r="M11" i="16"/>
  <c r="P11" i="16"/>
  <c r="P14" i="16"/>
  <c r="F36" i="16"/>
  <c r="W32" i="16"/>
  <c r="W33" i="16"/>
  <c r="G30" i="16"/>
  <c r="H30" i="16"/>
  <c r="I30" i="16"/>
  <c r="J30" i="16"/>
  <c r="K30" i="16"/>
  <c r="L30" i="16"/>
  <c r="M30" i="16"/>
  <c r="P30" i="16"/>
  <c r="G29" i="16"/>
  <c r="H29" i="16"/>
  <c r="I29" i="16"/>
  <c r="J29" i="16"/>
  <c r="K29" i="16"/>
  <c r="L29" i="16"/>
  <c r="M29" i="16"/>
  <c r="P29" i="16"/>
  <c r="G28" i="16"/>
  <c r="H28" i="16"/>
  <c r="I28" i="16"/>
  <c r="J28" i="16"/>
  <c r="K28" i="16"/>
  <c r="L28" i="16"/>
  <c r="M28" i="16"/>
  <c r="P28" i="16"/>
  <c r="G27" i="16"/>
  <c r="H27" i="16"/>
  <c r="I27" i="16"/>
  <c r="J27" i="16"/>
  <c r="K27" i="16"/>
  <c r="L27" i="16"/>
  <c r="M27" i="16"/>
  <c r="P27" i="16"/>
  <c r="M23" i="16"/>
  <c r="L23" i="16"/>
  <c r="K23" i="16"/>
  <c r="J23" i="16"/>
  <c r="I23" i="16"/>
  <c r="H23" i="16"/>
  <c r="G23" i="16"/>
  <c r="W21" i="16"/>
  <c r="W22" i="16"/>
  <c r="G6" i="16"/>
  <c r="G9" i="16"/>
  <c r="G12" i="16"/>
  <c r="G21" i="16"/>
  <c r="H6" i="16"/>
  <c r="H9" i="16"/>
  <c r="H12" i="16"/>
  <c r="H21" i="16"/>
  <c r="I6" i="16"/>
  <c r="I9" i="16"/>
  <c r="I12" i="16"/>
  <c r="I21" i="16"/>
  <c r="J6" i="16"/>
  <c r="J9" i="16"/>
  <c r="J12" i="16"/>
  <c r="J21" i="16"/>
  <c r="K6" i="16"/>
  <c r="L6" i="16"/>
  <c r="M6" i="16"/>
  <c r="K9" i="16"/>
  <c r="L9" i="16"/>
  <c r="M9" i="16"/>
  <c r="K12" i="16"/>
  <c r="L12" i="16"/>
  <c r="M12" i="16"/>
  <c r="K21" i="16"/>
  <c r="P21" i="16"/>
  <c r="O21" i="16"/>
  <c r="AD20" i="16"/>
  <c r="AC20" i="16"/>
  <c r="AB20" i="16"/>
  <c r="AA20" i="16"/>
  <c r="Z20" i="16"/>
  <c r="G20" i="16"/>
  <c r="H20" i="16"/>
  <c r="I20" i="16"/>
  <c r="J20" i="16"/>
  <c r="K20" i="16"/>
  <c r="P20" i="16"/>
  <c r="O20" i="16"/>
  <c r="G17" i="16"/>
  <c r="G18" i="16"/>
  <c r="H17" i="16"/>
  <c r="H18" i="16"/>
  <c r="I17" i="16"/>
  <c r="I18" i="16"/>
  <c r="J17" i="16"/>
  <c r="J18" i="16"/>
  <c r="K17" i="16"/>
  <c r="K18" i="16"/>
  <c r="O18" i="16"/>
  <c r="P16" i="16"/>
  <c r="O16" i="16"/>
  <c r="M14" i="16"/>
  <c r="L14" i="16"/>
  <c r="K14" i="16"/>
  <c r="J14" i="16"/>
  <c r="I14" i="16"/>
  <c r="H14" i="16"/>
  <c r="G14" i="16"/>
  <c r="O4" i="16"/>
  <c r="S13" i="16"/>
  <c r="P13" i="16"/>
  <c r="M13" i="16"/>
  <c r="L13" i="16"/>
  <c r="K13" i="16"/>
  <c r="J13" i="16"/>
  <c r="I13" i="16"/>
  <c r="H13" i="16"/>
  <c r="G13" i="16"/>
  <c r="P12" i="16"/>
  <c r="O12" i="16"/>
  <c r="O11" i="16"/>
  <c r="P10" i="16"/>
  <c r="M10" i="16"/>
  <c r="L10" i="16"/>
  <c r="K10" i="16"/>
  <c r="J10" i="16"/>
  <c r="I10" i="16"/>
  <c r="H10" i="16"/>
  <c r="G10" i="16"/>
  <c r="P9" i="16"/>
  <c r="O9" i="1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B2" i="6"/>
  <c r="A2" i="3"/>
  <c r="A3" i="3"/>
  <c r="C3" i="6"/>
  <c r="D3" i="6"/>
  <c r="F3" i="6"/>
  <c r="G3" i="6"/>
  <c r="A4" i="3"/>
  <c r="C4" i="6"/>
  <c r="D4" i="6"/>
  <c r="F4" i="6"/>
  <c r="G4" i="6"/>
  <c r="A5" i="3"/>
  <c r="C5" i="6"/>
  <c r="D5" i="6"/>
  <c r="F5" i="6"/>
  <c r="G5" i="6"/>
  <c r="A6" i="3"/>
  <c r="C6" i="6"/>
  <c r="D6" i="6"/>
  <c r="F6" i="6"/>
  <c r="G6" i="6"/>
  <c r="A7" i="3"/>
  <c r="C7" i="6"/>
  <c r="D7" i="6"/>
  <c r="F7" i="6"/>
  <c r="G7" i="6"/>
  <c r="A8" i="3"/>
  <c r="C8" i="6"/>
  <c r="D8" i="6"/>
  <c r="F8" i="6"/>
  <c r="G8" i="6"/>
  <c r="A9" i="3"/>
  <c r="C9" i="6"/>
  <c r="D9" i="6"/>
  <c r="F9" i="6"/>
  <c r="G9" i="6"/>
  <c r="A10" i="3"/>
  <c r="C10" i="6"/>
  <c r="D10" i="6"/>
  <c r="F10" i="6"/>
  <c r="G10" i="6"/>
  <c r="A11" i="3"/>
  <c r="C11" i="6"/>
  <c r="D11" i="6"/>
  <c r="F11" i="6"/>
  <c r="G11" i="6"/>
  <c r="A12" i="3"/>
  <c r="C12" i="6"/>
  <c r="D12" i="6"/>
  <c r="F12" i="6"/>
  <c r="G12" i="6"/>
  <c r="A13" i="3"/>
  <c r="C13" i="6"/>
  <c r="D13" i="6"/>
  <c r="F13" i="6"/>
  <c r="G13" i="6"/>
  <c r="A14" i="3"/>
  <c r="C14" i="6"/>
  <c r="D14" i="6"/>
  <c r="F14" i="6"/>
  <c r="G14" i="6"/>
  <c r="A15" i="3"/>
  <c r="C15" i="6"/>
  <c r="D15" i="6"/>
  <c r="F15" i="6"/>
  <c r="G15" i="6"/>
  <c r="A16" i="3"/>
  <c r="C16" i="6"/>
  <c r="D16" i="6"/>
  <c r="F16" i="6"/>
  <c r="G16" i="6"/>
  <c r="A17" i="3"/>
  <c r="C17" i="6"/>
  <c r="D17" i="6"/>
  <c r="F17" i="6"/>
  <c r="G17" i="6"/>
  <c r="A18" i="3"/>
  <c r="C18" i="6"/>
  <c r="D18" i="6"/>
  <c r="F18" i="6"/>
  <c r="G18" i="6"/>
  <c r="A19" i="3"/>
  <c r="C19" i="6"/>
  <c r="D19" i="6"/>
  <c r="F19" i="6"/>
  <c r="G19" i="6"/>
  <c r="A20" i="3"/>
  <c r="C20" i="6"/>
  <c r="D20" i="6"/>
  <c r="F20" i="6"/>
  <c r="G20" i="6"/>
  <c r="A21" i="3"/>
  <c r="C21" i="6"/>
  <c r="D21" i="6"/>
  <c r="F21" i="6"/>
  <c r="G21" i="6"/>
  <c r="A22" i="3"/>
  <c r="C22" i="6"/>
  <c r="D22" i="6"/>
  <c r="F22" i="6"/>
  <c r="G22" i="6"/>
  <c r="A23" i="3"/>
  <c r="C23" i="6"/>
  <c r="D23" i="6"/>
  <c r="F23" i="6"/>
  <c r="G23" i="6"/>
  <c r="A24" i="3"/>
  <c r="C24" i="6"/>
  <c r="D24" i="6"/>
  <c r="F24" i="6"/>
  <c r="G24" i="6"/>
  <c r="A25" i="3"/>
  <c r="C25" i="6"/>
  <c r="D25" i="6"/>
  <c r="F25" i="6"/>
  <c r="G25" i="6"/>
  <c r="A26" i="3"/>
  <c r="C26" i="6"/>
  <c r="D26" i="6"/>
  <c r="F26" i="6"/>
  <c r="G26" i="6"/>
  <c r="A27" i="3"/>
  <c r="C27" i="6"/>
  <c r="D27" i="6"/>
  <c r="F27" i="6"/>
  <c r="G27" i="6"/>
  <c r="A28" i="3"/>
  <c r="C28" i="6"/>
  <c r="D28" i="6"/>
  <c r="F28" i="6"/>
  <c r="G28" i="6"/>
  <c r="A29" i="3"/>
  <c r="C29" i="6"/>
  <c r="D29" i="6"/>
  <c r="F29" i="6"/>
  <c r="G29" i="6"/>
  <c r="A30" i="3"/>
  <c r="C30" i="6"/>
  <c r="D30" i="6"/>
  <c r="F30" i="6"/>
  <c r="G30" i="6"/>
  <c r="A31" i="3"/>
  <c r="C31" i="6"/>
  <c r="D31" i="6"/>
  <c r="F31" i="6"/>
  <c r="G31" i="6"/>
  <c r="A32" i="3"/>
  <c r="C32" i="6"/>
  <c r="D32" i="6"/>
  <c r="F32" i="6"/>
  <c r="G32" i="6"/>
  <c r="A33" i="3"/>
  <c r="C33" i="6"/>
  <c r="D33" i="6"/>
  <c r="F33" i="6"/>
  <c r="G33" i="6"/>
  <c r="A34" i="3"/>
  <c r="C34" i="6"/>
  <c r="D34" i="6"/>
  <c r="F34" i="6"/>
  <c r="G34" i="6"/>
  <c r="A35" i="3"/>
  <c r="C35" i="6"/>
  <c r="D35" i="6"/>
  <c r="F35" i="6"/>
  <c r="G35" i="6"/>
  <c r="A36" i="3"/>
  <c r="C36" i="6"/>
  <c r="D36" i="6"/>
  <c r="F36" i="6"/>
  <c r="G36" i="6"/>
  <c r="A37" i="3"/>
  <c r="C37" i="6"/>
  <c r="D37" i="6"/>
  <c r="F37" i="6"/>
  <c r="G37" i="6"/>
  <c r="A38" i="3"/>
  <c r="C38" i="6"/>
  <c r="D38" i="6"/>
  <c r="F38" i="6"/>
  <c r="G38" i="6"/>
  <c r="A39" i="3"/>
  <c r="C39" i="6"/>
  <c r="D39" i="6"/>
  <c r="F39" i="6"/>
  <c r="G39" i="6"/>
  <c r="A40" i="3"/>
  <c r="C40" i="6"/>
  <c r="D40" i="6"/>
  <c r="F40" i="6"/>
  <c r="G40" i="6"/>
  <c r="A41" i="3"/>
  <c r="C41" i="6"/>
  <c r="D41" i="6"/>
  <c r="F41" i="6"/>
  <c r="G41" i="6"/>
  <c r="A42" i="3"/>
  <c r="C42" i="6"/>
  <c r="D42" i="6"/>
  <c r="F42" i="6"/>
  <c r="G42" i="6"/>
  <c r="A43" i="3"/>
  <c r="C43" i="6"/>
  <c r="D43" i="6"/>
  <c r="F43" i="6"/>
  <c r="G43" i="6"/>
  <c r="A44" i="3"/>
  <c r="C44" i="6"/>
  <c r="D44" i="6"/>
  <c r="F44" i="6"/>
  <c r="G44" i="6"/>
  <c r="A45" i="3"/>
  <c r="C45" i="6"/>
  <c r="D45" i="6"/>
  <c r="F45" i="6"/>
  <c r="G45" i="6"/>
  <c r="A46" i="3"/>
  <c r="C46" i="6"/>
  <c r="D46" i="6"/>
  <c r="F46" i="6"/>
  <c r="G46" i="6"/>
  <c r="A47" i="3"/>
  <c r="C47" i="6"/>
  <c r="D47" i="6"/>
  <c r="F47" i="6"/>
  <c r="G47" i="6"/>
  <c r="A48" i="3"/>
  <c r="C48" i="6"/>
  <c r="D48" i="6"/>
  <c r="F48" i="6"/>
  <c r="G48" i="6"/>
  <c r="A49" i="3"/>
  <c r="C49" i="6"/>
  <c r="D49" i="6"/>
  <c r="F49" i="6"/>
  <c r="G49" i="6"/>
  <c r="A50" i="3"/>
  <c r="C50" i="6"/>
  <c r="D50" i="6"/>
  <c r="F50" i="6"/>
  <c r="G50" i="6"/>
  <c r="A51" i="3"/>
  <c r="C51" i="6"/>
  <c r="D51" i="6"/>
  <c r="F51" i="6"/>
  <c r="G51" i="6"/>
  <c r="A52" i="3"/>
  <c r="C52" i="6"/>
  <c r="D52" i="6"/>
  <c r="F52" i="6"/>
  <c r="G52" i="6"/>
  <c r="A53" i="3"/>
  <c r="C53" i="6"/>
  <c r="D53" i="6"/>
  <c r="F53" i="6"/>
  <c r="G53" i="6"/>
  <c r="A54" i="3"/>
  <c r="C54" i="6"/>
  <c r="D54" i="6"/>
  <c r="F54" i="6"/>
  <c r="G54" i="6"/>
  <c r="A55" i="3"/>
  <c r="C55" i="6"/>
  <c r="D55" i="6"/>
  <c r="F55" i="6"/>
  <c r="G55" i="6"/>
  <c r="A56" i="3"/>
  <c r="C56" i="6"/>
  <c r="D56" i="6"/>
  <c r="F56" i="6"/>
  <c r="G56" i="6"/>
  <c r="A57" i="3"/>
  <c r="C57" i="6"/>
  <c r="D57" i="6"/>
  <c r="F57" i="6"/>
  <c r="G57" i="6"/>
  <c r="A58" i="3"/>
  <c r="C58" i="6"/>
  <c r="D58" i="6"/>
  <c r="F58" i="6"/>
  <c r="G58" i="6"/>
  <c r="A59" i="3"/>
  <c r="C59" i="6"/>
  <c r="D59" i="6"/>
  <c r="F59" i="6"/>
  <c r="G59" i="6"/>
  <c r="A60" i="3"/>
  <c r="C60" i="6"/>
  <c r="D60" i="6"/>
  <c r="F60" i="6"/>
  <c r="G60" i="6"/>
  <c r="A61" i="3"/>
  <c r="C61" i="6"/>
  <c r="D61" i="6"/>
  <c r="F61" i="6"/>
  <c r="G61" i="6"/>
  <c r="A62" i="3"/>
  <c r="C62" i="6"/>
  <c r="D62" i="6"/>
  <c r="F62" i="6"/>
  <c r="G62" i="6"/>
  <c r="A63" i="3"/>
  <c r="C63" i="6"/>
  <c r="D63" i="6"/>
  <c r="F63" i="6"/>
  <c r="G63" i="6"/>
  <c r="A64" i="3"/>
  <c r="C64" i="6"/>
  <c r="D64" i="6"/>
  <c r="F64" i="6"/>
  <c r="G64" i="6"/>
  <c r="A65" i="3"/>
  <c r="C65" i="6"/>
  <c r="D65" i="6"/>
  <c r="F65" i="6"/>
  <c r="G65" i="6"/>
  <c r="A66" i="3"/>
  <c r="C66" i="6"/>
  <c r="D66" i="6"/>
  <c r="F66" i="6"/>
  <c r="G66" i="6"/>
  <c r="A67" i="3"/>
  <c r="C67" i="6"/>
  <c r="D67" i="6"/>
  <c r="F67" i="6"/>
  <c r="G67" i="6"/>
  <c r="A68" i="3"/>
  <c r="C68" i="6"/>
  <c r="D68" i="6"/>
  <c r="F68" i="6"/>
  <c r="G68" i="6"/>
  <c r="A69" i="3"/>
  <c r="C69" i="6"/>
  <c r="D69" i="6"/>
  <c r="F69" i="6"/>
  <c r="G69" i="6"/>
  <c r="A70" i="3"/>
  <c r="C70" i="6"/>
  <c r="D70" i="6"/>
  <c r="F70" i="6"/>
  <c r="G70" i="6"/>
  <c r="A71" i="3"/>
  <c r="C71" i="6"/>
  <c r="D71" i="6"/>
  <c r="F71" i="6"/>
  <c r="G71" i="6"/>
  <c r="A72" i="3"/>
  <c r="C72" i="6"/>
  <c r="D72" i="6"/>
  <c r="F72" i="6"/>
  <c r="G72" i="6"/>
  <c r="A73" i="3"/>
  <c r="C73" i="6"/>
  <c r="D73" i="6"/>
  <c r="F73" i="6"/>
  <c r="G73" i="6"/>
  <c r="A74" i="3"/>
  <c r="C74" i="6"/>
  <c r="D74" i="6"/>
  <c r="F74" i="6"/>
  <c r="G74" i="6"/>
  <c r="A75" i="3"/>
  <c r="C75" i="6"/>
  <c r="D75" i="6"/>
  <c r="F75" i="6"/>
  <c r="G75" i="6"/>
  <c r="A76" i="3"/>
  <c r="C76" i="6"/>
  <c r="D76" i="6"/>
  <c r="F76" i="6"/>
  <c r="G76" i="6"/>
  <c r="A77" i="3"/>
  <c r="C77" i="6"/>
  <c r="D77" i="6"/>
  <c r="F77" i="6"/>
  <c r="G77" i="6"/>
  <c r="A78" i="3"/>
  <c r="C78" i="6"/>
  <c r="D78" i="6"/>
  <c r="F78" i="6"/>
  <c r="G78" i="6"/>
  <c r="A79" i="3"/>
  <c r="C79" i="6"/>
  <c r="D79" i="6"/>
  <c r="F79" i="6"/>
  <c r="G79" i="6"/>
  <c r="A80" i="3"/>
  <c r="C80" i="6"/>
  <c r="D80" i="6"/>
  <c r="F80" i="6"/>
  <c r="G80" i="6"/>
  <c r="A81" i="3"/>
  <c r="C81" i="6"/>
  <c r="D81" i="6"/>
  <c r="F81" i="6"/>
  <c r="G81" i="6"/>
  <c r="A82" i="3"/>
  <c r="C82" i="6"/>
  <c r="D82" i="6"/>
  <c r="F82" i="6"/>
  <c r="G82" i="6"/>
  <c r="A83" i="3"/>
  <c r="C83" i="6"/>
  <c r="D83" i="6"/>
  <c r="F83" i="6"/>
  <c r="G83" i="6"/>
  <c r="A84" i="3"/>
  <c r="C84" i="6"/>
  <c r="D84" i="6"/>
  <c r="F84" i="6"/>
  <c r="G84" i="6"/>
  <c r="A85" i="3"/>
  <c r="C85" i="6"/>
  <c r="D85" i="6"/>
  <c r="F85" i="6"/>
  <c r="G85" i="6"/>
  <c r="A86" i="3"/>
  <c r="C86" i="6"/>
  <c r="D86" i="6"/>
  <c r="F86" i="6"/>
  <c r="G86" i="6"/>
  <c r="A87" i="3"/>
  <c r="C87" i="6"/>
  <c r="D87" i="6"/>
  <c r="F87" i="6"/>
  <c r="G87" i="6"/>
  <c r="A88" i="3"/>
  <c r="C88" i="6"/>
  <c r="D88" i="6"/>
  <c r="F88" i="6"/>
  <c r="G88" i="6"/>
  <c r="A89" i="3"/>
  <c r="C89" i="6"/>
  <c r="D89" i="6"/>
  <c r="F89" i="6"/>
  <c r="G89" i="6"/>
  <c r="A90" i="3"/>
  <c r="C90" i="6"/>
  <c r="D90" i="6"/>
  <c r="F90" i="6"/>
  <c r="G90" i="6"/>
  <c r="A91" i="3"/>
  <c r="C91" i="6"/>
  <c r="D91" i="6"/>
  <c r="F91" i="6"/>
  <c r="G91" i="6"/>
  <c r="A92" i="3"/>
  <c r="C92" i="6"/>
  <c r="D92" i="6"/>
  <c r="F92" i="6"/>
  <c r="G92" i="6"/>
  <c r="A93" i="3"/>
  <c r="C93" i="6"/>
  <c r="D93" i="6"/>
  <c r="F93" i="6"/>
  <c r="G93" i="6"/>
  <c r="A94" i="3"/>
  <c r="C94" i="6"/>
  <c r="D94" i="6"/>
  <c r="F94" i="6"/>
  <c r="G94" i="6"/>
  <c r="A95" i="3"/>
  <c r="C95" i="6"/>
  <c r="D95" i="6"/>
  <c r="F95" i="6"/>
  <c r="G95" i="6"/>
  <c r="A96" i="3"/>
  <c r="C96" i="6"/>
  <c r="D96" i="6"/>
  <c r="F96" i="6"/>
  <c r="G96" i="6"/>
  <c r="A97" i="3"/>
  <c r="C97" i="6"/>
  <c r="D97" i="6"/>
  <c r="F97" i="6"/>
  <c r="G97" i="6"/>
  <c r="A98" i="3"/>
  <c r="C98" i="6"/>
  <c r="D98" i="6"/>
  <c r="F98" i="6"/>
  <c r="G98" i="6"/>
  <c r="A99" i="3"/>
  <c r="C99" i="6"/>
  <c r="D99" i="6"/>
  <c r="F99" i="6"/>
  <c r="G99" i="6"/>
  <c r="A100" i="3"/>
  <c r="C100" i="6"/>
  <c r="D100" i="6"/>
  <c r="F100" i="6"/>
  <c r="G100" i="6"/>
  <c r="A101" i="3"/>
  <c r="C101" i="6"/>
  <c r="D101" i="6"/>
  <c r="F101" i="6"/>
  <c r="G101" i="6"/>
  <c r="A102" i="3"/>
  <c r="C102" i="6"/>
  <c r="D102" i="6"/>
  <c r="F102" i="6"/>
  <c r="G102" i="6"/>
  <c r="A103" i="3"/>
  <c r="C103" i="6"/>
  <c r="D103" i="6"/>
  <c r="F103" i="6"/>
  <c r="G103" i="6"/>
  <c r="A104" i="3"/>
  <c r="C104" i="6"/>
  <c r="D104" i="6"/>
  <c r="F104" i="6"/>
  <c r="G104" i="6"/>
  <c r="A105" i="3"/>
  <c r="C105" i="6"/>
  <c r="D105" i="6"/>
  <c r="F105" i="6"/>
  <c r="G105" i="6"/>
  <c r="A106" i="3"/>
  <c r="C106" i="6"/>
  <c r="D106" i="6"/>
  <c r="F106" i="6"/>
  <c r="G106" i="6"/>
  <c r="A107" i="3"/>
  <c r="C107" i="6"/>
  <c r="D107" i="6"/>
  <c r="F107" i="6"/>
  <c r="G107" i="6"/>
  <c r="A108" i="3"/>
  <c r="C108" i="6"/>
  <c r="D108" i="6"/>
  <c r="F108" i="6"/>
  <c r="G108" i="6"/>
  <c r="A109" i="3"/>
  <c r="C109" i="6"/>
  <c r="D109" i="6"/>
  <c r="F109" i="6"/>
  <c r="G109" i="6"/>
  <c r="A110" i="3"/>
  <c r="C110" i="6"/>
  <c r="D110" i="6"/>
  <c r="F110" i="6"/>
  <c r="G110" i="6"/>
  <c r="A111" i="3"/>
  <c r="C111" i="6"/>
  <c r="D111" i="6"/>
  <c r="F111" i="6"/>
  <c r="G111" i="6"/>
  <c r="A112" i="3"/>
  <c r="C112" i="6"/>
  <c r="D112" i="6"/>
  <c r="F112" i="6"/>
  <c r="G112" i="6"/>
  <c r="A113" i="3"/>
  <c r="C113" i="6"/>
  <c r="D113" i="6"/>
  <c r="F113" i="6"/>
  <c r="G113" i="6"/>
  <c r="A114" i="3"/>
  <c r="C114" i="6"/>
  <c r="D114" i="6"/>
  <c r="F114" i="6"/>
  <c r="G114" i="6"/>
  <c r="A115" i="3"/>
  <c r="C115" i="6"/>
  <c r="D115" i="6"/>
  <c r="F115" i="6"/>
  <c r="G115" i="6"/>
  <c r="A116" i="3"/>
  <c r="C116" i="6"/>
  <c r="D116" i="6"/>
  <c r="F116" i="6"/>
  <c r="G116" i="6"/>
  <c r="A117" i="3"/>
  <c r="C117" i="6"/>
  <c r="D117" i="6"/>
  <c r="F117" i="6"/>
  <c r="G117" i="6"/>
  <c r="A118" i="3"/>
  <c r="C118" i="6"/>
  <c r="D118" i="6"/>
  <c r="F118" i="6"/>
  <c r="G118" i="6"/>
  <c r="A119" i="3"/>
  <c r="C119" i="6"/>
  <c r="D119" i="6"/>
  <c r="F119" i="6"/>
  <c r="G119" i="6"/>
  <c r="A120" i="3"/>
  <c r="C120" i="6"/>
  <c r="D120" i="6"/>
  <c r="F120" i="6"/>
  <c r="G120" i="6"/>
  <c r="A121" i="3"/>
  <c r="C121" i="6"/>
  <c r="D121" i="6"/>
  <c r="F121" i="6"/>
  <c r="G121" i="6"/>
  <c r="A122" i="3"/>
  <c r="C122" i="6"/>
  <c r="D122" i="6"/>
  <c r="F122" i="6"/>
  <c r="G122" i="6"/>
  <c r="A123" i="3"/>
  <c r="C123" i="6"/>
  <c r="D123" i="6"/>
  <c r="F123" i="6"/>
  <c r="G123" i="6"/>
  <c r="A124" i="3"/>
  <c r="C124" i="6"/>
  <c r="D124" i="6"/>
  <c r="F124" i="6"/>
  <c r="G124" i="6"/>
  <c r="A125" i="3"/>
  <c r="C125" i="6"/>
  <c r="D125" i="6"/>
  <c r="F125" i="6"/>
  <c r="G125" i="6"/>
  <c r="A126" i="3"/>
  <c r="C126" i="6"/>
  <c r="D126" i="6"/>
  <c r="F126" i="6"/>
  <c r="G126" i="6"/>
  <c r="A127" i="3"/>
  <c r="C127" i="6"/>
  <c r="D127" i="6"/>
  <c r="F127" i="6"/>
  <c r="G127" i="6"/>
  <c r="A128" i="3"/>
  <c r="C128" i="6"/>
  <c r="D128" i="6"/>
  <c r="F128" i="6"/>
  <c r="G128" i="6"/>
  <c r="A129" i="3"/>
  <c r="C129" i="6"/>
  <c r="D129" i="6"/>
  <c r="A130" i="3"/>
  <c r="C130" i="6"/>
  <c r="D130" i="6"/>
  <c r="F130" i="6"/>
  <c r="G130" i="6"/>
  <c r="A131" i="3"/>
  <c r="C131" i="6"/>
  <c r="D131" i="6"/>
  <c r="F131" i="6"/>
  <c r="G131" i="6"/>
  <c r="A132" i="3"/>
  <c r="C132" i="6"/>
  <c r="D132" i="6"/>
  <c r="F132" i="6"/>
  <c r="G132" i="6"/>
  <c r="A133" i="3"/>
  <c r="C133" i="6"/>
  <c r="D133" i="6"/>
  <c r="F133" i="6"/>
  <c r="G133" i="6"/>
  <c r="A134" i="3"/>
  <c r="C134" i="6"/>
  <c r="D134" i="6"/>
  <c r="F134" i="6"/>
  <c r="G134" i="6"/>
  <c r="A135" i="3"/>
  <c r="C135" i="6"/>
  <c r="D135" i="6"/>
  <c r="F135" i="6"/>
  <c r="G135" i="6"/>
  <c r="A136" i="3"/>
  <c r="C136" i="6"/>
  <c r="D136" i="6"/>
  <c r="F136" i="6"/>
  <c r="G136" i="6"/>
  <c r="A137" i="3"/>
  <c r="C137" i="6"/>
  <c r="D137" i="6"/>
  <c r="F137" i="6"/>
  <c r="G137" i="6"/>
  <c r="A138" i="3"/>
  <c r="C138" i="6"/>
  <c r="D138" i="6"/>
  <c r="F138" i="6"/>
  <c r="G138" i="6"/>
  <c r="A139" i="3"/>
  <c r="C139" i="6"/>
  <c r="D139" i="6"/>
  <c r="F139" i="6"/>
  <c r="G139" i="6"/>
  <c r="A140" i="3"/>
  <c r="C140" i="6"/>
  <c r="D140" i="6"/>
  <c r="F140" i="6"/>
  <c r="G140" i="6"/>
  <c r="A141" i="3"/>
  <c r="C141" i="6"/>
  <c r="D141" i="6"/>
  <c r="F141" i="6"/>
  <c r="G141" i="6"/>
  <c r="A142" i="3"/>
  <c r="C142" i="6"/>
  <c r="D142" i="6"/>
  <c r="F142" i="6"/>
  <c r="G142" i="6"/>
  <c r="A143" i="3"/>
  <c r="C143" i="6"/>
  <c r="D143" i="6"/>
  <c r="F143" i="6"/>
  <c r="G143" i="6"/>
  <c r="A144" i="3"/>
  <c r="C144" i="6"/>
  <c r="D144" i="6"/>
  <c r="F144" i="6"/>
  <c r="G144" i="6"/>
  <c r="A145" i="3"/>
  <c r="C145" i="6"/>
  <c r="D145" i="6"/>
  <c r="F145" i="6"/>
  <c r="G145" i="6"/>
  <c r="A146" i="3"/>
  <c r="C146" i="6"/>
  <c r="D146" i="6"/>
  <c r="F146" i="6"/>
  <c r="G146" i="6"/>
  <c r="A147" i="3"/>
  <c r="C147" i="6"/>
  <c r="D147" i="6"/>
  <c r="F147" i="6"/>
  <c r="G147" i="6"/>
  <c r="A148" i="3"/>
  <c r="C148" i="6"/>
  <c r="D148" i="6"/>
  <c r="F148" i="6"/>
  <c r="G148" i="6"/>
  <c r="A149" i="3"/>
  <c r="C149" i="6"/>
  <c r="D149" i="6"/>
  <c r="F149" i="6"/>
  <c r="G149" i="6"/>
  <c r="A150" i="3"/>
  <c r="C150" i="6"/>
  <c r="D150" i="6"/>
  <c r="F150" i="6"/>
  <c r="G150" i="6"/>
  <c r="A151" i="3"/>
  <c r="C151" i="6"/>
  <c r="D151" i="6"/>
  <c r="F151" i="6"/>
  <c r="G151" i="6"/>
  <c r="A152" i="3"/>
  <c r="C152" i="6"/>
  <c r="D152" i="6"/>
  <c r="F152" i="6"/>
  <c r="G152" i="6"/>
  <c r="A153" i="3"/>
  <c r="C153" i="6"/>
  <c r="D153" i="6"/>
  <c r="F153" i="6"/>
  <c r="G153" i="6"/>
  <c r="A154" i="3"/>
  <c r="C154" i="6"/>
  <c r="D154" i="6"/>
  <c r="F154" i="6"/>
  <c r="G154" i="6"/>
  <c r="A155" i="3"/>
  <c r="C155" i="6"/>
  <c r="D155" i="6"/>
  <c r="F155" i="6"/>
  <c r="G155" i="6"/>
  <c r="A156" i="3"/>
  <c r="C156" i="6"/>
  <c r="D156" i="6"/>
  <c r="F156" i="6"/>
  <c r="G156" i="6"/>
  <c r="A157" i="3"/>
  <c r="C157" i="6"/>
  <c r="D157" i="6"/>
  <c r="F157" i="6"/>
  <c r="G157" i="6"/>
  <c r="A158" i="3"/>
  <c r="C158" i="6"/>
  <c r="D158" i="6"/>
  <c r="F158" i="6"/>
  <c r="G158" i="6"/>
  <c r="A159" i="3"/>
  <c r="C159" i="6"/>
  <c r="D159" i="6"/>
  <c r="F159" i="6"/>
  <c r="G159" i="6"/>
  <c r="A160" i="3"/>
  <c r="C160" i="6"/>
  <c r="D160" i="6"/>
  <c r="F160" i="6"/>
  <c r="G160" i="6"/>
  <c r="A161" i="3"/>
  <c r="C161" i="6"/>
  <c r="D161" i="6"/>
  <c r="F161" i="6"/>
  <c r="G161" i="6"/>
  <c r="A162" i="3"/>
  <c r="C162" i="6"/>
  <c r="D162" i="6"/>
  <c r="F162" i="6"/>
  <c r="G162" i="6"/>
  <c r="A163" i="3"/>
  <c r="C163" i="6"/>
  <c r="D163" i="6"/>
  <c r="F163" i="6"/>
  <c r="G163" i="6"/>
  <c r="A164" i="3"/>
  <c r="C164" i="6"/>
  <c r="D164" i="6"/>
  <c r="F164" i="6"/>
  <c r="G164" i="6"/>
  <c r="A165" i="3"/>
  <c r="C165" i="6"/>
  <c r="D165" i="6"/>
  <c r="F165" i="6"/>
  <c r="G165" i="6"/>
  <c r="A166" i="3"/>
  <c r="C166" i="6"/>
  <c r="D166" i="6"/>
  <c r="F166" i="6"/>
  <c r="G166" i="6"/>
  <c r="A167" i="3"/>
  <c r="C167" i="6"/>
  <c r="D167" i="6"/>
  <c r="F167" i="6"/>
  <c r="G167" i="6"/>
  <c r="A168" i="3"/>
  <c r="C168" i="6"/>
  <c r="D168" i="6"/>
  <c r="F168" i="6"/>
  <c r="G168" i="6"/>
  <c r="A169" i="3"/>
  <c r="C169" i="6"/>
  <c r="D169" i="6"/>
  <c r="F169" i="6"/>
  <c r="G169" i="6"/>
  <c r="A170" i="3"/>
  <c r="C170" i="6"/>
  <c r="D170" i="6"/>
  <c r="F170" i="6"/>
  <c r="G170" i="6"/>
  <c r="A171" i="3"/>
  <c r="C171" i="6"/>
  <c r="D171" i="6"/>
  <c r="F171" i="6"/>
  <c r="G171" i="6"/>
  <c r="A172" i="3"/>
  <c r="C172" i="6"/>
  <c r="D172" i="6"/>
  <c r="F172" i="6"/>
  <c r="G172" i="6"/>
  <c r="A173" i="3"/>
  <c r="C173" i="6"/>
  <c r="D173" i="6"/>
  <c r="F173" i="6"/>
  <c r="G173" i="6"/>
  <c r="A174" i="3"/>
  <c r="C174" i="6"/>
  <c r="D174" i="6"/>
  <c r="F174" i="6"/>
  <c r="G174" i="6"/>
  <c r="A175" i="3"/>
  <c r="C175" i="6"/>
  <c r="D175" i="6"/>
  <c r="F175" i="6"/>
  <c r="G175" i="6"/>
  <c r="A176" i="3"/>
  <c r="C176" i="6"/>
  <c r="D176" i="6"/>
  <c r="F176" i="6"/>
  <c r="G176" i="6"/>
  <c r="A177" i="3"/>
  <c r="C177" i="6"/>
  <c r="D177" i="6"/>
  <c r="A178" i="3"/>
  <c r="C178" i="6"/>
  <c r="D178" i="6"/>
  <c r="F178" i="6"/>
  <c r="G178" i="6"/>
  <c r="A179" i="3"/>
  <c r="C179" i="6"/>
  <c r="D179" i="6"/>
  <c r="F179" i="6"/>
  <c r="G179" i="6"/>
  <c r="A180" i="3"/>
  <c r="C180" i="6"/>
  <c r="D180" i="6"/>
  <c r="F180" i="6"/>
  <c r="G180" i="6"/>
  <c r="A181" i="3"/>
  <c r="C181" i="6"/>
  <c r="D181" i="6"/>
  <c r="F181" i="6"/>
  <c r="G181" i="6"/>
  <c r="A182" i="3"/>
  <c r="C182" i="6"/>
  <c r="D182" i="6"/>
  <c r="F182" i="6"/>
  <c r="G182" i="6"/>
  <c r="A183" i="3"/>
  <c r="C183" i="6"/>
  <c r="D183" i="6"/>
  <c r="F183" i="6"/>
  <c r="G183" i="6"/>
  <c r="A184" i="3"/>
  <c r="C184" i="6"/>
  <c r="D184" i="6"/>
  <c r="F184" i="6"/>
  <c r="G184" i="6"/>
  <c r="A185" i="3"/>
  <c r="C185" i="6"/>
  <c r="D185" i="6"/>
  <c r="F185" i="6"/>
  <c r="G185" i="6"/>
  <c r="A186" i="3"/>
  <c r="C186" i="6"/>
  <c r="D186" i="6"/>
  <c r="F186" i="6"/>
  <c r="G186" i="6"/>
  <c r="A187" i="3"/>
  <c r="C187" i="6"/>
  <c r="D187" i="6"/>
  <c r="F187" i="6"/>
  <c r="G187" i="6"/>
  <c r="A188" i="3"/>
  <c r="C188" i="6"/>
  <c r="D188" i="6"/>
  <c r="F188" i="6"/>
  <c r="G188" i="6"/>
  <c r="A189" i="3"/>
  <c r="C189" i="6"/>
  <c r="D189" i="6"/>
  <c r="F189" i="6"/>
  <c r="G189" i="6"/>
  <c r="A190" i="3"/>
  <c r="C190" i="6"/>
  <c r="D190" i="6"/>
  <c r="F190" i="6"/>
  <c r="G190" i="6"/>
  <c r="A191" i="3"/>
  <c r="C191" i="6"/>
  <c r="D191" i="6"/>
  <c r="F191" i="6"/>
  <c r="G191" i="6"/>
  <c r="A192" i="3"/>
  <c r="C192" i="6"/>
  <c r="D192" i="6"/>
  <c r="F192" i="6"/>
  <c r="G192" i="6"/>
  <c r="A193" i="3"/>
  <c r="C193" i="6"/>
  <c r="D193" i="6"/>
  <c r="F193" i="6"/>
  <c r="G193" i="6"/>
  <c r="A194" i="3"/>
  <c r="C194" i="6"/>
  <c r="D194" i="6"/>
  <c r="F194" i="6"/>
  <c r="G194" i="6"/>
  <c r="A195" i="3"/>
  <c r="C195" i="6"/>
  <c r="D195" i="6"/>
  <c r="F195" i="6"/>
  <c r="G195" i="6"/>
  <c r="A196" i="3"/>
  <c r="C196" i="6"/>
  <c r="D196" i="6"/>
  <c r="F196" i="6"/>
  <c r="G196" i="6"/>
  <c r="A197" i="3"/>
  <c r="C197" i="6"/>
  <c r="D197" i="6"/>
  <c r="F197" i="6"/>
  <c r="G197" i="6"/>
  <c r="A198" i="3"/>
  <c r="C198" i="6"/>
  <c r="D198" i="6"/>
  <c r="F198" i="6"/>
  <c r="G198" i="6"/>
  <c r="A199" i="3"/>
  <c r="C199" i="6"/>
  <c r="D199" i="6"/>
  <c r="F199" i="6"/>
  <c r="G199" i="6"/>
  <c r="A200" i="3"/>
  <c r="C200" i="6"/>
  <c r="D200" i="6"/>
  <c r="F200" i="6"/>
  <c r="G200" i="6"/>
  <c r="A201" i="3"/>
  <c r="C201" i="6"/>
  <c r="D201" i="6"/>
  <c r="F201" i="6"/>
  <c r="G201" i="6"/>
  <c r="A202" i="3"/>
  <c r="C202" i="6"/>
  <c r="D202" i="6"/>
  <c r="F202" i="6"/>
  <c r="G202" i="6"/>
  <c r="A203" i="3"/>
  <c r="C203" i="6"/>
  <c r="D203" i="6"/>
  <c r="F203" i="6"/>
  <c r="G203" i="6"/>
  <c r="A204" i="3"/>
  <c r="C204" i="6"/>
  <c r="D204" i="6"/>
  <c r="F204" i="6"/>
  <c r="G204" i="6"/>
  <c r="A205" i="3"/>
  <c r="C205" i="6"/>
  <c r="D205" i="6"/>
  <c r="F205" i="6"/>
  <c r="G205" i="6"/>
  <c r="A206" i="3"/>
  <c r="C206" i="6"/>
  <c r="D206" i="6"/>
  <c r="F206" i="6"/>
  <c r="G206" i="6"/>
  <c r="A207" i="3"/>
  <c r="C207" i="6"/>
  <c r="D207" i="6"/>
  <c r="F207" i="6"/>
  <c r="G207" i="6"/>
  <c r="A208" i="3"/>
  <c r="C208" i="6"/>
  <c r="D208" i="6"/>
  <c r="F208" i="6"/>
  <c r="G208" i="6"/>
  <c r="A209" i="3"/>
  <c r="C209" i="6"/>
  <c r="D209" i="6"/>
  <c r="F209" i="6"/>
  <c r="G209" i="6"/>
  <c r="A210" i="3"/>
  <c r="C210" i="6"/>
  <c r="D210" i="6"/>
  <c r="F210" i="6"/>
  <c r="G210" i="6"/>
  <c r="A211" i="3"/>
  <c r="C211" i="6"/>
  <c r="D211" i="6"/>
  <c r="F211" i="6"/>
  <c r="G211" i="6"/>
  <c r="A212" i="3"/>
  <c r="C212" i="6"/>
  <c r="D212" i="6"/>
  <c r="F212" i="6"/>
  <c r="G212" i="6"/>
  <c r="A213" i="3"/>
  <c r="C213" i="6"/>
  <c r="D213" i="6"/>
  <c r="F213" i="6"/>
  <c r="G213" i="6"/>
  <c r="A214" i="3"/>
  <c r="C214" i="6"/>
  <c r="D214" i="6"/>
  <c r="F214" i="6"/>
  <c r="G214" i="6"/>
  <c r="A215" i="3"/>
  <c r="C215" i="6"/>
  <c r="D215" i="6"/>
  <c r="F215" i="6"/>
  <c r="G215" i="6"/>
  <c r="A216" i="3"/>
  <c r="C216" i="6"/>
  <c r="D216" i="6"/>
  <c r="F216" i="6"/>
  <c r="G216" i="6"/>
  <c r="A217" i="3"/>
  <c r="C217" i="6"/>
  <c r="D217" i="6"/>
  <c r="F217" i="6"/>
  <c r="G217" i="6"/>
  <c r="A218" i="3"/>
  <c r="C218" i="6"/>
  <c r="D218" i="6"/>
  <c r="F218" i="6"/>
  <c r="G218" i="6"/>
  <c r="A219" i="3"/>
  <c r="C219" i="6"/>
  <c r="D219" i="6"/>
  <c r="F219" i="6"/>
  <c r="G219" i="6"/>
  <c r="A220" i="3"/>
  <c r="C220" i="6"/>
  <c r="D220" i="6"/>
  <c r="F220" i="6"/>
  <c r="G220" i="6"/>
  <c r="A221" i="3"/>
  <c r="C221" i="6"/>
  <c r="D221" i="6"/>
  <c r="F221" i="6"/>
  <c r="G221" i="6"/>
  <c r="A222" i="3"/>
  <c r="C222" i="6"/>
  <c r="D222" i="6"/>
  <c r="F222" i="6"/>
  <c r="G222" i="6"/>
  <c r="A223" i="3"/>
  <c r="C223" i="6"/>
  <c r="D223" i="6"/>
  <c r="F223" i="6"/>
  <c r="G223" i="6"/>
  <c r="A224" i="3"/>
  <c r="C224" i="6"/>
  <c r="D224" i="6"/>
  <c r="F224" i="6"/>
  <c r="G224" i="6"/>
  <c r="A225" i="3"/>
  <c r="C225" i="6"/>
  <c r="D225" i="6"/>
  <c r="F225" i="6"/>
  <c r="G225" i="6"/>
  <c r="A226" i="3"/>
  <c r="C226" i="6"/>
  <c r="D226" i="6"/>
  <c r="F226" i="6"/>
  <c r="G226" i="6"/>
  <c r="A227" i="3"/>
  <c r="C227" i="6"/>
  <c r="D227" i="6"/>
  <c r="F227" i="6"/>
  <c r="G227" i="6"/>
  <c r="A228" i="3"/>
  <c r="C228" i="6"/>
  <c r="D228" i="6"/>
  <c r="F228" i="6"/>
  <c r="G228" i="6"/>
  <c r="A229" i="3"/>
  <c r="C229" i="6"/>
  <c r="D229" i="6"/>
  <c r="F229" i="6"/>
  <c r="G229" i="6"/>
  <c r="A230" i="3"/>
  <c r="C230" i="6"/>
  <c r="D230" i="6"/>
  <c r="F230" i="6"/>
  <c r="G230" i="6"/>
  <c r="A231" i="3"/>
  <c r="C231" i="6"/>
  <c r="D231" i="6"/>
  <c r="F231" i="6"/>
  <c r="G231" i="6"/>
  <c r="A232" i="3"/>
  <c r="C232" i="6"/>
  <c r="D232" i="6"/>
  <c r="F232" i="6"/>
  <c r="G232" i="6"/>
  <c r="A233" i="3"/>
  <c r="C233" i="6"/>
  <c r="D233" i="6"/>
  <c r="F233" i="6"/>
  <c r="G233" i="6"/>
  <c r="A234" i="3"/>
  <c r="C234" i="6"/>
  <c r="D234" i="6"/>
  <c r="F234" i="6"/>
  <c r="G234" i="6"/>
  <c r="A235" i="3"/>
  <c r="C235" i="6"/>
  <c r="D235" i="6"/>
  <c r="F235" i="6"/>
  <c r="G235" i="6"/>
  <c r="A236" i="3"/>
  <c r="C236" i="6"/>
  <c r="D236" i="6"/>
  <c r="F236" i="6"/>
  <c r="G236" i="6"/>
  <c r="A237" i="3"/>
  <c r="C237" i="6"/>
  <c r="D237" i="6"/>
  <c r="F237" i="6"/>
  <c r="G237" i="6"/>
  <c r="A238" i="3"/>
  <c r="C238" i="6"/>
  <c r="D238" i="6"/>
  <c r="F238" i="6"/>
  <c r="G238" i="6"/>
  <c r="A239" i="3"/>
  <c r="C239" i="6"/>
  <c r="D239" i="6"/>
  <c r="F239" i="6"/>
  <c r="G239" i="6"/>
  <c r="A240" i="3"/>
  <c r="C240" i="6"/>
  <c r="D240" i="6"/>
  <c r="F240" i="6"/>
  <c r="G240" i="6"/>
  <c r="A241" i="3"/>
  <c r="C241" i="6"/>
  <c r="D241" i="6"/>
  <c r="F241" i="6"/>
  <c r="G241" i="6"/>
  <c r="A242" i="3"/>
  <c r="C242" i="6"/>
  <c r="D242" i="6"/>
  <c r="F242" i="6"/>
  <c r="G242" i="6"/>
  <c r="A243" i="3"/>
  <c r="C243" i="6"/>
  <c r="D243" i="6"/>
  <c r="F243" i="6"/>
  <c r="G243" i="6"/>
  <c r="A244" i="3"/>
  <c r="C244" i="6"/>
  <c r="D244" i="6"/>
  <c r="F244" i="6"/>
  <c r="G244" i="6"/>
  <c r="A245" i="3"/>
  <c r="C245" i="6"/>
  <c r="D245" i="6"/>
  <c r="F245" i="6"/>
  <c r="G245" i="6"/>
  <c r="A246" i="3"/>
  <c r="C246" i="6"/>
  <c r="D246" i="6"/>
  <c r="F246" i="6"/>
  <c r="G246" i="6"/>
  <c r="A247" i="3"/>
  <c r="C247" i="6"/>
  <c r="D247" i="6"/>
  <c r="F247" i="6"/>
  <c r="G247" i="6"/>
  <c r="A248" i="3"/>
  <c r="C248" i="6"/>
  <c r="D248" i="6"/>
  <c r="F248" i="6"/>
  <c r="G248" i="6"/>
  <c r="A249" i="3"/>
  <c r="C249" i="6"/>
  <c r="D249" i="6"/>
  <c r="F249" i="6"/>
  <c r="G249" i="6"/>
  <c r="A250" i="3"/>
  <c r="C250" i="6"/>
  <c r="D250" i="6"/>
  <c r="F250" i="6"/>
  <c r="G250" i="6"/>
  <c r="A251" i="3"/>
  <c r="C251" i="6"/>
  <c r="D251" i="6"/>
  <c r="F251" i="6"/>
  <c r="G251" i="6"/>
  <c r="A252" i="3"/>
  <c r="C252" i="6"/>
  <c r="D252" i="6"/>
  <c r="F252" i="6"/>
  <c r="G252" i="6"/>
  <c r="A253" i="3"/>
  <c r="C253" i="6"/>
  <c r="D253" i="6"/>
  <c r="F253" i="6"/>
  <c r="G253" i="6"/>
  <c r="A254" i="3"/>
  <c r="C254" i="6"/>
  <c r="D254" i="6"/>
  <c r="F254" i="6"/>
  <c r="G254" i="6"/>
  <c r="A255" i="3"/>
  <c r="C255" i="6"/>
  <c r="D255" i="6"/>
  <c r="F255" i="6"/>
  <c r="G255" i="6"/>
  <c r="A256" i="3"/>
  <c r="C256" i="6"/>
  <c r="D256" i="6"/>
  <c r="F256" i="6"/>
  <c r="G256" i="6"/>
  <c r="A257" i="3"/>
  <c r="C257" i="6"/>
  <c r="D257" i="6"/>
  <c r="F257" i="6"/>
  <c r="G257" i="6"/>
  <c r="A258" i="3"/>
  <c r="C258" i="6"/>
  <c r="D258" i="6"/>
  <c r="F258" i="6"/>
  <c r="G258" i="6"/>
  <c r="A259" i="3"/>
  <c r="C259" i="6"/>
  <c r="D259" i="6"/>
  <c r="F259" i="6"/>
  <c r="G259" i="6"/>
  <c r="A260" i="3"/>
  <c r="C260" i="6"/>
  <c r="D260" i="6"/>
  <c r="F260" i="6"/>
  <c r="G260" i="6"/>
  <c r="A261" i="3"/>
  <c r="C261" i="6"/>
  <c r="D261" i="6"/>
  <c r="F261" i="6"/>
  <c r="G261" i="6"/>
  <c r="A262" i="3"/>
  <c r="C262" i="6"/>
  <c r="D262" i="6"/>
  <c r="F262" i="6"/>
  <c r="G262" i="6"/>
  <c r="A263" i="3"/>
  <c r="C263" i="6"/>
  <c r="D263" i="6"/>
  <c r="F263" i="6"/>
  <c r="G263" i="6"/>
  <c r="A264" i="3"/>
  <c r="C264" i="6"/>
  <c r="D264" i="6"/>
  <c r="F264" i="6"/>
  <c r="G264" i="6"/>
  <c r="U8" i="16"/>
  <c r="O8" i="16"/>
  <c r="C8" i="16"/>
  <c r="U7" i="16"/>
  <c r="P7" i="16"/>
  <c r="M7" i="16"/>
  <c r="L7" i="16"/>
  <c r="K7" i="16"/>
  <c r="J7" i="16"/>
  <c r="I7" i="16"/>
  <c r="H7" i="16"/>
  <c r="G7" i="16"/>
  <c r="U6" i="16"/>
  <c r="P6" i="16"/>
  <c r="O6" i="16"/>
  <c r="U5" i="16"/>
  <c r="R5" i="16"/>
  <c r="O5" i="16"/>
  <c r="U4" i="16"/>
  <c r="F3" i="16"/>
  <c r="E3" i="16"/>
  <c r="B60" i="14"/>
  <c r="C60" i="14"/>
  <c r="E60" i="14"/>
  <c r="D60" i="14"/>
  <c r="A60" i="14"/>
  <c r="B59" i="14"/>
  <c r="C59" i="14"/>
  <c r="E59" i="14"/>
  <c r="D59" i="14"/>
  <c r="A59" i="14"/>
  <c r="B58" i="14"/>
  <c r="C58" i="14"/>
  <c r="E58" i="14"/>
  <c r="D58" i="14"/>
  <c r="A58" i="14"/>
  <c r="B57" i="14"/>
  <c r="C57" i="14"/>
  <c r="E57" i="14"/>
  <c r="D57" i="14"/>
  <c r="A57" i="14"/>
  <c r="B56" i="14"/>
  <c r="C56" i="14"/>
  <c r="E56" i="14"/>
  <c r="D56" i="14"/>
  <c r="A56" i="14"/>
  <c r="B55" i="14"/>
  <c r="C55" i="14"/>
  <c r="E55" i="14"/>
  <c r="D55" i="14"/>
  <c r="A55" i="14"/>
  <c r="B54" i="14"/>
  <c r="C54" i="14"/>
  <c r="E54" i="14"/>
  <c r="D54" i="14"/>
  <c r="A54" i="14"/>
  <c r="B53" i="14"/>
  <c r="C53" i="14"/>
  <c r="E53" i="14"/>
  <c r="D53" i="14"/>
  <c r="A53" i="14"/>
  <c r="B52" i="14"/>
  <c r="C52" i="14"/>
  <c r="E52" i="14"/>
  <c r="D52" i="14"/>
  <c r="A52" i="14"/>
  <c r="B51" i="14"/>
  <c r="C51" i="14"/>
  <c r="E51" i="14"/>
  <c r="D51" i="14"/>
  <c r="A51" i="14"/>
  <c r="B50" i="14"/>
  <c r="C50" i="14"/>
  <c r="E50" i="14"/>
  <c r="D50" i="14"/>
  <c r="A50" i="14"/>
  <c r="B49" i="14"/>
  <c r="C49" i="14"/>
  <c r="E49" i="14"/>
  <c r="D49" i="14"/>
  <c r="A49" i="14"/>
  <c r="B48" i="14"/>
  <c r="C48" i="14"/>
  <c r="E48" i="14"/>
  <c r="D48" i="14"/>
  <c r="A48" i="14"/>
  <c r="B47" i="14"/>
  <c r="C47" i="14"/>
  <c r="E47" i="14"/>
  <c r="D47" i="14"/>
  <c r="A47" i="14"/>
  <c r="B46" i="14"/>
  <c r="C46" i="14"/>
  <c r="E46" i="14"/>
  <c r="D46" i="14"/>
  <c r="A46" i="14"/>
  <c r="B45" i="14"/>
  <c r="C45" i="14"/>
  <c r="E45" i="14"/>
  <c r="D45" i="14"/>
  <c r="A45" i="14"/>
  <c r="B44" i="14"/>
  <c r="D26" i="7"/>
  <c r="C44" i="14"/>
  <c r="E44" i="14"/>
  <c r="D44" i="14"/>
  <c r="A44" i="14"/>
  <c r="B43" i="14"/>
  <c r="D25" i="7"/>
  <c r="C43" i="14"/>
  <c r="E43" i="14"/>
  <c r="D43" i="14"/>
  <c r="A43" i="14"/>
  <c r="B42" i="14"/>
  <c r="D24" i="7"/>
  <c r="C42" i="14"/>
  <c r="E42" i="14"/>
  <c r="D42" i="14"/>
  <c r="A42" i="14"/>
  <c r="B41" i="14"/>
  <c r="D23" i="7"/>
  <c r="C41" i="14"/>
  <c r="E41" i="14"/>
  <c r="D41" i="14"/>
  <c r="A41" i="14"/>
  <c r="B40" i="14"/>
  <c r="C40" i="14"/>
  <c r="E40" i="14"/>
  <c r="D40" i="14"/>
  <c r="A40" i="14"/>
  <c r="B39" i="14"/>
  <c r="C39" i="14"/>
  <c r="E39" i="14"/>
  <c r="D39" i="14"/>
  <c r="A39" i="14"/>
  <c r="B38" i="14"/>
  <c r="C38" i="14"/>
  <c r="E38" i="14"/>
  <c r="D38" i="14"/>
  <c r="A38" i="14"/>
  <c r="B37" i="14"/>
  <c r="C37" i="14"/>
  <c r="E37" i="14"/>
  <c r="D37" i="14"/>
  <c r="A37" i="14"/>
  <c r="B36" i="14"/>
  <c r="C36" i="14"/>
  <c r="E36" i="14"/>
  <c r="D36" i="14"/>
  <c r="A36" i="14"/>
  <c r="B35" i="14"/>
  <c r="C35" i="14"/>
  <c r="E35" i="14"/>
  <c r="D35" i="14"/>
  <c r="A35" i="14"/>
  <c r="B34" i="14"/>
  <c r="C34" i="14"/>
  <c r="E34" i="14"/>
  <c r="D34" i="14"/>
  <c r="A34" i="14"/>
  <c r="B33" i="14"/>
  <c r="C33" i="14"/>
  <c r="E33" i="14"/>
  <c r="D33" i="14"/>
  <c r="A33" i="14"/>
  <c r="B32" i="14"/>
  <c r="D14" i="7"/>
  <c r="C32" i="14"/>
  <c r="E32" i="14"/>
  <c r="D32" i="14"/>
  <c r="A32" i="14"/>
  <c r="B31" i="14"/>
  <c r="C31" i="14"/>
  <c r="E31" i="14"/>
  <c r="D31" i="14"/>
  <c r="A31" i="14"/>
  <c r="B30" i="14"/>
  <c r="D12" i="7"/>
  <c r="C30" i="14"/>
  <c r="E30" i="14"/>
  <c r="D30" i="14"/>
  <c r="A30" i="14"/>
  <c r="B29" i="14"/>
  <c r="C29" i="14"/>
  <c r="E29" i="14"/>
  <c r="D29" i="14"/>
  <c r="A29" i="14"/>
  <c r="B28" i="14"/>
  <c r="D10" i="7"/>
  <c r="C28" i="14"/>
  <c r="E28" i="14"/>
  <c r="D28" i="14"/>
  <c r="A28" i="14"/>
  <c r="B27" i="14"/>
  <c r="C27" i="14"/>
  <c r="E27" i="14"/>
  <c r="D27" i="14"/>
  <c r="A27" i="14"/>
  <c r="B26" i="14"/>
  <c r="C26" i="14"/>
  <c r="E26" i="14"/>
  <c r="D26" i="14"/>
  <c r="A26" i="14"/>
  <c r="B25" i="14"/>
  <c r="C25" i="14"/>
  <c r="E25" i="14"/>
  <c r="D25" i="14"/>
  <c r="A25" i="14"/>
  <c r="B24" i="14"/>
  <c r="D6" i="7"/>
  <c r="C24" i="14"/>
  <c r="E24" i="14"/>
  <c r="D24" i="14"/>
  <c r="A24" i="14"/>
  <c r="B23" i="14"/>
  <c r="C23" i="14"/>
  <c r="E23" i="14"/>
  <c r="D23" i="14"/>
  <c r="A23" i="14"/>
  <c r="B22" i="14"/>
  <c r="C22" i="14"/>
  <c r="E22" i="14"/>
  <c r="D22" i="14"/>
  <c r="A22" i="14"/>
  <c r="B21" i="14"/>
  <c r="D3" i="7"/>
  <c r="C21" i="14"/>
  <c r="E21" i="14"/>
  <c r="D21" i="14"/>
  <c r="A21" i="14"/>
  <c r="B20" i="14"/>
  <c r="D2" i="7"/>
  <c r="C20" i="14"/>
  <c r="E20" i="14"/>
  <c r="D20" i="14"/>
  <c r="A20" i="14"/>
  <c r="C3" i="2"/>
  <c r="B13" i="14"/>
  <c r="C2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H19" i="4"/>
  <c r="H20" i="4"/>
  <c r="H21" i="4"/>
  <c r="H22" i="4"/>
  <c r="G66" i="4"/>
  <c r="H66" i="4"/>
  <c r="F42" i="7"/>
  <c r="I5" i="5"/>
  <c r="Q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F6" i="14"/>
  <c r="F7" i="14"/>
  <c r="F8" i="14"/>
  <c r="F9" i="14"/>
  <c r="B6" i="14"/>
  <c r="D6" i="14"/>
  <c r="B7" i="14"/>
  <c r="C7" i="14"/>
  <c r="D7" i="14"/>
  <c r="C8" i="14"/>
  <c r="D8" i="14"/>
  <c r="D9" i="14"/>
  <c r="B8" i="14"/>
  <c r="B9" i="14"/>
  <c r="E8" i="14"/>
  <c r="E7" i="14"/>
  <c r="E6" i="14"/>
  <c r="D21" i="13"/>
  <c r="C21" i="13"/>
  <c r="D20" i="13"/>
  <c r="C20" i="13"/>
  <c r="D19" i="13"/>
  <c r="C19" i="13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F13" i="13"/>
  <c r="F12" i="13"/>
  <c r="I3" i="5"/>
  <c r="I7" i="13"/>
  <c r="F11" i="13"/>
  <c r="F10" i="13"/>
  <c r="C10" i="13"/>
  <c r="K3" i="5"/>
  <c r="I9" i="13"/>
  <c r="F9" i="13"/>
  <c r="F4" i="2"/>
  <c r="F5" i="2"/>
  <c r="F6" i="2"/>
  <c r="F7" i="2"/>
  <c r="C7" i="13"/>
  <c r="I5" i="13"/>
  <c r="S23" i="12"/>
  <c r="Q23" i="12"/>
  <c r="S22" i="12"/>
  <c r="Q22" i="12"/>
  <c r="S21" i="12"/>
  <c r="Q21" i="12"/>
  <c r="S15" i="12"/>
  <c r="Q15" i="12"/>
  <c r="S14" i="12"/>
  <c r="Q14" i="12"/>
  <c r="Q9" i="12"/>
  <c r="E4" i="12"/>
  <c r="I129" i="11"/>
  <c r="I128" i="11"/>
  <c r="F128" i="11"/>
  <c r="I127" i="11"/>
  <c r="F127" i="11"/>
  <c r="I126" i="11"/>
  <c r="F126" i="11"/>
  <c r="I125" i="11"/>
  <c r="F125" i="11"/>
  <c r="I124" i="11"/>
  <c r="F124" i="11"/>
  <c r="I123" i="11"/>
  <c r="F123" i="11"/>
  <c r="I122" i="11"/>
  <c r="F122" i="11"/>
  <c r="I121" i="11"/>
  <c r="F121" i="11"/>
  <c r="I120" i="11"/>
  <c r="F120" i="11"/>
  <c r="I119" i="11"/>
  <c r="F119" i="11"/>
  <c r="I118" i="11"/>
  <c r="F118" i="11"/>
  <c r="I117" i="11"/>
  <c r="F117" i="11"/>
  <c r="I116" i="11"/>
  <c r="F116" i="11"/>
  <c r="I115" i="11"/>
  <c r="F115" i="11"/>
  <c r="I114" i="11"/>
  <c r="F114" i="11"/>
  <c r="I113" i="11"/>
  <c r="F113" i="11"/>
  <c r="I112" i="11"/>
  <c r="F112" i="11"/>
  <c r="I111" i="11"/>
  <c r="F111" i="11"/>
  <c r="I110" i="11"/>
  <c r="F110" i="11"/>
  <c r="I109" i="11"/>
  <c r="F109" i="11"/>
  <c r="I108" i="11"/>
  <c r="F108" i="11"/>
  <c r="I107" i="11"/>
  <c r="F107" i="11"/>
  <c r="I106" i="11"/>
  <c r="F106" i="11"/>
  <c r="I105" i="11"/>
  <c r="F105" i="11"/>
  <c r="I104" i="11"/>
  <c r="F104" i="11"/>
  <c r="I103" i="11"/>
  <c r="F103" i="11"/>
  <c r="I102" i="11"/>
  <c r="F102" i="11"/>
  <c r="I101" i="11"/>
  <c r="F101" i="11"/>
  <c r="I100" i="11"/>
  <c r="F100" i="11"/>
  <c r="I99" i="11"/>
  <c r="F99" i="11"/>
  <c r="I98" i="11"/>
  <c r="F98" i="11"/>
  <c r="I97" i="11"/>
  <c r="F97" i="11"/>
  <c r="I96" i="11"/>
  <c r="F96" i="11"/>
  <c r="I95" i="11"/>
  <c r="F95" i="11"/>
  <c r="I94" i="11"/>
  <c r="F94" i="11"/>
  <c r="I93" i="11"/>
  <c r="F93" i="11"/>
  <c r="I92" i="11"/>
  <c r="F92" i="11"/>
  <c r="I91" i="11"/>
  <c r="F91" i="11"/>
  <c r="I90" i="11"/>
  <c r="F90" i="11"/>
  <c r="I89" i="11"/>
  <c r="F89" i="11"/>
  <c r="I88" i="11"/>
  <c r="F88" i="11"/>
  <c r="I87" i="11"/>
  <c r="F87" i="11"/>
  <c r="I86" i="11"/>
  <c r="F86" i="11"/>
  <c r="I85" i="11"/>
  <c r="F85" i="11"/>
  <c r="I84" i="11"/>
  <c r="F84" i="11"/>
  <c r="I83" i="11"/>
  <c r="F83" i="11"/>
  <c r="I82" i="11"/>
  <c r="F82" i="11"/>
  <c r="I81" i="11"/>
  <c r="F81" i="11"/>
  <c r="I80" i="11"/>
  <c r="F80" i="11"/>
  <c r="I79" i="11"/>
  <c r="F79" i="11"/>
  <c r="I78" i="11"/>
  <c r="F78" i="11"/>
  <c r="I77" i="11"/>
  <c r="F77" i="11"/>
  <c r="I76" i="11"/>
  <c r="F76" i="11"/>
  <c r="I75" i="11"/>
  <c r="F75" i="11"/>
  <c r="I74" i="11"/>
  <c r="F74" i="11"/>
  <c r="I73" i="11"/>
  <c r="F73" i="11"/>
  <c r="I72" i="11"/>
  <c r="F72" i="11"/>
  <c r="I71" i="11"/>
  <c r="F71" i="11"/>
  <c r="I70" i="11"/>
  <c r="F70" i="11"/>
  <c r="I69" i="11"/>
  <c r="F69" i="11"/>
  <c r="I68" i="11"/>
  <c r="F68" i="11"/>
  <c r="I67" i="11"/>
  <c r="F67" i="11"/>
  <c r="I66" i="11"/>
  <c r="F66" i="11"/>
  <c r="I65" i="11"/>
  <c r="F65" i="11"/>
  <c r="I64" i="11"/>
  <c r="F64" i="11"/>
  <c r="I63" i="11"/>
  <c r="F63" i="11"/>
  <c r="I62" i="11"/>
  <c r="F62" i="11"/>
  <c r="I61" i="11"/>
  <c r="F61" i="11"/>
  <c r="I60" i="11"/>
  <c r="F60" i="11"/>
  <c r="I59" i="11"/>
  <c r="F59" i="11"/>
  <c r="I58" i="11"/>
  <c r="F58" i="11"/>
  <c r="I57" i="11"/>
  <c r="F57" i="11"/>
  <c r="I56" i="11"/>
  <c r="F56" i="11"/>
  <c r="I55" i="11"/>
  <c r="F55" i="11"/>
  <c r="I54" i="11"/>
  <c r="F54" i="11"/>
  <c r="I53" i="11"/>
  <c r="F53" i="11"/>
  <c r="I52" i="11"/>
  <c r="F52" i="11"/>
  <c r="I51" i="11"/>
  <c r="F51" i="11"/>
  <c r="I50" i="11"/>
  <c r="F50" i="11"/>
  <c r="I49" i="11"/>
  <c r="F49" i="11"/>
  <c r="I48" i="11"/>
  <c r="F48" i="11"/>
  <c r="I47" i="11"/>
  <c r="F47" i="11"/>
  <c r="I46" i="11"/>
  <c r="F46" i="11"/>
  <c r="I45" i="11"/>
  <c r="F45" i="11"/>
  <c r="I44" i="11"/>
  <c r="F44" i="11"/>
  <c r="I43" i="11"/>
  <c r="F43" i="11"/>
  <c r="I42" i="11"/>
  <c r="F42" i="11"/>
  <c r="I41" i="11"/>
  <c r="F41" i="11"/>
  <c r="I40" i="11"/>
  <c r="F40" i="11"/>
  <c r="I39" i="11"/>
  <c r="F39" i="11"/>
  <c r="I38" i="11"/>
  <c r="F38" i="11"/>
  <c r="I37" i="11"/>
  <c r="F37" i="11"/>
  <c r="I36" i="11"/>
  <c r="F36" i="11"/>
  <c r="I35" i="11"/>
  <c r="F35" i="11"/>
  <c r="I34" i="11"/>
  <c r="F34" i="11"/>
  <c r="I33" i="11"/>
  <c r="F33" i="11"/>
  <c r="I32" i="11"/>
  <c r="F32" i="11"/>
  <c r="I31" i="11"/>
  <c r="F31" i="11"/>
  <c r="I30" i="11"/>
  <c r="F30" i="11"/>
  <c r="I29" i="11"/>
  <c r="F29" i="11"/>
  <c r="I28" i="11"/>
  <c r="F28" i="11"/>
  <c r="I27" i="11"/>
  <c r="F27" i="11"/>
  <c r="I26" i="11"/>
  <c r="F26" i="11"/>
  <c r="I25" i="11"/>
  <c r="F25" i="11"/>
  <c r="I24" i="11"/>
  <c r="F24" i="11"/>
  <c r="I23" i="11"/>
  <c r="F23" i="11"/>
  <c r="I22" i="11"/>
  <c r="F22" i="11"/>
  <c r="I21" i="11"/>
  <c r="F21" i="11"/>
  <c r="I20" i="11"/>
  <c r="F20" i="11"/>
  <c r="I19" i="11"/>
  <c r="F19" i="11"/>
  <c r="I18" i="11"/>
  <c r="F18" i="11"/>
  <c r="I17" i="11"/>
  <c r="F17" i="11"/>
  <c r="I16" i="11"/>
  <c r="F16" i="11"/>
  <c r="I15" i="11"/>
  <c r="F15" i="11"/>
  <c r="I14" i="11"/>
  <c r="F14" i="11"/>
  <c r="I13" i="11"/>
  <c r="F13" i="11"/>
  <c r="I12" i="11"/>
  <c r="F12" i="11"/>
  <c r="I11" i="11"/>
  <c r="F11" i="11"/>
  <c r="I10" i="11"/>
  <c r="F10" i="11"/>
  <c r="I9" i="11"/>
  <c r="F9" i="11"/>
  <c r="I8" i="11"/>
  <c r="F8" i="11"/>
  <c r="I7" i="11"/>
  <c r="F7" i="11"/>
  <c r="I6" i="11"/>
  <c r="F6" i="11"/>
  <c r="I5" i="11"/>
  <c r="F5" i="11"/>
  <c r="I4" i="11"/>
  <c r="F4" i="11"/>
  <c r="I3" i="11"/>
  <c r="F3" i="11"/>
  <c r="I2" i="11"/>
  <c r="F2" i="11"/>
  <c r="N20" i="10"/>
  <c r="N21" i="10"/>
  <c r="N22" i="10"/>
  <c r="N23" i="10"/>
  <c r="N24" i="10"/>
  <c r="N25" i="10"/>
  <c r="N26" i="10"/>
  <c r="N27" i="10"/>
  <c r="N29" i="10"/>
  <c r="L29" i="10"/>
  <c r="B10" i="10"/>
  <c r="F21" i="9"/>
  <c r="R97" i="9"/>
  <c r="N40" i="9"/>
  <c r="R96" i="9"/>
  <c r="N35" i="9"/>
  <c r="R95" i="9"/>
  <c r="N32" i="9"/>
  <c r="R94" i="9"/>
  <c r="M10" i="9"/>
  <c r="R93" i="9"/>
  <c r="M9" i="9"/>
  <c r="R92" i="9"/>
  <c r="R91" i="9"/>
  <c r="M3" i="9"/>
  <c r="R90" i="9"/>
  <c r="R89" i="9"/>
  <c r="M24" i="9"/>
  <c r="R88" i="9"/>
  <c r="R87" i="9"/>
  <c r="R86" i="9"/>
  <c r="N38" i="9"/>
  <c r="R85" i="9"/>
  <c r="R84" i="9"/>
  <c r="R83" i="9"/>
  <c r="R82" i="9"/>
  <c r="R81" i="9"/>
  <c r="R80" i="9"/>
  <c r="I23" i="9"/>
  <c r="R79" i="9"/>
  <c r="R78" i="9"/>
  <c r="R77" i="9"/>
  <c r="R76" i="9"/>
  <c r="N41" i="9"/>
  <c r="R75" i="9"/>
  <c r="R74" i="9"/>
  <c r="R73" i="9"/>
  <c r="R72" i="9"/>
  <c r="N31" i="9"/>
  <c r="R71" i="9"/>
  <c r="N42" i="9"/>
  <c r="R70" i="9"/>
  <c r="N46" i="9"/>
  <c r="R69" i="9"/>
  <c r="R68" i="9"/>
  <c r="R67" i="9"/>
  <c r="R66" i="9"/>
  <c r="R65" i="9"/>
  <c r="R64" i="9"/>
  <c r="R63" i="9"/>
  <c r="R62" i="9"/>
  <c r="R61" i="9"/>
  <c r="M13" i="9"/>
  <c r="R60" i="9"/>
  <c r="R59" i="9"/>
  <c r="R58" i="9"/>
  <c r="R57" i="9"/>
  <c r="I10" i="9"/>
  <c r="R56" i="9"/>
  <c r="N30" i="9"/>
  <c r="R55" i="9"/>
  <c r="R54" i="9"/>
  <c r="R53" i="9"/>
  <c r="R52" i="9"/>
  <c r="R51" i="9"/>
  <c r="R50" i="9"/>
  <c r="R49" i="9"/>
  <c r="R48" i="9"/>
  <c r="N48" i="9"/>
  <c r="R47" i="9"/>
  <c r="N47" i="9"/>
  <c r="R46" i="9"/>
  <c r="R45" i="9"/>
  <c r="N45" i="9"/>
  <c r="R44" i="9"/>
  <c r="N44" i="9"/>
  <c r="R43" i="9"/>
  <c r="N43" i="9"/>
  <c r="M14" i="9"/>
  <c r="R42" i="9"/>
  <c r="R41" i="9"/>
  <c r="R40" i="9"/>
  <c r="R39" i="9"/>
  <c r="N39" i="9"/>
  <c r="R38" i="9"/>
  <c r="R37" i="9"/>
  <c r="N37" i="9"/>
  <c r="R36" i="9"/>
  <c r="N36" i="9"/>
  <c r="R35" i="9"/>
  <c r="R34" i="9"/>
  <c r="N34" i="9"/>
  <c r="R33" i="9"/>
  <c r="N33" i="9"/>
  <c r="R32" i="9"/>
  <c r="R31" i="9"/>
  <c r="R30" i="9"/>
  <c r="R29" i="9"/>
  <c r="R28" i="9"/>
  <c r="R27" i="9"/>
  <c r="R26" i="9"/>
  <c r="M26" i="9"/>
  <c r="R25" i="9"/>
  <c r="R24" i="9"/>
  <c r="N24" i="9"/>
  <c r="R23" i="9"/>
  <c r="J23" i="9"/>
  <c r="R22" i="9"/>
  <c r="M22" i="9"/>
  <c r="R21" i="9"/>
  <c r="I21" i="9"/>
  <c r="R20" i="9"/>
  <c r="R19" i="9"/>
  <c r="M19" i="9"/>
  <c r="R18" i="9"/>
  <c r="J18" i="9"/>
  <c r="R17" i="9"/>
  <c r="R16" i="9"/>
  <c r="R15" i="9"/>
  <c r="R14" i="9"/>
  <c r="N14" i="9"/>
  <c r="R13" i="9"/>
  <c r="N13" i="9"/>
  <c r="R12" i="9"/>
  <c r="R11" i="9"/>
  <c r="R10" i="9"/>
  <c r="R9" i="9"/>
  <c r="O9" i="9"/>
  <c r="N9" i="9"/>
  <c r="R8" i="9"/>
  <c r="M8" i="9"/>
  <c r="R7" i="9"/>
  <c r="F7" i="9"/>
  <c r="R6" i="9"/>
  <c r="O2" i="9"/>
  <c r="V5" i="9"/>
  <c r="R5" i="9"/>
  <c r="M5" i="9"/>
  <c r="R4" i="9"/>
  <c r="I4" i="9"/>
  <c r="R3" i="9"/>
  <c r="O3" i="9"/>
  <c r="P300" i="8"/>
  <c r="M300" i="8"/>
  <c r="O300" i="8"/>
  <c r="Q300" i="8"/>
  <c r="S300" i="8"/>
  <c r="R300" i="8"/>
  <c r="L300" i="8"/>
  <c r="J300" i="8"/>
  <c r="P299" i="8"/>
  <c r="M299" i="8"/>
  <c r="O299" i="8"/>
  <c r="Q299" i="8"/>
  <c r="S299" i="8"/>
  <c r="R299" i="8"/>
  <c r="L299" i="8"/>
  <c r="J299" i="8"/>
  <c r="P298" i="8"/>
  <c r="M298" i="8"/>
  <c r="O298" i="8"/>
  <c r="Q298" i="8"/>
  <c r="S298" i="8"/>
  <c r="R298" i="8"/>
  <c r="L298" i="8"/>
  <c r="J298" i="8"/>
  <c r="P297" i="8"/>
  <c r="M297" i="8"/>
  <c r="O297" i="8"/>
  <c r="Q297" i="8"/>
  <c r="S297" i="8"/>
  <c r="R297" i="8"/>
  <c r="L297" i="8"/>
  <c r="J297" i="8"/>
  <c r="P296" i="8"/>
  <c r="M296" i="8"/>
  <c r="O296" i="8"/>
  <c r="Q296" i="8"/>
  <c r="S296" i="8"/>
  <c r="R296" i="8"/>
  <c r="L296" i="8"/>
  <c r="J296" i="8"/>
  <c r="P295" i="8"/>
  <c r="M295" i="8"/>
  <c r="O295" i="8"/>
  <c r="Q295" i="8"/>
  <c r="S295" i="8"/>
  <c r="R295" i="8"/>
  <c r="L295" i="8"/>
  <c r="J295" i="8"/>
  <c r="P294" i="8"/>
  <c r="M294" i="8"/>
  <c r="O294" i="8"/>
  <c r="Q294" i="8"/>
  <c r="S294" i="8"/>
  <c r="R294" i="8"/>
  <c r="L294" i="8"/>
  <c r="J294" i="8"/>
  <c r="P293" i="8"/>
  <c r="M293" i="8"/>
  <c r="O293" i="8"/>
  <c r="Q293" i="8"/>
  <c r="S293" i="8"/>
  <c r="R293" i="8"/>
  <c r="L293" i="8"/>
  <c r="J293" i="8"/>
  <c r="P292" i="8"/>
  <c r="M292" i="8"/>
  <c r="O292" i="8"/>
  <c r="Q292" i="8"/>
  <c r="S292" i="8"/>
  <c r="R292" i="8"/>
  <c r="L292" i="8"/>
  <c r="J292" i="8"/>
  <c r="P291" i="8"/>
  <c r="M291" i="8"/>
  <c r="O291" i="8"/>
  <c r="Q291" i="8"/>
  <c r="S291" i="8"/>
  <c r="R291" i="8"/>
  <c r="L291" i="8"/>
  <c r="J291" i="8"/>
  <c r="P290" i="8"/>
  <c r="M290" i="8"/>
  <c r="O290" i="8"/>
  <c r="Q290" i="8"/>
  <c r="S290" i="8"/>
  <c r="R290" i="8"/>
  <c r="L290" i="8"/>
  <c r="J290" i="8"/>
  <c r="P289" i="8"/>
  <c r="M289" i="8"/>
  <c r="O289" i="8"/>
  <c r="Q289" i="8"/>
  <c r="S289" i="8"/>
  <c r="R289" i="8"/>
  <c r="L289" i="8"/>
  <c r="J289" i="8"/>
  <c r="P288" i="8"/>
  <c r="M288" i="8"/>
  <c r="O288" i="8"/>
  <c r="Q288" i="8"/>
  <c r="S288" i="8"/>
  <c r="R288" i="8"/>
  <c r="L288" i="8"/>
  <c r="J288" i="8"/>
  <c r="P287" i="8"/>
  <c r="M287" i="8"/>
  <c r="O287" i="8"/>
  <c r="Q287" i="8"/>
  <c r="S287" i="8"/>
  <c r="R287" i="8"/>
  <c r="L287" i="8"/>
  <c r="J287" i="8"/>
  <c r="P286" i="8"/>
  <c r="M286" i="8"/>
  <c r="O286" i="8"/>
  <c r="Q286" i="8"/>
  <c r="S286" i="8"/>
  <c r="R286" i="8"/>
  <c r="L286" i="8"/>
  <c r="J286" i="8"/>
  <c r="P285" i="8"/>
  <c r="M285" i="8"/>
  <c r="O285" i="8"/>
  <c r="Q285" i="8"/>
  <c r="S285" i="8"/>
  <c r="R285" i="8"/>
  <c r="L285" i="8"/>
  <c r="J285" i="8"/>
  <c r="P284" i="8"/>
  <c r="M284" i="8"/>
  <c r="O284" i="8"/>
  <c r="Q284" i="8"/>
  <c r="S284" i="8"/>
  <c r="R284" i="8"/>
  <c r="L284" i="8"/>
  <c r="J284" i="8"/>
  <c r="P283" i="8"/>
  <c r="M283" i="8"/>
  <c r="O283" i="8"/>
  <c r="Q283" i="8"/>
  <c r="S283" i="8"/>
  <c r="R283" i="8"/>
  <c r="L283" i="8"/>
  <c r="J283" i="8"/>
  <c r="P282" i="8"/>
  <c r="M282" i="8"/>
  <c r="O282" i="8"/>
  <c r="Q282" i="8"/>
  <c r="S282" i="8"/>
  <c r="R282" i="8"/>
  <c r="L282" i="8"/>
  <c r="J282" i="8"/>
  <c r="P281" i="8"/>
  <c r="M281" i="8"/>
  <c r="O281" i="8"/>
  <c r="Q281" i="8"/>
  <c r="S281" i="8"/>
  <c r="R281" i="8"/>
  <c r="L281" i="8"/>
  <c r="J281" i="8"/>
  <c r="P280" i="8"/>
  <c r="M280" i="8"/>
  <c r="O280" i="8"/>
  <c r="Q280" i="8"/>
  <c r="S280" i="8"/>
  <c r="R280" i="8"/>
  <c r="L280" i="8"/>
  <c r="J280" i="8"/>
  <c r="P279" i="8"/>
  <c r="M279" i="8"/>
  <c r="O279" i="8"/>
  <c r="Q279" i="8"/>
  <c r="S279" i="8"/>
  <c r="R279" i="8"/>
  <c r="L279" i="8"/>
  <c r="J279" i="8"/>
  <c r="P278" i="8"/>
  <c r="M278" i="8"/>
  <c r="O278" i="8"/>
  <c r="Q278" i="8"/>
  <c r="S278" i="8"/>
  <c r="R278" i="8"/>
  <c r="L278" i="8"/>
  <c r="J278" i="8"/>
  <c r="P277" i="8"/>
  <c r="M277" i="8"/>
  <c r="O277" i="8"/>
  <c r="Q277" i="8"/>
  <c r="S277" i="8"/>
  <c r="R277" i="8"/>
  <c r="L277" i="8"/>
  <c r="J277" i="8"/>
  <c r="P276" i="8"/>
  <c r="M276" i="8"/>
  <c r="O276" i="8"/>
  <c r="Q276" i="8"/>
  <c r="S276" i="8"/>
  <c r="R276" i="8"/>
  <c r="L276" i="8"/>
  <c r="J276" i="8"/>
  <c r="P275" i="8"/>
  <c r="M275" i="8"/>
  <c r="O275" i="8"/>
  <c r="Q275" i="8"/>
  <c r="S275" i="8"/>
  <c r="R275" i="8"/>
  <c r="L275" i="8"/>
  <c r="J275" i="8"/>
  <c r="P274" i="8"/>
  <c r="M274" i="8"/>
  <c r="O274" i="8"/>
  <c r="Q274" i="8"/>
  <c r="S274" i="8"/>
  <c r="R274" i="8"/>
  <c r="L274" i="8"/>
  <c r="J274" i="8"/>
  <c r="P273" i="8"/>
  <c r="M273" i="8"/>
  <c r="O273" i="8"/>
  <c r="Q273" i="8"/>
  <c r="S273" i="8"/>
  <c r="R273" i="8"/>
  <c r="L273" i="8"/>
  <c r="J273" i="8"/>
  <c r="P272" i="8"/>
  <c r="M272" i="8"/>
  <c r="O272" i="8"/>
  <c r="Q272" i="8"/>
  <c r="S272" i="8"/>
  <c r="R272" i="8"/>
  <c r="L272" i="8"/>
  <c r="J272" i="8"/>
  <c r="P271" i="8"/>
  <c r="M271" i="8"/>
  <c r="O271" i="8"/>
  <c r="Q271" i="8"/>
  <c r="S271" i="8"/>
  <c r="R271" i="8"/>
  <c r="L271" i="8"/>
  <c r="J271" i="8"/>
  <c r="P270" i="8"/>
  <c r="M270" i="8"/>
  <c r="O270" i="8"/>
  <c r="Q270" i="8"/>
  <c r="S270" i="8"/>
  <c r="R270" i="8"/>
  <c r="L270" i="8"/>
  <c r="J270" i="8"/>
  <c r="P269" i="8"/>
  <c r="M269" i="8"/>
  <c r="O269" i="8"/>
  <c r="Q269" i="8"/>
  <c r="S269" i="8"/>
  <c r="R269" i="8"/>
  <c r="L269" i="8"/>
  <c r="J269" i="8"/>
  <c r="P268" i="8"/>
  <c r="M268" i="8"/>
  <c r="O268" i="8"/>
  <c r="Q268" i="8"/>
  <c r="S268" i="8"/>
  <c r="R268" i="8"/>
  <c r="L268" i="8"/>
  <c r="J268" i="8"/>
  <c r="P267" i="8"/>
  <c r="M267" i="8"/>
  <c r="O267" i="8"/>
  <c r="Q267" i="8"/>
  <c r="S267" i="8"/>
  <c r="R267" i="8"/>
  <c r="L267" i="8"/>
  <c r="J267" i="8"/>
  <c r="P266" i="8"/>
  <c r="M266" i="8"/>
  <c r="O266" i="8"/>
  <c r="Q266" i="8"/>
  <c r="S266" i="8"/>
  <c r="R266" i="8"/>
  <c r="L266" i="8"/>
  <c r="J266" i="8"/>
  <c r="P265" i="8"/>
  <c r="M265" i="8"/>
  <c r="O265" i="8"/>
  <c r="Q265" i="8"/>
  <c r="S265" i="8"/>
  <c r="R265" i="8"/>
  <c r="L265" i="8"/>
  <c r="J265" i="8"/>
  <c r="P264" i="8"/>
  <c r="M264" i="8"/>
  <c r="O264" i="8"/>
  <c r="Q264" i="8"/>
  <c r="S264" i="8"/>
  <c r="R264" i="8"/>
  <c r="L264" i="8"/>
  <c r="J264" i="8"/>
  <c r="P263" i="8"/>
  <c r="M263" i="8"/>
  <c r="O263" i="8"/>
  <c r="Q263" i="8"/>
  <c r="S263" i="8"/>
  <c r="R263" i="8"/>
  <c r="L263" i="8"/>
  <c r="J263" i="8"/>
  <c r="P262" i="8"/>
  <c r="M262" i="8"/>
  <c r="O262" i="8"/>
  <c r="Q262" i="8"/>
  <c r="S262" i="8"/>
  <c r="R262" i="8"/>
  <c r="L262" i="8"/>
  <c r="J262" i="8"/>
  <c r="P261" i="8"/>
  <c r="M261" i="8"/>
  <c r="O261" i="8"/>
  <c r="Q261" i="8"/>
  <c r="S261" i="8"/>
  <c r="R261" i="8"/>
  <c r="L261" i="8"/>
  <c r="J261" i="8"/>
  <c r="P260" i="8"/>
  <c r="M260" i="8"/>
  <c r="O260" i="8"/>
  <c r="Q260" i="8"/>
  <c r="S260" i="8"/>
  <c r="R260" i="8"/>
  <c r="L260" i="8"/>
  <c r="J260" i="8"/>
  <c r="P259" i="8"/>
  <c r="M259" i="8"/>
  <c r="O259" i="8"/>
  <c r="Q259" i="8"/>
  <c r="S259" i="8"/>
  <c r="R259" i="8"/>
  <c r="L259" i="8"/>
  <c r="J259" i="8"/>
  <c r="P258" i="8"/>
  <c r="M258" i="8"/>
  <c r="O258" i="8"/>
  <c r="Q258" i="8"/>
  <c r="S258" i="8"/>
  <c r="R258" i="8"/>
  <c r="L258" i="8"/>
  <c r="J258" i="8"/>
  <c r="P257" i="8"/>
  <c r="M257" i="8"/>
  <c r="O257" i="8"/>
  <c r="Q257" i="8"/>
  <c r="S257" i="8"/>
  <c r="R257" i="8"/>
  <c r="L257" i="8"/>
  <c r="J257" i="8"/>
  <c r="P256" i="8"/>
  <c r="M256" i="8"/>
  <c r="O256" i="8"/>
  <c r="Q256" i="8"/>
  <c r="S256" i="8"/>
  <c r="R256" i="8"/>
  <c r="L256" i="8"/>
  <c r="J256" i="8"/>
  <c r="P255" i="8"/>
  <c r="M255" i="8"/>
  <c r="O255" i="8"/>
  <c r="Q255" i="8"/>
  <c r="S255" i="8"/>
  <c r="R255" i="8"/>
  <c r="L255" i="8"/>
  <c r="J255" i="8"/>
  <c r="P254" i="8"/>
  <c r="M254" i="8"/>
  <c r="O254" i="8"/>
  <c r="Q254" i="8"/>
  <c r="S254" i="8"/>
  <c r="R254" i="8"/>
  <c r="L254" i="8"/>
  <c r="J254" i="8"/>
  <c r="P253" i="8"/>
  <c r="M253" i="8"/>
  <c r="O253" i="8"/>
  <c r="Q253" i="8"/>
  <c r="S253" i="8"/>
  <c r="R253" i="8"/>
  <c r="L253" i="8"/>
  <c r="J253" i="8"/>
  <c r="P252" i="8"/>
  <c r="M252" i="8"/>
  <c r="O252" i="8"/>
  <c r="Q252" i="8"/>
  <c r="S252" i="8"/>
  <c r="R252" i="8"/>
  <c r="L252" i="8"/>
  <c r="J252" i="8"/>
  <c r="P251" i="8"/>
  <c r="M251" i="8"/>
  <c r="O251" i="8"/>
  <c r="Q251" i="8"/>
  <c r="S251" i="8"/>
  <c r="R251" i="8"/>
  <c r="L251" i="8"/>
  <c r="J251" i="8"/>
  <c r="P250" i="8"/>
  <c r="M250" i="8"/>
  <c r="O250" i="8"/>
  <c r="Q250" i="8"/>
  <c r="S250" i="8"/>
  <c r="R250" i="8"/>
  <c r="L250" i="8"/>
  <c r="J250" i="8"/>
  <c r="P249" i="8"/>
  <c r="M249" i="8"/>
  <c r="O249" i="8"/>
  <c r="Q249" i="8"/>
  <c r="S249" i="8"/>
  <c r="R249" i="8"/>
  <c r="L249" i="8"/>
  <c r="J249" i="8"/>
  <c r="P248" i="8"/>
  <c r="M248" i="8"/>
  <c r="O248" i="8"/>
  <c r="Q248" i="8"/>
  <c r="S248" i="8"/>
  <c r="R248" i="8"/>
  <c r="L248" i="8"/>
  <c r="J248" i="8"/>
  <c r="P247" i="8"/>
  <c r="M247" i="8"/>
  <c r="O247" i="8"/>
  <c r="Q247" i="8"/>
  <c r="S247" i="8"/>
  <c r="R247" i="8"/>
  <c r="L247" i="8"/>
  <c r="J247" i="8"/>
  <c r="P246" i="8"/>
  <c r="M246" i="8"/>
  <c r="O246" i="8"/>
  <c r="Q246" i="8"/>
  <c r="S246" i="8"/>
  <c r="R246" i="8"/>
  <c r="L246" i="8"/>
  <c r="J246" i="8"/>
  <c r="P245" i="8"/>
  <c r="M245" i="8"/>
  <c r="O245" i="8"/>
  <c r="Q245" i="8"/>
  <c r="S245" i="8"/>
  <c r="R245" i="8"/>
  <c r="L245" i="8"/>
  <c r="J245" i="8"/>
  <c r="P244" i="8"/>
  <c r="M244" i="8"/>
  <c r="O244" i="8"/>
  <c r="Q244" i="8"/>
  <c r="S244" i="8"/>
  <c r="R244" i="8"/>
  <c r="L244" i="8"/>
  <c r="J244" i="8"/>
  <c r="P243" i="8"/>
  <c r="M243" i="8"/>
  <c r="O243" i="8"/>
  <c r="Q243" i="8"/>
  <c r="S243" i="8"/>
  <c r="R243" i="8"/>
  <c r="L243" i="8"/>
  <c r="J243" i="8"/>
  <c r="P242" i="8"/>
  <c r="M242" i="8"/>
  <c r="O242" i="8"/>
  <c r="Q242" i="8"/>
  <c r="S242" i="8"/>
  <c r="R242" i="8"/>
  <c r="L242" i="8"/>
  <c r="J242" i="8"/>
  <c r="P241" i="8"/>
  <c r="M241" i="8"/>
  <c r="O241" i="8"/>
  <c r="Q241" i="8"/>
  <c r="S241" i="8"/>
  <c r="R241" i="8"/>
  <c r="L241" i="8"/>
  <c r="J241" i="8"/>
  <c r="P240" i="8"/>
  <c r="M240" i="8"/>
  <c r="O240" i="8"/>
  <c r="Q240" i="8"/>
  <c r="S240" i="8"/>
  <c r="R240" i="8"/>
  <c r="L240" i="8"/>
  <c r="J240" i="8"/>
  <c r="P239" i="8"/>
  <c r="M239" i="8"/>
  <c r="O239" i="8"/>
  <c r="Q239" i="8"/>
  <c r="S239" i="8"/>
  <c r="R239" i="8"/>
  <c r="L239" i="8"/>
  <c r="J239" i="8"/>
  <c r="P238" i="8"/>
  <c r="M238" i="8"/>
  <c r="O238" i="8"/>
  <c r="Q238" i="8"/>
  <c r="S238" i="8"/>
  <c r="R238" i="8"/>
  <c r="L238" i="8"/>
  <c r="J238" i="8"/>
  <c r="P237" i="8"/>
  <c r="M237" i="8"/>
  <c r="O237" i="8"/>
  <c r="Q237" i="8"/>
  <c r="S237" i="8"/>
  <c r="R237" i="8"/>
  <c r="L237" i="8"/>
  <c r="J237" i="8"/>
  <c r="P236" i="8"/>
  <c r="M236" i="8"/>
  <c r="O236" i="8"/>
  <c r="Q236" i="8"/>
  <c r="S236" i="8"/>
  <c r="R236" i="8"/>
  <c r="L236" i="8"/>
  <c r="J236" i="8"/>
  <c r="P235" i="8"/>
  <c r="M235" i="8"/>
  <c r="O235" i="8"/>
  <c r="Q235" i="8"/>
  <c r="S235" i="8"/>
  <c r="R235" i="8"/>
  <c r="L235" i="8"/>
  <c r="J235" i="8"/>
  <c r="P234" i="8"/>
  <c r="M234" i="8"/>
  <c r="O234" i="8"/>
  <c r="Q234" i="8"/>
  <c r="S234" i="8"/>
  <c r="R234" i="8"/>
  <c r="L234" i="8"/>
  <c r="J234" i="8"/>
  <c r="P233" i="8"/>
  <c r="M233" i="8"/>
  <c r="O233" i="8"/>
  <c r="Q233" i="8"/>
  <c r="S233" i="8"/>
  <c r="R233" i="8"/>
  <c r="L233" i="8"/>
  <c r="J233" i="8"/>
  <c r="P232" i="8"/>
  <c r="M232" i="8"/>
  <c r="O232" i="8"/>
  <c r="Q232" i="8"/>
  <c r="S232" i="8"/>
  <c r="R232" i="8"/>
  <c r="L232" i="8"/>
  <c r="J232" i="8"/>
  <c r="P231" i="8"/>
  <c r="M231" i="8"/>
  <c r="O231" i="8"/>
  <c r="Q231" i="8"/>
  <c r="S231" i="8"/>
  <c r="R231" i="8"/>
  <c r="L231" i="8"/>
  <c r="J231" i="8"/>
  <c r="P230" i="8"/>
  <c r="M230" i="8"/>
  <c r="O230" i="8"/>
  <c r="Q230" i="8"/>
  <c r="S230" i="8"/>
  <c r="R230" i="8"/>
  <c r="L230" i="8"/>
  <c r="J230" i="8"/>
  <c r="P229" i="8"/>
  <c r="M229" i="8"/>
  <c r="O229" i="8"/>
  <c r="Q229" i="8"/>
  <c r="S229" i="8"/>
  <c r="R229" i="8"/>
  <c r="L229" i="8"/>
  <c r="J229" i="8"/>
  <c r="P228" i="8"/>
  <c r="M228" i="8"/>
  <c r="O228" i="8"/>
  <c r="Q228" i="8"/>
  <c r="S228" i="8"/>
  <c r="R228" i="8"/>
  <c r="L228" i="8"/>
  <c r="J228" i="8"/>
  <c r="P227" i="8"/>
  <c r="M227" i="8"/>
  <c r="O227" i="8"/>
  <c r="Q227" i="8"/>
  <c r="S227" i="8"/>
  <c r="R227" i="8"/>
  <c r="L227" i="8"/>
  <c r="J227" i="8"/>
  <c r="P226" i="8"/>
  <c r="M226" i="8"/>
  <c r="O226" i="8"/>
  <c r="Q226" i="8"/>
  <c r="S226" i="8"/>
  <c r="R226" i="8"/>
  <c r="L226" i="8"/>
  <c r="J226" i="8"/>
  <c r="P225" i="8"/>
  <c r="M225" i="8"/>
  <c r="O225" i="8"/>
  <c r="Q225" i="8"/>
  <c r="S225" i="8"/>
  <c r="R225" i="8"/>
  <c r="L225" i="8"/>
  <c r="J225" i="8"/>
  <c r="P224" i="8"/>
  <c r="M224" i="8"/>
  <c r="O224" i="8"/>
  <c r="Q224" i="8"/>
  <c r="S224" i="8"/>
  <c r="R224" i="8"/>
  <c r="L224" i="8"/>
  <c r="J224" i="8"/>
  <c r="P223" i="8"/>
  <c r="M223" i="8"/>
  <c r="O223" i="8"/>
  <c r="Q223" i="8"/>
  <c r="S223" i="8"/>
  <c r="R223" i="8"/>
  <c r="L223" i="8"/>
  <c r="J223" i="8"/>
  <c r="P222" i="8"/>
  <c r="M222" i="8"/>
  <c r="O222" i="8"/>
  <c r="Q222" i="8"/>
  <c r="S222" i="8"/>
  <c r="R222" i="8"/>
  <c r="L222" i="8"/>
  <c r="J222" i="8"/>
  <c r="P221" i="8"/>
  <c r="M221" i="8"/>
  <c r="O221" i="8"/>
  <c r="Q221" i="8"/>
  <c r="S221" i="8"/>
  <c r="R221" i="8"/>
  <c r="L221" i="8"/>
  <c r="J221" i="8"/>
  <c r="P220" i="8"/>
  <c r="M220" i="8"/>
  <c r="O220" i="8"/>
  <c r="Q220" i="8"/>
  <c r="S220" i="8"/>
  <c r="R220" i="8"/>
  <c r="L220" i="8"/>
  <c r="J220" i="8"/>
  <c r="P219" i="8"/>
  <c r="M219" i="8"/>
  <c r="O219" i="8"/>
  <c r="Q219" i="8"/>
  <c r="S219" i="8"/>
  <c r="R219" i="8"/>
  <c r="L219" i="8"/>
  <c r="J219" i="8"/>
  <c r="P218" i="8"/>
  <c r="M218" i="8"/>
  <c r="O218" i="8"/>
  <c r="Q218" i="8"/>
  <c r="S218" i="8"/>
  <c r="R218" i="8"/>
  <c r="L218" i="8"/>
  <c r="J218" i="8"/>
  <c r="P217" i="8"/>
  <c r="M217" i="8"/>
  <c r="O217" i="8"/>
  <c r="Q217" i="8"/>
  <c r="S217" i="8"/>
  <c r="R217" i="8"/>
  <c r="L217" i="8"/>
  <c r="J217" i="8"/>
  <c r="P216" i="8"/>
  <c r="M216" i="8"/>
  <c r="O216" i="8"/>
  <c r="Q216" i="8"/>
  <c r="S216" i="8"/>
  <c r="R216" i="8"/>
  <c r="L216" i="8"/>
  <c r="J216" i="8"/>
  <c r="P215" i="8"/>
  <c r="M215" i="8"/>
  <c r="O215" i="8"/>
  <c r="Q215" i="8"/>
  <c r="S215" i="8"/>
  <c r="R215" i="8"/>
  <c r="L215" i="8"/>
  <c r="J215" i="8"/>
  <c r="P214" i="8"/>
  <c r="M214" i="8"/>
  <c r="O214" i="8"/>
  <c r="Q214" i="8"/>
  <c r="S214" i="8"/>
  <c r="R214" i="8"/>
  <c r="L214" i="8"/>
  <c r="J214" i="8"/>
  <c r="P213" i="8"/>
  <c r="M213" i="8"/>
  <c r="O213" i="8"/>
  <c r="Q213" i="8"/>
  <c r="S213" i="8"/>
  <c r="R213" i="8"/>
  <c r="L213" i="8"/>
  <c r="J213" i="8"/>
  <c r="P212" i="8"/>
  <c r="M212" i="8"/>
  <c r="O212" i="8"/>
  <c r="Q212" i="8"/>
  <c r="S212" i="8"/>
  <c r="R212" i="8"/>
  <c r="L212" i="8"/>
  <c r="J212" i="8"/>
  <c r="P211" i="8"/>
  <c r="M211" i="8"/>
  <c r="O211" i="8"/>
  <c r="Q211" i="8"/>
  <c r="S211" i="8"/>
  <c r="R211" i="8"/>
  <c r="L211" i="8"/>
  <c r="J211" i="8"/>
  <c r="P210" i="8"/>
  <c r="M210" i="8"/>
  <c r="O210" i="8"/>
  <c r="Q210" i="8"/>
  <c r="S210" i="8"/>
  <c r="R210" i="8"/>
  <c r="L210" i="8"/>
  <c r="J210" i="8"/>
  <c r="P209" i="8"/>
  <c r="M209" i="8"/>
  <c r="O209" i="8"/>
  <c r="Q209" i="8"/>
  <c r="S209" i="8"/>
  <c r="R209" i="8"/>
  <c r="L209" i="8"/>
  <c r="J209" i="8"/>
  <c r="P208" i="8"/>
  <c r="M208" i="8"/>
  <c r="O208" i="8"/>
  <c r="Q208" i="8"/>
  <c r="S208" i="8"/>
  <c r="R208" i="8"/>
  <c r="L208" i="8"/>
  <c r="J208" i="8"/>
  <c r="P207" i="8"/>
  <c r="M207" i="8"/>
  <c r="O207" i="8"/>
  <c r="Q207" i="8"/>
  <c r="S207" i="8"/>
  <c r="R207" i="8"/>
  <c r="L207" i="8"/>
  <c r="J207" i="8"/>
  <c r="P206" i="8"/>
  <c r="M206" i="8"/>
  <c r="O206" i="8"/>
  <c r="Q206" i="8"/>
  <c r="S206" i="8"/>
  <c r="R206" i="8"/>
  <c r="L206" i="8"/>
  <c r="J206" i="8"/>
  <c r="P205" i="8"/>
  <c r="M205" i="8"/>
  <c r="O205" i="8"/>
  <c r="Q205" i="8"/>
  <c r="S205" i="8"/>
  <c r="R205" i="8"/>
  <c r="L205" i="8"/>
  <c r="J205" i="8"/>
  <c r="P204" i="8"/>
  <c r="M204" i="8"/>
  <c r="O204" i="8"/>
  <c r="Q204" i="8"/>
  <c r="S204" i="8"/>
  <c r="R204" i="8"/>
  <c r="L204" i="8"/>
  <c r="J204" i="8"/>
  <c r="P203" i="8"/>
  <c r="M203" i="8"/>
  <c r="O203" i="8"/>
  <c r="Q203" i="8"/>
  <c r="S203" i="8"/>
  <c r="R203" i="8"/>
  <c r="L203" i="8"/>
  <c r="J203" i="8"/>
  <c r="P202" i="8"/>
  <c r="M202" i="8"/>
  <c r="O202" i="8"/>
  <c r="Q202" i="8"/>
  <c r="S202" i="8"/>
  <c r="R202" i="8"/>
  <c r="L202" i="8"/>
  <c r="J202" i="8"/>
  <c r="P201" i="8"/>
  <c r="M201" i="8"/>
  <c r="O201" i="8"/>
  <c r="Q201" i="8"/>
  <c r="S201" i="8"/>
  <c r="R201" i="8"/>
  <c r="L201" i="8"/>
  <c r="J201" i="8"/>
  <c r="P200" i="8"/>
  <c r="M200" i="8"/>
  <c r="O200" i="8"/>
  <c r="Q200" i="8"/>
  <c r="S200" i="8"/>
  <c r="R200" i="8"/>
  <c r="L200" i="8"/>
  <c r="J200" i="8"/>
  <c r="P199" i="8"/>
  <c r="M199" i="8"/>
  <c r="O199" i="8"/>
  <c r="Q199" i="8"/>
  <c r="S199" i="8"/>
  <c r="R199" i="8"/>
  <c r="L199" i="8"/>
  <c r="J199" i="8"/>
  <c r="P198" i="8"/>
  <c r="M198" i="8"/>
  <c r="O198" i="8"/>
  <c r="Q198" i="8"/>
  <c r="S198" i="8"/>
  <c r="R198" i="8"/>
  <c r="L198" i="8"/>
  <c r="J198" i="8"/>
  <c r="P197" i="8"/>
  <c r="M197" i="8"/>
  <c r="O197" i="8"/>
  <c r="Q197" i="8"/>
  <c r="S197" i="8"/>
  <c r="R197" i="8"/>
  <c r="L197" i="8"/>
  <c r="J197" i="8"/>
  <c r="P196" i="8"/>
  <c r="M196" i="8"/>
  <c r="O196" i="8"/>
  <c r="Q196" i="8"/>
  <c r="S196" i="8"/>
  <c r="R196" i="8"/>
  <c r="L196" i="8"/>
  <c r="J196" i="8"/>
  <c r="P195" i="8"/>
  <c r="M195" i="8"/>
  <c r="O195" i="8"/>
  <c r="Q195" i="8"/>
  <c r="S195" i="8"/>
  <c r="R195" i="8"/>
  <c r="L195" i="8"/>
  <c r="J195" i="8"/>
  <c r="P194" i="8"/>
  <c r="M194" i="8"/>
  <c r="O194" i="8"/>
  <c r="Q194" i="8"/>
  <c r="S194" i="8"/>
  <c r="R194" i="8"/>
  <c r="L194" i="8"/>
  <c r="J194" i="8"/>
  <c r="P193" i="8"/>
  <c r="M193" i="8"/>
  <c r="O193" i="8"/>
  <c r="Q193" i="8"/>
  <c r="S193" i="8"/>
  <c r="R193" i="8"/>
  <c r="L193" i="8"/>
  <c r="J193" i="8"/>
  <c r="P192" i="8"/>
  <c r="M192" i="8"/>
  <c r="O192" i="8"/>
  <c r="Q192" i="8"/>
  <c r="S192" i="8"/>
  <c r="R192" i="8"/>
  <c r="L192" i="8"/>
  <c r="J192" i="8"/>
  <c r="P191" i="8"/>
  <c r="M191" i="8"/>
  <c r="O191" i="8"/>
  <c r="Q191" i="8"/>
  <c r="S191" i="8"/>
  <c r="R191" i="8"/>
  <c r="L191" i="8"/>
  <c r="J191" i="8"/>
  <c r="P190" i="8"/>
  <c r="M190" i="8"/>
  <c r="O190" i="8"/>
  <c r="Q190" i="8"/>
  <c r="S190" i="8"/>
  <c r="R190" i="8"/>
  <c r="L190" i="8"/>
  <c r="J190" i="8"/>
  <c r="P189" i="8"/>
  <c r="M189" i="8"/>
  <c r="O189" i="8"/>
  <c r="Q189" i="8"/>
  <c r="S189" i="8"/>
  <c r="R189" i="8"/>
  <c r="L189" i="8"/>
  <c r="J189" i="8"/>
  <c r="P188" i="8"/>
  <c r="M188" i="8"/>
  <c r="O188" i="8"/>
  <c r="Q188" i="8"/>
  <c r="S188" i="8"/>
  <c r="R188" i="8"/>
  <c r="L188" i="8"/>
  <c r="J188" i="8"/>
  <c r="P187" i="8"/>
  <c r="M187" i="8"/>
  <c r="O187" i="8"/>
  <c r="Q187" i="8"/>
  <c r="S187" i="8"/>
  <c r="R187" i="8"/>
  <c r="L187" i="8"/>
  <c r="J187" i="8"/>
  <c r="P186" i="8"/>
  <c r="M186" i="8"/>
  <c r="O186" i="8"/>
  <c r="Q186" i="8"/>
  <c r="S186" i="8"/>
  <c r="R186" i="8"/>
  <c r="L186" i="8"/>
  <c r="J186" i="8"/>
  <c r="P185" i="8"/>
  <c r="M185" i="8"/>
  <c r="O185" i="8"/>
  <c r="Q185" i="8"/>
  <c r="S185" i="8"/>
  <c r="R185" i="8"/>
  <c r="L185" i="8"/>
  <c r="J185" i="8"/>
  <c r="P184" i="8"/>
  <c r="M184" i="8"/>
  <c r="O184" i="8"/>
  <c r="Q184" i="8"/>
  <c r="S184" i="8"/>
  <c r="R184" i="8"/>
  <c r="L184" i="8"/>
  <c r="J184" i="8"/>
  <c r="P183" i="8"/>
  <c r="M183" i="8"/>
  <c r="O183" i="8"/>
  <c r="Q183" i="8"/>
  <c r="S183" i="8"/>
  <c r="R183" i="8"/>
  <c r="L183" i="8"/>
  <c r="J183" i="8"/>
  <c r="P182" i="8"/>
  <c r="M182" i="8"/>
  <c r="O182" i="8"/>
  <c r="Q182" i="8"/>
  <c r="S182" i="8"/>
  <c r="R182" i="8"/>
  <c r="L182" i="8"/>
  <c r="J182" i="8"/>
  <c r="P181" i="8"/>
  <c r="M181" i="8"/>
  <c r="O181" i="8"/>
  <c r="Q181" i="8"/>
  <c r="S181" i="8"/>
  <c r="R181" i="8"/>
  <c r="L181" i="8"/>
  <c r="J181" i="8"/>
  <c r="P180" i="8"/>
  <c r="M180" i="8"/>
  <c r="O180" i="8"/>
  <c r="Q180" i="8"/>
  <c r="S180" i="8"/>
  <c r="R180" i="8"/>
  <c r="L180" i="8"/>
  <c r="J180" i="8"/>
  <c r="P179" i="8"/>
  <c r="M179" i="8"/>
  <c r="O179" i="8"/>
  <c r="Q179" i="8"/>
  <c r="S179" i="8"/>
  <c r="R179" i="8"/>
  <c r="L179" i="8"/>
  <c r="J179" i="8"/>
  <c r="P178" i="8"/>
  <c r="M178" i="8"/>
  <c r="O178" i="8"/>
  <c r="Q178" i="8"/>
  <c r="S178" i="8"/>
  <c r="R178" i="8"/>
  <c r="L178" i="8"/>
  <c r="J178" i="8"/>
  <c r="P177" i="8"/>
  <c r="M177" i="8"/>
  <c r="O177" i="8"/>
  <c r="Q177" i="8"/>
  <c r="S177" i="8"/>
  <c r="R177" i="8"/>
  <c r="L177" i="8"/>
  <c r="J177" i="8"/>
  <c r="P176" i="8"/>
  <c r="M176" i="8"/>
  <c r="O176" i="8"/>
  <c r="Q176" i="8"/>
  <c r="S176" i="8"/>
  <c r="R176" i="8"/>
  <c r="L176" i="8"/>
  <c r="J176" i="8"/>
  <c r="P175" i="8"/>
  <c r="M175" i="8"/>
  <c r="O175" i="8"/>
  <c r="Q175" i="8"/>
  <c r="S175" i="8"/>
  <c r="R175" i="8"/>
  <c r="L175" i="8"/>
  <c r="J175" i="8"/>
  <c r="P174" i="8"/>
  <c r="M174" i="8"/>
  <c r="O174" i="8"/>
  <c r="Q174" i="8"/>
  <c r="S174" i="8"/>
  <c r="R174" i="8"/>
  <c r="L174" i="8"/>
  <c r="J174" i="8"/>
  <c r="P173" i="8"/>
  <c r="M173" i="8"/>
  <c r="O173" i="8"/>
  <c r="Q173" i="8"/>
  <c r="S173" i="8"/>
  <c r="R173" i="8"/>
  <c r="L173" i="8"/>
  <c r="J173" i="8"/>
  <c r="P172" i="8"/>
  <c r="M172" i="8"/>
  <c r="O172" i="8"/>
  <c r="Q172" i="8"/>
  <c r="S172" i="8"/>
  <c r="R172" i="8"/>
  <c r="L172" i="8"/>
  <c r="J172" i="8"/>
  <c r="P171" i="8"/>
  <c r="M171" i="8"/>
  <c r="O171" i="8"/>
  <c r="Q171" i="8"/>
  <c r="S171" i="8"/>
  <c r="R171" i="8"/>
  <c r="L171" i="8"/>
  <c r="J171" i="8"/>
  <c r="P170" i="8"/>
  <c r="M170" i="8"/>
  <c r="O170" i="8"/>
  <c r="Q170" i="8"/>
  <c r="S170" i="8"/>
  <c r="R170" i="8"/>
  <c r="L170" i="8"/>
  <c r="J170" i="8"/>
  <c r="P169" i="8"/>
  <c r="M169" i="8"/>
  <c r="O169" i="8"/>
  <c r="Q169" i="8"/>
  <c r="S169" i="8"/>
  <c r="R169" i="8"/>
  <c r="L169" i="8"/>
  <c r="J169" i="8"/>
  <c r="P168" i="8"/>
  <c r="M168" i="8"/>
  <c r="O168" i="8"/>
  <c r="Q168" i="8"/>
  <c r="S168" i="8"/>
  <c r="R168" i="8"/>
  <c r="L168" i="8"/>
  <c r="J168" i="8"/>
  <c r="P167" i="8"/>
  <c r="M167" i="8"/>
  <c r="O167" i="8"/>
  <c r="Q167" i="8"/>
  <c r="S167" i="8"/>
  <c r="R167" i="8"/>
  <c r="L167" i="8"/>
  <c r="J167" i="8"/>
  <c r="P166" i="8"/>
  <c r="M166" i="8"/>
  <c r="O166" i="8"/>
  <c r="Q166" i="8"/>
  <c r="S166" i="8"/>
  <c r="R166" i="8"/>
  <c r="L166" i="8"/>
  <c r="J166" i="8"/>
  <c r="P165" i="8"/>
  <c r="M165" i="8"/>
  <c r="O165" i="8"/>
  <c r="Q165" i="8"/>
  <c r="S165" i="8"/>
  <c r="R165" i="8"/>
  <c r="L165" i="8"/>
  <c r="J165" i="8"/>
  <c r="P164" i="8"/>
  <c r="M164" i="8"/>
  <c r="O164" i="8"/>
  <c r="Q164" i="8"/>
  <c r="S164" i="8"/>
  <c r="R164" i="8"/>
  <c r="L164" i="8"/>
  <c r="J164" i="8"/>
  <c r="P163" i="8"/>
  <c r="M163" i="8"/>
  <c r="O163" i="8"/>
  <c r="Q163" i="8"/>
  <c r="S163" i="8"/>
  <c r="R163" i="8"/>
  <c r="L163" i="8"/>
  <c r="J163" i="8"/>
  <c r="P162" i="8"/>
  <c r="M162" i="8"/>
  <c r="O162" i="8"/>
  <c r="Q162" i="8"/>
  <c r="S162" i="8"/>
  <c r="R162" i="8"/>
  <c r="L162" i="8"/>
  <c r="J162" i="8"/>
  <c r="P161" i="8"/>
  <c r="M161" i="8"/>
  <c r="O161" i="8"/>
  <c r="Q161" i="8"/>
  <c r="S161" i="8"/>
  <c r="R161" i="8"/>
  <c r="L161" i="8"/>
  <c r="J161" i="8"/>
  <c r="P160" i="8"/>
  <c r="M160" i="8"/>
  <c r="O160" i="8"/>
  <c r="Q160" i="8"/>
  <c r="S160" i="8"/>
  <c r="R160" i="8"/>
  <c r="L160" i="8"/>
  <c r="J160" i="8"/>
  <c r="P159" i="8"/>
  <c r="M159" i="8"/>
  <c r="O159" i="8"/>
  <c r="Q159" i="8"/>
  <c r="S159" i="8"/>
  <c r="R159" i="8"/>
  <c r="L159" i="8"/>
  <c r="J159" i="8"/>
  <c r="P158" i="8"/>
  <c r="M158" i="8"/>
  <c r="O158" i="8"/>
  <c r="Q158" i="8"/>
  <c r="S158" i="8"/>
  <c r="R158" i="8"/>
  <c r="L158" i="8"/>
  <c r="J158" i="8"/>
  <c r="P157" i="8"/>
  <c r="M157" i="8"/>
  <c r="O157" i="8"/>
  <c r="Q157" i="8"/>
  <c r="S157" i="8"/>
  <c r="R157" i="8"/>
  <c r="L157" i="8"/>
  <c r="J157" i="8"/>
  <c r="P156" i="8"/>
  <c r="M156" i="8"/>
  <c r="O156" i="8"/>
  <c r="Q156" i="8"/>
  <c r="S156" i="8"/>
  <c r="R156" i="8"/>
  <c r="L156" i="8"/>
  <c r="J156" i="8"/>
  <c r="P155" i="8"/>
  <c r="M155" i="8"/>
  <c r="O155" i="8"/>
  <c r="Q155" i="8"/>
  <c r="S155" i="8"/>
  <c r="R155" i="8"/>
  <c r="L155" i="8"/>
  <c r="J155" i="8"/>
  <c r="P154" i="8"/>
  <c r="M154" i="8"/>
  <c r="O154" i="8"/>
  <c r="Q154" i="8"/>
  <c r="S154" i="8"/>
  <c r="R154" i="8"/>
  <c r="L154" i="8"/>
  <c r="J154" i="8"/>
  <c r="P153" i="8"/>
  <c r="M153" i="8"/>
  <c r="O153" i="8"/>
  <c r="Q153" i="8"/>
  <c r="S153" i="8"/>
  <c r="R153" i="8"/>
  <c r="L153" i="8"/>
  <c r="J153" i="8"/>
  <c r="P152" i="8"/>
  <c r="M152" i="8"/>
  <c r="O152" i="8"/>
  <c r="Q152" i="8"/>
  <c r="S152" i="8"/>
  <c r="R152" i="8"/>
  <c r="L152" i="8"/>
  <c r="J152" i="8"/>
  <c r="P151" i="8"/>
  <c r="M151" i="8"/>
  <c r="O151" i="8"/>
  <c r="Q151" i="8"/>
  <c r="S151" i="8"/>
  <c r="R151" i="8"/>
  <c r="L151" i="8"/>
  <c r="J151" i="8"/>
  <c r="P150" i="8"/>
  <c r="O150" i="8"/>
  <c r="H3" i="8"/>
  <c r="I151" i="8"/>
  <c r="M150" i="8"/>
  <c r="Q150" i="8"/>
  <c r="S150" i="8"/>
  <c r="R150" i="8"/>
  <c r="L150" i="8"/>
  <c r="J150" i="8"/>
  <c r="P149" i="8"/>
  <c r="M149" i="8"/>
  <c r="O149" i="8"/>
  <c r="Q149" i="8"/>
  <c r="S149" i="8"/>
  <c r="R149" i="8"/>
  <c r="L149" i="8"/>
  <c r="J149" i="8"/>
  <c r="P148" i="8"/>
  <c r="M148" i="8"/>
  <c r="O148" i="8"/>
  <c r="Q148" i="8"/>
  <c r="S148" i="8"/>
  <c r="R148" i="8"/>
  <c r="L148" i="8"/>
  <c r="J148" i="8"/>
  <c r="P147" i="8"/>
  <c r="M147" i="8"/>
  <c r="O147" i="8"/>
  <c r="Q147" i="8"/>
  <c r="S147" i="8"/>
  <c r="R147" i="8"/>
  <c r="L147" i="8"/>
  <c r="J147" i="8"/>
  <c r="P146" i="8"/>
  <c r="M146" i="8"/>
  <c r="O146" i="8"/>
  <c r="Q146" i="8"/>
  <c r="S146" i="8"/>
  <c r="R146" i="8"/>
  <c r="L146" i="8"/>
  <c r="J146" i="8"/>
  <c r="P145" i="8"/>
  <c r="M145" i="8"/>
  <c r="O145" i="8"/>
  <c r="Q145" i="8"/>
  <c r="S145" i="8"/>
  <c r="R145" i="8"/>
  <c r="L145" i="8"/>
  <c r="J145" i="8"/>
  <c r="P144" i="8"/>
  <c r="M144" i="8"/>
  <c r="O144" i="8"/>
  <c r="Q144" i="8"/>
  <c r="S144" i="8"/>
  <c r="R144" i="8"/>
  <c r="L144" i="8"/>
  <c r="J144" i="8"/>
  <c r="P143" i="8"/>
  <c r="M143" i="8"/>
  <c r="O143" i="8"/>
  <c r="Q143" i="8"/>
  <c r="S143" i="8"/>
  <c r="R143" i="8"/>
  <c r="L143" i="8"/>
  <c r="J143" i="8"/>
  <c r="P142" i="8"/>
  <c r="M142" i="8"/>
  <c r="O142" i="8"/>
  <c r="Q142" i="8"/>
  <c r="S142" i="8"/>
  <c r="R142" i="8"/>
  <c r="L142" i="8"/>
  <c r="J142" i="8"/>
  <c r="P141" i="8"/>
  <c r="M141" i="8"/>
  <c r="O141" i="8"/>
  <c r="Q141" i="8"/>
  <c r="S141" i="8"/>
  <c r="R141" i="8"/>
  <c r="L141" i="8"/>
  <c r="J141" i="8"/>
  <c r="P140" i="8"/>
  <c r="M140" i="8"/>
  <c r="O140" i="8"/>
  <c r="Q140" i="8"/>
  <c r="S140" i="8"/>
  <c r="R140" i="8"/>
  <c r="L140" i="8"/>
  <c r="J140" i="8"/>
  <c r="P139" i="8"/>
  <c r="M139" i="8"/>
  <c r="O139" i="8"/>
  <c r="Q139" i="8"/>
  <c r="S139" i="8"/>
  <c r="R139" i="8"/>
  <c r="L139" i="8"/>
  <c r="J139" i="8"/>
  <c r="P138" i="8"/>
  <c r="M138" i="8"/>
  <c r="O138" i="8"/>
  <c r="Q138" i="8"/>
  <c r="S138" i="8"/>
  <c r="R138" i="8"/>
  <c r="L138" i="8"/>
  <c r="J138" i="8"/>
  <c r="P137" i="8"/>
  <c r="M137" i="8"/>
  <c r="O137" i="8"/>
  <c r="Q137" i="8"/>
  <c r="S137" i="8"/>
  <c r="R137" i="8"/>
  <c r="L137" i="8"/>
  <c r="J137" i="8"/>
  <c r="P136" i="8"/>
  <c r="M136" i="8"/>
  <c r="O136" i="8"/>
  <c r="Q136" i="8"/>
  <c r="S136" i="8"/>
  <c r="R136" i="8"/>
  <c r="L136" i="8"/>
  <c r="J136" i="8"/>
  <c r="P135" i="8"/>
  <c r="M135" i="8"/>
  <c r="O135" i="8"/>
  <c r="Q135" i="8"/>
  <c r="S135" i="8"/>
  <c r="R135" i="8"/>
  <c r="L135" i="8"/>
  <c r="J135" i="8"/>
  <c r="P134" i="8"/>
  <c r="M134" i="8"/>
  <c r="O134" i="8"/>
  <c r="Q134" i="8"/>
  <c r="S134" i="8"/>
  <c r="R134" i="8"/>
  <c r="L134" i="8"/>
  <c r="J134" i="8"/>
  <c r="P133" i="8"/>
  <c r="M133" i="8"/>
  <c r="O133" i="8"/>
  <c r="Q133" i="8"/>
  <c r="S133" i="8"/>
  <c r="R133" i="8"/>
  <c r="L133" i="8"/>
  <c r="J133" i="8"/>
  <c r="P132" i="8"/>
  <c r="M132" i="8"/>
  <c r="O132" i="8"/>
  <c r="Q132" i="8"/>
  <c r="S132" i="8"/>
  <c r="R132" i="8"/>
  <c r="L132" i="8"/>
  <c r="J132" i="8"/>
  <c r="P131" i="8"/>
  <c r="M131" i="8"/>
  <c r="O131" i="8"/>
  <c r="Q131" i="8"/>
  <c r="S131" i="8"/>
  <c r="R131" i="8"/>
  <c r="L131" i="8"/>
  <c r="J131" i="8"/>
  <c r="P130" i="8"/>
  <c r="M130" i="8"/>
  <c r="O130" i="8"/>
  <c r="Q130" i="8"/>
  <c r="S130" i="8"/>
  <c r="R130" i="8"/>
  <c r="L130" i="8"/>
  <c r="J130" i="8"/>
  <c r="P129" i="8"/>
  <c r="M129" i="8"/>
  <c r="O129" i="8"/>
  <c r="Q129" i="8"/>
  <c r="S129" i="8"/>
  <c r="R129" i="8"/>
  <c r="L129" i="8"/>
  <c r="J129" i="8"/>
  <c r="P128" i="8"/>
  <c r="M128" i="8"/>
  <c r="O128" i="8"/>
  <c r="Q128" i="8"/>
  <c r="S128" i="8"/>
  <c r="R128" i="8"/>
  <c r="L128" i="8"/>
  <c r="J128" i="8"/>
  <c r="P127" i="8"/>
  <c r="M127" i="8"/>
  <c r="O127" i="8"/>
  <c r="Q127" i="8"/>
  <c r="S127" i="8"/>
  <c r="R127" i="8"/>
  <c r="L127" i="8"/>
  <c r="J127" i="8"/>
  <c r="P126" i="8"/>
  <c r="M126" i="8"/>
  <c r="O126" i="8"/>
  <c r="Q126" i="8"/>
  <c r="S126" i="8"/>
  <c r="R126" i="8"/>
  <c r="L126" i="8"/>
  <c r="J126" i="8"/>
  <c r="P125" i="8"/>
  <c r="M125" i="8"/>
  <c r="O125" i="8"/>
  <c r="Q125" i="8"/>
  <c r="S125" i="8"/>
  <c r="R125" i="8"/>
  <c r="L125" i="8"/>
  <c r="J125" i="8"/>
  <c r="P124" i="8"/>
  <c r="M124" i="8"/>
  <c r="O124" i="8"/>
  <c r="Q124" i="8"/>
  <c r="S124" i="8"/>
  <c r="R124" i="8"/>
  <c r="L124" i="8"/>
  <c r="J124" i="8"/>
  <c r="P123" i="8"/>
  <c r="M123" i="8"/>
  <c r="O123" i="8"/>
  <c r="Q123" i="8"/>
  <c r="S123" i="8"/>
  <c r="R123" i="8"/>
  <c r="L123" i="8"/>
  <c r="J123" i="8"/>
  <c r="P122" i="8"/>
  <c r="M122" i="8"/>
  <c r="O122" i="8"/>
  <c r="Q122" i="8"/>
  <c r="S122" i="8"/>
  <c r="R122" i="8"/>
  <c r="L122" i="8"/>
  <c r="J122" i="8"/>
  <c r="P121" i="8"/>
  <c r="M121" i="8"/>
  <c r="O121" i="8"/>
  <c r="Q121" i="8"/>
  <c r="S121" i="8"/>
  <c r="R121" i="8"/>
  <c r="L121" i="8"/>
  <c r="J121" i="8"/>
  <c r="P120" i="8"/>
  <c r="M120" i="8"/>
  <c r="O120" i="8"/>
  <c r="Q120" i="8"/>
  <c r="S120" i="8"/>
  <c r="R120" i="8"/>
  <c r="L120" i="8"/>
  <c r="J120" i="8"/>
  <c r="P119" i="8"/>
  <c r="M119" i="8"/>
  <c r="O119" i="8"/>
  <c r="Q119" i="8"/>
  <c r="S119" i="8"/>
  <c r="R119" i="8"/>
  <c r="L119" i="8"/>
  <c r="J119" i="8"/>
  <c r="P118" i="8"/>
  <c r="M118" i="8"/>
  <c r="O118" i="8"/>
  <c r="Q118" i="8"/>
  <c r="S118" i="8"/>
  <c r="R118" i="8"/>
  <c r="L118" i="8"/>
  <c r="J118" i="8"/>
  <c r="P117" i="8"/>
  <c r="M117" i="8"/>
  <c r="O117" i="8"/>
  <c r="Q117" i="8"/>
  <c r="S117" i="8"/>
  <c r="R117" i="8"/>
  <c r="L117" i="8"/>
  <c r="J117" i="8"/>
  <c r="P116" i="8"/>
  <c r="M116" i="8"/>
  <c r="O116" i="8"/>
  <c r="Q116" i="8"/>
  <c r="S116" i="8"/>
  <c r="R116" i="8"/>
  <c r="L116" i="8"/>
  <c r="J116" i="8"/>
  <c r="P115" i="8"/>
  <c r="M115" i="8"/>
  <c r="O115" i="8"/>
  <c r="Q115" i="8"/>
  <c r="S115" i="8"/>
  <c r="R115" i="8"/>
  <c r="L115" i="8"/>
  <c r="J115" i="8"/>
  <c r="P114" i="8"/>
  <c r="M114" i="8"/>
  <c r="O114" i="8"/>
  <c r="Q114" i="8"/>
  <c r="S114" i="8"/>
  <c r="R114" i="8"/>
  <c r="L114" i="8"/>
  <c r="J114" i="8"/>
  <c r="P113" i="8"/>
  <c r="M113" i="8"/>
  <c r="O113" i="8"/>
  <c r="Q113" i="8"/>
  <c r="S113" i="8"/>
  <c r="R113" i="8"/>
  <c r="L113" i="8"/>
  <c r="J113" i="8"/>
  <c r="P112" i="8"/>
  <c r="M112" i="8"/>
  <c r="O112" i="8"/>
  <c r="Q112" i="8"/>
  <c r="S112" i="8"/>
  <c r="R112" i="8"/>
  <c r="L112" i="8"/>
  <c r="J112" i="8"/>
  <c r="P111" i="8"/>
  <c r="M111" i="8"/>
  <c r="O111" i="8"/>
  <c r="Q111" i="8"/>
  <c r="S111" i="8"/>
  <c r="R111" i="8"/>
  <c r="L111" i="8"/>
  <c r="J111" i="8"/>
  <c r="P110" i="8"/>
  <c r="M110" i="8"/>
  <c r="O110" i="8"/>
  <c r="Q110" i="8"/>
  <c r="S110" i="8"/>
  <c r="R110" i="8"/>
  <c r="L110" i="8"/>
  <c r="J110" i="8"/>
  <c r="P109" i="8"/>
  <c r="M109" i="8"/>
  <c r="O109" i="8"/>
  <c r="Q109" i="8"/>
  <c r="S109" i="8"/>
  <c r="R109" i="8"/>
  <c r="L109" i="8"/>
  <c r="J109" i="8"/>
  <c r="P108" i="8"/>
  <c r="M108" i="8"/>
  <c r="O108" i="8"/>
  <c r="Q108" i="8"/>
  <c r="S108" i="8"/>
  <c r="R108" i="8"/>
  <c r="L108" i="8"/>
  <c r="J108" i="8"/>
  <c r="P107" i="8"/>
  <c r="M107" i="8"/>
  <c r="O107" i="8"/>
  <c r="Q107" i="8"/>
  <c r="S107" i="8"/>
  <c r="R107" i="8"/>
  <c r="L107" i="8"/>
  <c r="J107" i="8"/>
  <c r="P106" i="8"/>
  <c r="M106" i="8"/>
  <c r="O106" i="8"/>
  <c r="Q106" i="8"/>
  <c r="S106" i="8"/>
  <c r="R106" i="8"/>
  <c r="L106" i="8"/>
  <c r="J106" i="8"/>
  <c r="P105" i="8"/>
  <c r="M105" i="8"/>
  <c r="O105" i="8"/>
  <c r="Q105" i="8"/>
  <c r="S105" i="8"/>
  <c r="R105" i="8"/>
  <c r="L105" i="8"/>
  <c r="J105" i="8"/>
  <c r="P104" i="8"/>
  <c r="M104" i="8"/>
  <c r="O104" i="8"/>
  <c r="Q104" i="8"/>
  <c r="S104" i="8"/>
  <c r="R104" i="8"/>
  <c r="L104" i="8"/>
  <c r="J104" i="8"/>
  <c r="P103" i="8"/>
  <c r="M103" i="8"/>
  <c r="O103" i="8"/>
  <c r="Q103" i="8"/>
  <c r="S103" i="8"/>
  <c r="R103" i="8"/>
  <c r="L103" i="8"/>
  <c r="J103" i="8"/>
  <c r="P102" i="8"/>
  <c r="M102" i="8"/>
  <c r="O102" i="8"/>
  <c r="Q102" i="8"/>
  <c r="S102" i="8"/>
  <c r="R102" i="8"/>
  <c r="L102" i="8"/>
  <c r="J102" i="8"/>
  <c r="P101" i="8"/>
  <c r="M101" i="8"/>
  <c r="O101" i="8"/>
  <c r="Q101" i="8"/>
  <c r="S101" i="8"/>
  <c r="R101" i="8"/>
  <c r="L101" i="8"/>
  <c r="J101" i="8"/>
  <c r="P100" i="8"/>
  <c r="M100" i="8"/>
  <c r="O100" i="8"/>
  <c r="Q100" i="8"/>
  <c r="S100" i="8"/>
  <c r="R100" i="8"/>
  <c r="L100" i="8"/>
  <c r="J100" i="8"/>
  <c r="P99" i="8"/>
  <c r="M99" i="8"/>
  <c r="O99" i="8"/>
  <c r="Q99" i="8"/>
  <c r="S99" i="8"/>
  <c r="R99" i="8"/>
  <c r="L99" i="8"/>
  <c r="J99" i="8"/>
  <c r="P98" i="8"/>
  <c r="M98" i="8"/>
  <c r="O98" i="8"/>
  <c r="Q98" i="8"/>
  <c r="S98" i="8"/>
  <c r="R98" i="8"/>
  <c r="L98" i="8"/>
  <c r="J98" i="8"/>
  <c r="P97" i="8"/>
  <c r="M97" i="8"/>
  <c r="O97" i="8"/>
  <c r="Q97" i="8"/>
  <c r="S97" i="8"/>
  <c r="R97" i="8"/>
  <c r="L97" i="8"/>
  <c r="J97" i="8"/>
  <c r="P96" i="8"/>
  <c r="M96" i="8"/>
  <c r="O96" i="8"/>
  <c r="Q96" i="8"/>
  <c r="S96" i="8"/>
  <c r="R96" i="8"/>
  <c r="L96" i="8"/>
  <c r="J96" i="8"/>
  <c r="P95" i="8"/>
  <c r="M95" i="8"/>
  <c r="O95" i="8"/>
  <c r="Q95" i="8"/>
  <c r="S95" i="8"/>
  <c r="R95" i="8"/>
  <c r="L95" i="8"/>
  <c r="J95" i="8"/>
  <c r="P94" i="8"/>
  <c r="M94" i="8"/>
  <c r="O94" i="8"/>
  <c r="Q94" i="8"/>
  <c r="S94" i="8"/>
  <c r="R94" i="8"/>
  <c r="L94" i="8"/>
  <c r="J94" i="8"/>
  <c r="P93" i="8"/>
  <c r="M93" i="8"/>
  <c r="O93" i="8"/>
  <c r="Q93" i="8"/>
  <c r="S93" i="8"/>
  <c r="R93" i="8"/>
  <c r="L93" i="8"/>
  <c r="J93" i="8"/>
  <c r="P92" i="8"/>
  <c r="M92" i="8"/>
  <c r="O92" i="8"/>
  <c r="Q92" i="8"/>
  <c r="S92" i="8"/>
  <c r="R92" i="8"/>
  <c r="L92" i="8"/>
  <c r="J92" i="8"/>
  <c r="P91" i="8"/>
  <c r="M91" i="8"/>
  <c r="O91" i="8"/>
  <c r="Q91" i="8"/>
  <c r="S91" i="8"/>
  <c r="R91" i="8"/>
  <c r="L91" i="8"/>
  <c r="J91" i="8"/>
  <c r="P90" i="8"/>
  <c r="M90" i="8"/>
  <c r="O90" i="8"/>
  <c r="Q90" i="8"/>
  <c r="S90" i="8"/>
  <c r="R90" i="8"/>
  <c r="L90" i="8"/>
  <c r="J90" i="8"/>
  <c r="P89" i="8"/>
  <c r="M89" i="8"/>
  <c r="O89" i="8"/>
  <c r="Q89" i="8"/>
  <c r="S89" i="8"/>
  <c r="R89" i="8"/>
  <c r="L89" i="8"/>
  <c r="J89" i="8"/>
  <c r="P88" i="8"/>
  <c r="M88" i="8"/>
  <c r="O88" i="8"/>
  <c r="Q88" i="8"/>
  <c r="S88" i="8"/>
  <c r="R88" i="8"/>
  <c r="L88" i="8"/>
  <c r="J88" i="8"/>
  <c r="P87" i="8"/>
  <c r="M87" i="8"/>
  <c r="O87" i="8"/>
  <c r="Q87" i="8"/>
  <c r="S87" i="8"/>
  <c r="R87" i="8"/>
  <c r="L87" i="8"/>
  <c r="J87" i="8"/>
  <c r="P86" i="8"/>
  <c r="M86" i="8"/>
  <c r="O86" i="8"/>
  <c r="Q86" i="8"/>
  <c r="S86" i="8"/>
  <c r="R86" i="8"/>
  <c r="L86" i="8"/>
  <c r="J86" i="8"/>
  <c r="P85" i="8"/>
  <c r="M85" i="8"/>
  <c r="O85" i="8"/>
  <c r="Q85" i="8"/>
  <c r="S85" i="8"/>
  <c r="R85" i="8"/>
  <c r="L85" i="8"/>
  <c r="J85" i="8"/>
  <c r="P84" i="8"/>
  <c r="M84" i="8"/>
  <c r="O84" i="8"/>
  <c r="Q84" i="8"/>
  <c r="S84" i="8"/>
  <c r="R84" i="8"/>
  <c r="L84" i="8"/>
  <c r="J84" i="8"/>
  <c r="P83" i="8"/>
  <c r="M83" i="8"/>
  <c r="O83" i="8"/>
  <c r="Q83" i="8"/>
  <c r="S83" i="8"/>
  <c r="R83" i="8"/>
  <c r="L83" i="8"/>
  <c r="J83" i="8"/>
  <c r="P82" i="8"/>
  <c r="M82" i="8"/>
  <c r="O82" i="8"/>
  <c r="Q82" i="8"/>
  <c r="S82" i="8"/>
  <c r="R82" i="8"/>
  <c r="L82" i="8"/>
  <c r="J82" i="8"/>
  <c r="P81" i="8"/>
  <c r="M81" i="8"/>
  <c r="O81" i="8"/>
  <c r="Q81" i="8"/>
  <c r="S81" i="8"/>
  <c r="R81" i="8"/>
  <c r="L81" i="8"/>
  <c r="J81" i="8"/>
  <c r="P80" i="8"/>
  <c r="M80" i="8"/>
  <c r="O80" i="8"/>
  <c r="Q80" i="8"/>
  <c r="S80" i="8"/>
  <c r="R80" i="8"/>
  <c r="L80" i="8"/>
  <c r="J80" i="8"/>
  <c r="P79" i="8"/>
  <c r="M79" i="8"/>
  <c r="O79" i="8"/>
  <c r="Q79" i="8"/>
  <c r="S79" i="8"/>
  <c r="R79" i="8"/>
  <c r="L79" i="8"/>
  <c r="J79" i="8"/>
  <c r="P78" i="8"/>
  <c r="M78" i="8"/>
  <c r="O78" i="8"/>
  <c r="Q78" i="8"/>
  <c r="S78" i="8"/>
  <c r="R78" i="8"/>
  <c r="L78" i="8"/>
  <c r="J78" i="8"/>
  <c r="P77" i="8"/>
  <c r="M77" i="8"/>
  <c r="O77" i="8"/>
  <c r="Q77" i="8"/>
  <c r="S77" i="8"/>
  <c r="R77" i="8"/>
  <c r="L77" i="8"/>
  <c r="J77" i="8"/>
  <c r="P76" i="8"/>
  <c r="M76" i="8"/>
  <c r="O76" i="8"/>
  <c r="Q76" i="8"/>
  <c r="S76" i="8"/>
  <c r="R76" i="8"/>
  <c r="L76" i="8"/>
  <c r="J76" i="8"/>
  <c r="P75" i="8"/>
  <c r="M75" i="8"/>
  <c r="O75" i="8"/>
  <c r="Q75" i="8"/>
  <c r="S75" i="8"/>
  <c r="R75" i="8"/>
  <c r="L75" i="8"/>
  <c r="J75" i="8"/>
  <c r="P74" i="8"/>
  <c r="M74" i="8"/>
  <c r="O74" i="8"/>
  <c r="Q74" i="8"/>
  <c r="S74" i="8"/>
  <c r="R74" i="8"/>
  <c r="L74" i="8"/>
  <c r="J74" i="8"/>
  <c r="P73" i="8"/>
  <c r="M73" i="8"/>
  <c r="O73" i="8"/>
  <c r="Q73" i="8"/>
  <c r="S73" i="8"/>
  <c r="R73" i="8"/>
  <c r="L73" i="8"/>
  <c r="J73" i="8"/>
  <c r="P72" i="8"/>
  <c r="M72" i="8"/>
  <c r="O72" i="8"/>
  <c r="Q72" i="8"/>
  <c r="S72" i="8"/>
  <c r="R72" i="8"/>
  <c r="L72" i="8"/>
  <c r="J72" i="8"/>
  <c r="P71" i="8"/>
  <c r="M71" i="8"/>
  <c r="O71" i="8"/>
  <c r="Q71" i="8"/>
  <c r="S71" i="8"/>
  <c r="R71" i="8"/>
  <c r="L71" i="8"/>
  <c r="J71" i="8"/>
  <c r="P70" i="8"/>
  <c r="M70" i="8"/>
  <c r="O70" i="8"/>
  <c r="Q70" i="8"/>
  <c r="S70" i="8"/>
  <c r="R70" i="8"/>
  <c r="L70" i="8"/>
  <c r="J70" i="8"/>
  <c r="P69" i="8"/>
  <c r="M69" i="8"/>
  <c r="O69" i="8"/>
  <c r="Q69" i="8"/>
  <c r="S69" i="8"/>
  <c r="R69" i="8"/>
  <c r="L69" i="8"/>
  <c r="J69" i="8"/>
  <c r="P68" i="8"/>
  <c r="M68" i="8"/>
  <c r="O68" i="8"/>
  <c r="Q68" i="8"/>
  <c r="S68" i="8"/>
  <c r="R68" i="8"/>
  <c r="L68" i="8"/>
  <c r="J68" i="8"/>
  <c r="P67" i="8"/>
  <c r="M67" i="8"/>
  <c r="O67" i="8"/>
  <c r="Q67" i="8"/>
  <c r="S67" i="8"/>
  <c r="R67" i="8"/>
  <c r="L67" i="8"/>
  <c r="J67" i="8"/>
  <c r="P66" i="8"/>
  <c r="M66" i="8"/>
  <c r="O66" i="8"/>
  <c r="Q66" i="8"/>
  <c r="S66" i="8"/>
  <c r="R66" i="8"/>
  <c r="L66" i="8"/>
  <c r="J66" i="8"/>
  <c r="P65" i="8"/>
  <c r="M65" i="8"/>
  <c r="O65" i="8"/>
  <c r="Q65" i="8"/>
  <c r="S65" i="8"/>
  <c r="R65" i="8"/>
  <c r="L65" i="8"/>
  <c r="J65" i="8"/>
  <c r="P64" i="8"/>
  <c r="M64" i="8"/>
  <c r="O64" i="8"/>
  <c r="Q64" i="8"/>
  <c r="S64" i="8"/>
  <c r="R64" i="8"/>
  <c r="L64" i="8"/>
  <c r="J64" i="8"/>
  <c r="P63" i="8"/>
  <c r="M63" i="8"/>
  <c r="O63" i="8"/>
  <c r="Q63" i="8"/>
  <c r="S63" i="8"/>
  <c r="R63" i="8"/>
  <c r="L63" i="8"/>
  <c r="J63" i="8"/>
  <c r="P62" i="8"/>
  <c r="M62" i="8"/>
  <c r="O62" i="8"/>
  <c r="Q62" i="8"/>
  <c r="S62" i="8"/>
  <c r="R62" i="8"/>
  <c r="L62" i="8"/>
  <c r="J62" i="8"/>
  <c r="P61" i="8"/>
  <c r="M61" i="8"/>
  <c r="O61" i="8"/>
  <c r="Q61" i="8"/>
  <c r="S61" i="8"/>
  <c r="R61" i="8"/>
  <c r="L61" i="8"/>
  <c r="J61" i="8"/>
  <c r="P60" i="8"/>
  <c r="M60" i="8"/>
  <c r="O60" i="8"/>
  <c r="Q60" i="8"/>
  <c r="S60" i="8"/>
  <c r="R60" i="8"/>
  <c r="L60" i="8"/>
  <c r="J60" i="8"/>
  <c r="P59" i="8"/>
  <c r="M59" i="8"/>
  <c r="O59" i="8"/>
  <c r="Q59" i="8"/>
  <c r="S59" i="8"/>
  <c r="R59" i="8"/>
  <c r="L59" i="8"/>
  <c r="J59" i="8"/>
  <c r="P58" i="8"/>
  <c r="M58" i="8"/>
  <c r="O58" i="8"/>
  <c r="Q58" i="8"/>
  <c r="S58" i="8"/>
  <c r="R58" i="8"/>
  <c r="L58" i="8"/>
  <c r="J58" i="8"/>
  <c r="P57" i="8"/>
  <c r="M57" i="8"/>
  <c r="O57" i="8"/>
  <c r="Q57" i="8"/>
  <c r="S57" i="8"/>
  <c r="R57" i="8"/>
  <c r="L57" i="8"/>
  <c r="J57" i="8"/>
  <c r="P56" i="8"/>
  <c r="M56" i="8"/>
  <c r="O56" i="8"/>
  <c r="Q56" i="8"/>
  <c r="S56" i="8"/>
  <c r="R56" i="8"/>
  <c r="L56" i="8"/>
  <c r="J56" i="8"/>
  <c r="P55" i="8"/>
  <c r="M55" i="8"/>
  <c r="O55" i="8"/>
  <c r="Q55" i="8"/>
  <c r="S55" i="8"/>
  <c r="R55" i="8"/>
  <c r="L55" i="8"/>
  <c r="J55" i="8"/>
  <c r="P54" i="8"/>
  <c r="M54" i="8"/>
  <c r="O54" i="8"/>
  <c r="Q54" i="8"/>
  <c r="S54" i="8"/>
  <c r="R54" i="8"/>
  <c r="L54" i="8"/>
  <c r="J54" i="8"/>
  <c r="P53" i="8"/>
  <c r="M53" i="8"/>
  <c r="O53" i="8"/>
  <c r="Q53" i="8"/>
  <c r="S53" i="8"/>
  <c r="R53" i="8"/>
  <c r="L53" i="8"/>
  <c r="J53" i="8"/>
  <c r="P52" i="8"/>
  <c r="M52" i="8"/>
  <c r="O52" i="8"/>
  <c r="Q52" i="8"/>
  <c r="S52" i="8"/>
  <c r="R52" i="8"/>
  <c r="L52" i="8"/>
  <c r="J52" i="8"/>
  <c r="P51" i="8"/>
  <c r="M51" i="8"/>
  <c r="O51" i="8"/>
  <c r="Q51" i="8"/>
  <c r="S51" i="8"/>
  <c r="R51" i="8"/>
  <c r="L51" i="8"/>
  <c r="J51" i="8"/>
  <c r="P50" i="8"/>
  <c r="M50" i="8"/>
  <c r="O50" i="8"/>
  <c r="Q50" i="8"/>
  <c r="S50" i="8"/>
  <c r="R50" i="8"/>
  <c r="L50" i="8"/>
  <c r="J50" i="8"/>
  <c r="P49" i="8"/>
  <c r="M49" i="8"/>
  <c r="O49" i="8"/>
  <c r="Q49" i="8"/>
  <c r="S49" i="8"/>
  <c r="R49" i="8"/>
  <c r="L49" i="8"/>
  <c r="J49" i="8"/>
  <c r="P48" i="8"/>
  <c r="M48" i="8"/>
  <c r="O48" i="8"/>
  <c r="Q48" i="8"/>
  <c r="S48" i="8"/>
  <c r="R48" i="8"/>
  <c r="L48" i="8"/>
  <c r="J48" i="8"/>
  <c r="P47" i="8"/>
  <c r="M47" i="8"/>
  <c r="O47" i="8"/>
  <c r="Q47" i="8"/>
  <c r="S47" i="8"/>
  <c r="R47" i="8"/>
  <c r="L47" i="8"/>
  <c r="J47" i="8"/>
  <c r="P46" i="8"/>
  <c r="M46" i="8"/>
  <c r="O46" i="8"/>
  <c r="Q46" i="8"/>
  <c r="S46" i="8"/>
  <c r="R46" i="8"/>
  <c r="L46" i="8"/>
  <c r="J46" i="8"/>
  <c r="P45" i="8"/>
  <c r="M45" i="8"/>
  <c r="O45" i="8"/>
  <c r="Q45" i="8"/>
  <c r="S45" i="8"/>
  <c r="R45" i="8"/>
  <c r="L45" i="8"/>
  <c r="J45" i="8"/>
  <c r="P44" i="8"/>
  <c r="M44" i="8"/>
  <c r="O44" i="8"/>
  <c r="Q44" i="8"/>
  <c r="S44" i="8"/>
  <c r="R44" i="8"/>
  <c r="L44" i="8"/>
  <c r="J44" i="8"/>
  <c r="P43" i="8"/>
  <c r="M43" i="8"/>
  <c r="O43" i="8"/>
  <c r="Q43" i="8"/>
  <c r="S43" i="8"/>
  <c r="R43" i="8"/>
  <c r="L43" i="8"/>
  <c r="J43" i="8"/>
  <c r="P42" i="8"/>
  <c r="M42" i="8"/>
  <c r="O42" i="8"/>
  <c r="Q42" i="8"/>
  <c r="S42" i="8"/>
  <c r="R42" i="8"/>
  <c r="L42" i="8"/>
  <c r="J42" i="8"/>
  <c r="P41" i="8"/>
  <c r="M41" i="8"/>
  <c r="O41" i="8"/>
  <c r="Q41" i="8"/>
  <c r="S41" i="8"/>
  <c r="R41" i="8"/>
  <c r="L41" i="8"/>
  <c r="J41" i="8"/>
  <c r="P40" i="8"/>
  <c r="M40" i="8"/>
  <c r="O40" i="8"/>
  <c r="Q40" i="8"/>
  <c r="S40" i="8"/>
  <c r="R40" i="8"/>
  <c r="L40" i="8"/>
  <c r="J40" i="8"/>
  <c r="P39" i="8"/>
  <c r="M39" i="8"/>
  <c r="O39" i="8"/>
  <c r="Q39" i="8"/>
  <c r="S39" i="8"/>
  <c r="R39" i="8"/>
  <c r="L39" i="8"/>
  <c r="J39" i="8"/>
  <c r="P38" i="8"/>
  <c r="M38" i="8"/>
  <c r="O38" i="8"/>
  <c r="Q38" i="8"/>
  <c r="S38" i="8"/>
  <c r="R38" i="8"/>
  <c r="L38" i="8"/>
  <c r="J38" i="8"/>
  <c r="P37" i="8"/>
  <c r="M37" i="8"/>
  <c r="O37" i="8"/>
  <c r="Q37" i="8"/>
  <c r="S37" i="8"/>
  <c r="R37" i="8"/>
  <c r="L37" i="8"/>
  <c r="J37" i="8"/>
  <c r="P36" i="8"/>
  <c r="M36" i="8"/>
  <c r="O36" i="8"/>
  <c r="Q36" i="8"/>
  <c r="S36" i="8"/>
  <c r="R36" i="8"/>
  <c r="L36" i="8"/>
  <c r="J36" i="8"/>
  <c r="P35" i="8"/>
  <c r="M35" i="8"/>
  <c r="O35" i="8"/>
  <c r="Q35" i="8"/>
  <c r="S35" i="8"/>
  <c r="R35" i="8"/>
  <c r="L35" i="8"/>
  <c r="J35" i="8"/>
  <c r="J34" i="8"/>
  <c r="N34" i="8"/>
  <c r="P34" i="8"/>
  <c r="M34" i="8"/>
  <c r="O34" i="8"/>
  <c r="Q34" i="8"/>
  <c r="S34" i="8"/>
  <c r="R34" i="8"/>
  <c r="L34" i="8"/>
  <c r="P33" i="8"/>
  <c r="M33" i="8"/>
  <c r="O33" i="8"/>
  <c r="Q33" i="8"/>
  <c r="S33" i="8"/>
  <c r="R33" i="8"/>
  <c r="L33" i="8"/>
  <c r="J33" i="8"/>
  <c r="P32" i="8"/>
  <c r="M32" i="8"/>
  <c r="O32" i="8"/>
  <c r="Q32" i="8"/>
  <c r="S32" i="8"/>
  <c r="R32" i="8"/>
  <c r="L32" i="8"/>
  <c r="J32" i="8"/>
  <c r="P31" i="8"/>
  <c r="M31" i="8"/>
  <c r="O31" i="8"/>
  <c r="Q31" i="8"/>
  <c r="S31" i="8"/>
  <c r="R31" i="8"/>
  <c r="L31" i="8"/>
  <c r="J31" i="8"/>
  <c r="P30" i="8"/>
  <c r="M30" i="8"/>
  <c r="O30" i="8"/>
  <c r="Q30" i="8"/>
  <c r="S30" i="8"/>
  <c r="R30" i="8"/>
  <c r="L30" i="8"/>
  <c r="J30" i="8"/>
  <c r="P29" i="8"/>
  <c r="M29" i="8"/>
  <c r="O29" i="8"/>
  <c r="Q29" i="8"/>
  <c r="S29" i="8"/>
  <c r="R29" i="8"/>
  <c r="L29" i="8"/>
  <c r="J29" i="8"/>
  <c r="P28" i="8"/>
  <c r="M28" i="8"/>
  <c r="O28" i="8"/>
  <c r="Q28" i="8"/>
  <c r="S28" i="8"/>
  <c r="R28" i="8"/>
  <c r="L28" i="8"/>
  <c r="J28" i="8"/>
  <c r="P27" i="8"/>
  <c r="M27" i="8"/>
  <c r="O27" i="8"/>
  <c r="Q27" i="8"/>
  <c r="S27" i="8"/>
  <c r="R27" i="8"/>
  <c r="L27" i="8"/>
  <c r="J27" i="8"/>
  <c r="P26" i="8"/>
  <c r="M26" i="8"/>
  <c r="O26" i="8"/>
  <c r="Q26" i="8"/>
  <c r="S26" i="8"/>
  <c r="R26" i="8"/>
  <c r="L26" i="8"/>
  <c r="J26" i="8"/>
  <c r="P25" i="8"/>
  <c r="M25" i="8"/>
  <c r="O25" i="8"/>
  <c r="Q25" i="8"/>
  <c r="S25" i="8"/>
  <c r="R25" i="8"/>
  <c r="L25" i="8"/>
  <c r="J25" i="8"/>
  <c r="P24" i="8"/>
  <c r="M24" i="8"/>
  <c r="O24" i="8"/>
  <c r="Q24" i="8"/>
  <c r="S24" i="8"/>
  <c r="R24" i="8"/>
  <c r="L24" i="8"/>
  <c r="J24" i="8"/>
  <c r="P23" i="8"/>
  <c r="M23" i="8"/>
  <c r="O23" i="8"/>
  <c r="Q23" i="8"/>
  <c r="S23" i="8"/>
  <c r="R23" i="8"/>
  <c r="L23" i="8"/>
  <c r="J23" i="8"/>
  <c r="P22" i="8"/>
  <c r="M22" i="8"/>
  <c r="O22" i="8"/>
  <c r="Q22" i="8"/>
  <c r="S22" i="8"/>
  <c r="R22" i="8"/>
  <c r="L22" i="8"/>
  <c r="J22" i="8"/>
  <c r="P21" i="8"/>
  <c r="M21" i="8"/>
  <c r="O21" i="8"/>
  <c r="Q21" i="8"/>
  <c r="S21" i="8"/>
  <c r="R21" i="8"/>
  <c r="L21" i="8"/>
  <c r="J21" i="8"/>
  <c r="P20" i="8"/>
  <c r="M20" i="8"/>
  <c r="O20" i="8"/>
  <c r="Q20" i="8"/>
  <c r="S20" i="8"/>
  <c r="R20" i="8"/>
  <c r="L20" i="8"/>
  <c r="J20" i="8"/>
  <c r="P19" i="8"/>
  <c r="M19" i="8"/>
  <c r="O19" i="8"/>
  <c r="Q19" i="8"/>
  <c r="S19" i="8"/>
  <c r="R19" i="8"/>
  <c r="L19" i="8"/>
  <c r="J19" i="8"/>
  <c r="P18" i="8"/>
  <c r="M18" i="8"/>
  <c r="O18" i="8"/>
  <c r="Q18" i="8"/>
  <c r="S18" i="8"/>
  <c r="R18" i="8"/>
  <c r="L18" i="8"/>
  <c r="J18" i="8"/>
  <c r="P17" i="8"/>
  <c r="M17" i="8"/>
  <c r="O17" i="8"/>
  <c r="Q17" i="8"/>
  <c r="S17" i="8"/>
  <c r="R17" i="8"/>
  <c r="L17" i="8"/>
  <c r="J17" i="8"/>
  <c r="P16" i="8"/>
  <c r="M16" i="8"/>
  <c r="O16" i="8"/>
  <c r="Q16" i="8"/>
  <c r="S16" i="8"/>
  <c r="R16" i="8"/>
  <c r="L16" i="8"/>
  <c r="J16" i="8"/>
  <c r="G16" i="8"/>
  <c r="H16" i="8"/>
  <c r="P15" i="8"/>
  <c r="M15" i="8"/>
  <c r="O15" i="8"/>
  <c r="Q15" i="8"/>
  <c r="S15" i="8"/>
  <c r="R15" i="8"/>
  <c r="L15" i="8"/>
  <c r="J15" i="8"/>
  <c r="G15" i="8"/>
  <c r="H15" i="8"/>
  <c r="P14" i="8"/>
  <c r="M14" i="8"/>
  <c r="O14" i="8"/>
  <c r="Q14" i="8"/>
  <c r="S14" i="8"/>
  <c r="R14" i="8"/>
  <c r="L14" i="8"/>
  <c r="J14" i="8"/>
  <c r="H14" i="8"/>
  <c r="P13" i="8"/>
  <c r="M13" i="8"/>
  <c r="O13" i="8"/>
  <c r="Q13" i="8"/>
  <c r="S13" i="8"/>
  <c r="R13" i="8"/>
  <c r="L13" i="8"/>
  <c r="J13" i="8"/>
  <c r="H13" i="8"/>
  <c r="P12" i="8"/>
  <c r="M12" i="8"/>
  <c r="O12" i="8"/>
  <c r="Q12" i="8"/>
  <c r="S12" i="8"/>
  <c r="R12" i="8"/>
  <c r="L12" i="8"/>
  <c r="J12" i="8"/>
  <c r="H12" i="8"/>
  <c r="P11" i="8"/>
  <c r="M11" i="8"/>
  <c r="O11" i="8"/>
  <c r="Q11" i="8"/>
  <c r="S11" i="8"/>
  <c r="R11" i="8"/>
  <c r="L11" i="8"/>
  <c r="J11" i="8"/>
  <c r="H11" i="8"/>
  <c r="P10" i="8"/>
  <c r="M10" i="8"/>
  <c r="O10" i="8"/>
  <c r="Q10" i="8"/>
  <c r="S10" i="8"/>
  <c r="R10" i="8"/>
  <c r="L10" i="8"/>
  <c r="J10" i="8"/>
  <c r="P9" i="8"/>
  <c r="M9" i="8"/>
  <c r="O9" i="8"/>
  <c r="Q9" i="8"/>
  <c r="S9" i="8"/>
  <c r="R9" i="8"/>
  <c r="L9" i="8"/>
  <c r="J9" i="8"/>
  <c r="P8" i="8"/>
  <c r="M8" i="8"/>
  <c r="O8" i="8"/>
  <c r="Q8" i="8"/>
  <c r="S8" i="8"/>
  <c r="R8" i="8"/>
  <c r="L8" i="8"/>
  <c r="J8" i="8"/>
  <c r="H4" i="8"/>
  <c r="H8" i="8"/>
  <c r="P3" i="8"/>
  <c r="M3" i="8"/>
  <c r="P4" i="8"/>
  <c r="M4" i="8"/>
  <c r="P5" i="8"/>
  <c r="M5" i="8"/>
  <c r="P6" i="8"/>
  <c r="M6" i="8"/>
  <c r="P7" i="8"/>
  <c r="M7" i="8"/>
  <c r="G5" i="8"/>
  <c r="O3" i="8"/>
  <c r="O4" i="8"/>
  <c r="O5" i="8"/>
  <c r="O6" i="8"/>
  <c r="O7" i="8"/>
  <c r="H2" i="8"/>
  <c r="G4" i="8"/>
  <c r="G8" i="8"/>
  <c r="Q7" i="8"/>
  <c r="S7" i="8"/>
  <c r="R7" i="8"/>
  <c r="L7" i="8"/>
  <c r="J7" i="8"/>
  <c r="H7" i="8"/>
  <c r="G1" i="8"/>
  <c r="G7" i="8"/>
  <c r="Q6" i="8"/>
  <c r="S6" i="8"/>
  <c r="R6" i="8"/>
  <c r="L6" i="8"/>
  <c r="J6" i="8"/>
  <c r="G3" i="8"/>
  <c r="G6" i="8"/>
  <c r="Q5" i="8"/>
  <c r="S5" i="8"/>
  <c r="R5" i="8"/>
  <c r="L5" i="8"/>
  <c r="J5" i="8"/>
  <c r="Q4" i="8"/>
  <c r="S4" i="8"/>
  <c r="R4" i="8"/>
  <c r="L4" i="8"/>
  <c r="J4" i="8"/>
  <c r="Q3" i="8"/>
  <c r="S3" i="8"/>
  <c r="R3" i="8"/>
  <c r="L3" i="8"/>
  <c r="J3" i="8"/>
  <c r="G2" i="8"/>
  <c r="A265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43" i="3"/>
  <c r="T39" i="3"/>
  <c r="T33" i="3"/>
  <c r="T37" i="3"/>
  <c r="F25" i="7"/>
  <c r="T34" i="3"/>
  <c r="F24" i="7"/>
  <c r="F23" i="7"/>
  <c r="F22" i="7"/>
  <c r="T27" i="3"/>
  <c r="T20" i="3"/>
  <c r="F13" i="7"/>
  <c r="F11" i="7"/>
  <c r="T35" i="3"/>
  <c r="F9" i="7"/>
  <c r="T18" i="3"/>
  <c r="F5" i="7"/>
  <c r="T16" i="3"/>
  <c r="T17" i="3"/>
  <c r="F2" i="7"/>
  <c r="J264" i="6"/>
  <c r="H264" i="6"/>
  <c r="A264" i="6"/>
  <c r="J263" i="6"/>
  <c r="H263" i="6"/>
  <c r="A263" i="6"/>
  <c r="J262" i="6"/>
  <c r="H262" i="6"/>
  <c r="A262" i="6"/>
  <c r="J261" i="6"/>
  <c r="H261" i="6"/>
  <c r="A261" i="6"/>
  <c r="J260" i="6"/>
  <c r="H260" i="6"/>
  <c r="A260" i="6"/>
  <c r="J259" i="6"/>
  <c r="H259" i="6"/>
  <c r="A259" i="6"/>
  <c r="J258" i="6"/>
  <c r="H258" i="6"/>
  <c r="A258" i="6"/>
  <c r="J257" i="6"/>
  <c r="H257" i="6"/>
  <c r="A257" i="6"/>
  <c r="J256" i="6"/>
  <c r="H256" i="6"/>
  <c r="A256" i="6"/>
  <c r="J255" i="6"/>
  <c r="H255" i="6"/>
  <c r="A255" i="6"/>
  <c r="J254" i="6"/>
  <c r="H254" i="6"/>
  <c r="A254" i="6"/>
  <c r="J253" i="6"/>
  <c r="H253" i="6"/>
  <c r="A253" i="6"/>
  <c r="J252" i="6"/>
  <c r="H252" i="6"/>
  <c r="A252" i="6"/>
  <c r="J251" i="6"/>
  <c r="H251" i="6"/>
  <c r="A251" i="6"/>
  <c r="J250" i="6"/>
  <c r="H250" i="6"/>
  <c r="A250" i="6"/>
  <c r="J249" i="6"/>
  <c r="H249" i="6"/>
  <c r="A249" i="6"/>
  <c r="J248" i="6"/>
  <c r="H248" i="6"/>
  <c r="A248" i="6"/>
  <c r="J247" i="6"/>
  <c r="H247" i="6"/>
  <c r="A247" i="6"/>
  <c r="J246" i="6"/>
  <c r="H246" i="6"/>
  <c r="A246" i="6"/>
  <c r="J245" i="6"/>
  <c r="H245" i="6"/>
  <c r="A245" i="6"/>
  <c r="J244" i="6"/>
  <c r="H244" i="6"/>
  <c r="A244" i="6"/>
  <c r="J243" i="6"/>
  <c r="H243" i="6"/>
  <c r="A243" i="6"/>
  <c r="J242" i="6"/>
  <c r="H242" i="6"/>
  <c r="A242" i="6"/>
  <c r="J241" i="6"/>
  <c r="H241" i="6"/>
  <c r="A241" i="6"/>
  <c r="J240" i="6"/>
  <c r="H240" i="6"/>
  <c r="A240" i="6"/>
  <c r="J239" i="6"/>
  <c r="H239" i="6"/>
  <c r="A239" i="6"/>
  <c r="J238" i="6"/>
  <c r="H238" i="6"/>
  <c r="A238" i="6"/>
  <c r="J237" i="6"/>
  <c r="H237" i="6"/>
  <c r="A237" i="6"/>
  <c r="J236" i="6"/>
  <c r="H236" i="6"/>
  <c r="A236" i="6"/>
  <c r="J235" i="6"/>
  <c r="H235" i="6"/>
  <c r="A235" i="6"/>
  <c r="J234" i="6"/>
  <c r="H234" i="6"/>
  <c r="A234" i="6"/>
  <c r="J233" i="6"/>
  <c r="H233" i="6"/>
  <c r="A233" i="6"/>
  <c r="J232" i="6"/>
  <c r="H232" i="6"/>
  <c r="A232" i="6"/>
  <c r="J231" i="6"/>
  <c r="H231" i="6"/>
  <c r="A231" i="6"/>
  <c r="J230" i="6"/>
  <c r="H230" i="6"/>
  <c r="A230" i="6"/>
  <c r="J229" i="6"/>
  <c r="H229" i="6"/>
  <c r="A229" i="6"/>
  <c r="J228" i="6"/>
  <c r="H228" i="6"/>
  <c r="A228" i="6"/>
  <c r="J227" i="6"/>
  <c r="H227" i="6"/>
  <c r="A227" i="6"/>
  <c r="J226" i="6"/>
  <c r="H226" i="6"/>
  <c r="A226" i="6"/>
  <c r="J225" i="6"/>
  <c r="H225" i="6"/>
  <c r="A225" i="6"/>
  <c r="J224" i="6"/>
  <c r="H224" i="6"/>
  <c r="A224" i="6"/>
  <c r="J223" i="6"/>
  <c r="H223" i="6"/>
  <c r="A223" i="6"/>
  <c r="J222" i="6"/>
  <c r="H222" i="6"/>
  <c r="A222" i="6"/>
  <c r="J221" i="6"/>
  <c r="H221" i="6"/>
  <c r="A221" i="6"/>
  <c r="J220" i="6"/>
  <c r="H220" i="6"/>
  <c r="A220" i="6"/>
  <c r="J219" i="6"/>
  <c r="H219" i="6"/>
  <c r="A219" i="6"/>
  <c r="J218" i="6"/>
  <c r="H218" i="6"/>
  <c r="A218" i="6"/>
  <c r="J217" i="6"/>
  <c r="H217" i="6"/>
  <c r="A217" i="6"/>
  <c r="J216" i="6"/>
  <c r="H216" i="6"/>
  <c r="A216" i="6"/>
  <c r="J215" i="6"/>
  <c r="H215" i="6"/>
  <c r="A215" i="6"/>
  <c r="J214" i="6"/>
  <c r="H214" i="6"/>
  <c r="A214" i="6"/>
  <c r="J213" i="6"/>
  <c r="H213" i="6"/>
  <c r="A213" i="6"/>
  <c r="J212" i="6"/>
  <c r="H212" i="6"/>
  <c r="A212" i="6"/>
  <c r="J211" i="6"/>
  <c r="H211" i="6"/>
  <c r="A211" i="6"/>
  <c r="J210" i="6"/>
  <c r="H210" i="6"/>
  <c r="A210" i="6"/>
  <c r="J209" i="6"/>
  <c r="H209" i="6"/>
  <c r="A209" i="6"/>
  <c r="J208" i="6"/>
  <c r="H208" i="6"/>
  <c r="A208" i="6"/>
  <c r="J207" i="6"/>
  <c r="H207" i="6"/>
  <c r="A207" i="6"/>
  <c r="J206" i="6"/>
  <c r="H206" i="6"/>
  <c r="A206" i="6"/>
  <c r="J205" i="6"/>
  <c r="H205" i="6"/>
  <c r="A205" i="6"/>
  <c r="J204" i="6"/>
  <c r="H204" i="6"/>
  <c r="A204" i="6"/>
  <c r="J203" i="6"/>
  <c r="H203" i="6"/>
  <c r="A203" i="6"/>
  <c r="J202" i="6"/>
  <c r="H202" i="6"/>
  <c r="A202" i="6"/>
  <c r="J201" i="6"/>
  <c r="H201" i="6"/>
  <c r="A201" i="6"/>
  <c r="J200" i="6"/>
  <c r="H200" i="6"/>
  <c r="A200" i="6"/>
  <c r="J199" i="6"/>
  <c r="H199" i="6"/>
  <c r="A199" i="6"/>
  <c r="J198" i="6"/>
  <c r="H198" i="6"/>
  <c r="A198" i="6"/>
  <c r="J197" i="6"/>
  <c r="H197" i="6"/>
  <c r="A197" i="6"/>
  <c r="J196" i="6"/>
  <c r="H196" i="6"/>
  <c r="A196" i="6"/>
  <c r="J195" i="6"/>
  <c r="H195" i="6"/>
  <c r="A195" i="6"/>
  <c r="J194" i="6"/>
  <c r="H194" i="6"/>
  <c r="A194" i="6"/>
  <c r="J193" i="6"/>
  <c r="H193" i="6"/>
  <c r="A193" i="6"/>
  <c r="J192" i="6"/>
  <c r="H192" i="6"/>
  <c r="A192" i="6"/>
  <c r="J191" i="6"/>
  <c r="H191" i="6"/>
  <c r="A191" i="6"/>
  <c r="J190" i="6"/>
  <c r="H190" i="6"/>
  <c r="A190" i="6"/>
  <c r="J189" i="6"/>
  <c r="H189" i="6"/>
  <c r="A189" i="6"/>
  <c r="J188" i="6"/>
  <c r="H188" i="6"/>
  <c r="A188" i="6"/>
  <c r="J187" i="6"/>
  <c r="H187" i="6"/>
  <c r="A187" i="6"/>
  <c r="J186" i="6"/>
  <c r="H186" i="6"/>
  <c r="A186" i="6"/>
  <c r="J185" i="6"/>
  <c r="H185" i="6"/>
  <c r="A185" i="6"/>
  <c r="J184" i="6"/>
  <c r="H184" i="6"/>
  <c r="A184" i="6"/>
  <c r="J183" i="6"/>
  <c r="H183" i="6"/>
  <c r="A183" i="6"/>
  <c r="J182" i="6"/>
  <c r="H182" i="6"/>
  <c r="A182" i="6"/>
  <c r="J181" i="6"/>
  <c r="H181" i="6"/>
  <c r="A181" i="6"/>
  <c r="J180" i="6"/>
  <c r="H180" i="6"/>
  <c r="A180" i="6"/>
  <c r="J179" i="6"/>
  <c r="H179" i="6"/>
  <c r="A179" i="6"/>
  <c r="J178" i="6"/>
  <c r="H178" i="6"/>
  <c r="A178" i="6"/>
  <c r="J177" i="6"/>
  <c r="H177" i="6"/>
  <c r="A177" i="6"/>
  <c r="J176" i="6"/>
  <c r="H176" i="6"/>
  <c r="A176" i="6"/>
  <c r="J175" i="6"/>
  <c r="H175" i="6"/>
  <c r="A175" i="6"/>
  <c r="J174" i="6"/>
  <c r="H174" i="6"/>
  <c r="A174" i="6"/>
  <c r="J173" i="6"/>
  <c r="H173" i="6"/>
  <c r="A173" i="6"/>
  <c r="J172" i="6"/>
  <c r="H172" i="6"/>
  <c r="A172" i="6"/>
  <c r="J171" i="6"/>
  <c r="H171" i="6"/>
  <c r="A171" i="6"/>
  <c r="J170" i="6"/>
  <c r="H170" i="6"/>
  <c r="A170" i="6"/>
  <c r="J169" i="6"/>
  <c r="H169" i="6"/>
  <c r="A169" i="6"/>
  <c r="J168" i="6"/>
  <c r="H168" i="6"/>
  <c r="A168" i="6"/>
  <c r="J167" i="6"/>
  <c r="H167" i="6"/>
  <c r="A167" i="6"/>
  <c r="J166" i="6"/>
  <c r="H166" i="6"/>
  <c r="A166" i="6"/>
  <c r="J165" i="6"/>
  <c r="H165" i="6"/>
  <c r="A165" i="6"/>
  <c r="J164" i="6"/>
  <c r="H164" i="6"/>
  <c r="A164" i="6"/>
  <c r="J163" i="6"/>
  <c r="H163" i="6"/>
  <c r="A163" i="6"/>
  <c r="J162" i="6"/>
  <c r="H162" i="6"/>
  <c r="A162" i="6"/>
  <c r="J161" i="6"/>
  <c r="H161" i="6"/>
  <c r="A161" i="6"/>
  <c r="J160" i="6"/>
  <c r="H160" i="6"/>
  <c r="A160" i="6"/>
  <c r="J159" i="6"/>
  <c r="H159" i="6"/>
  <c r="A159" i="6"/>
  <c r="J158" i="6"/>
  <c r="H158" i="6"/>
  <c r="A158" i="6"/>
  <c r="J157" i="6"/>
  <c r="H157" i="6"/>
  <c r="A157" i="6"/>
  <c r="J156" i="6"/>
  <c r="H156" i="6"/>
  <c r="A156" i="6"/>
  <c r="J155" i="6"/>
  <c r="H155" i="6"/>
  <c r="A155" i="6"/>
  <c r="J154" i="6"/>
  <c r="H154" i="6"/>
  <c r="A154" i="6"/>
  <c r="J153" i="6"/>
  <c r="H153" i="6"/>
  <c r="A153" i="6"/>
  <c r="J152" i="6"/>
  <c r="H152" i="6"/>
  <c r="A152" i="6"/>
  <c r="J151" i="6"/>
  <c r="H151" i="6"/>
  <c r="A151" i="6"/>
  <c r="J150" i="6"/>
  <c r="H150" i="6"/>
  <c r="A150" i="6"/>
  <c r="J149" i="6"/>
  <c r="H149" i="6"/>
  <c r="A149" i="6"/>
  <c r="J148" i="6"/>
  <c r="H148" i="6"/>
  <c r="A148" i="6"/>
  <c r="J147" i="6"/>
  <c r="H147" i="6"/>
  <c r="A147" i="6"/>
  <c r="J146" i="6"/>
  <c r="H146" i="6"/>
  <c r="A146" i="6"/>
  <c r="J145" i="6"/>
  <c r="H145" i="6"/>
  <c r="A145" i="6"/>
  <c r="J144" i="6"/>
  <c r="H144" i="6"/>
  <c r="A144" i="6"/>
  <c r="J143" i="6"/>
  <c r="H143" i="6"/>
  <c r="A143" i="6"/>
  <c r="J142" i="6"/>
  <c r="H142" i="6"/>
  <c r="A142" i="6"/>
  <c r="J141" i="6"/>
  <c r="H141" i="6"/>
  <c r="A141" i="6"/>
  <c r="J140" i="6"/>
  <c r="H140" i="6"/>
  <c r="A140" i="6"/>
  <c r="J139" i="6"/>
  <c r="H139" i="6"/>
  <c r="A139" i="6"/>
  <c r="J138" i="6"/>
  <c r="H138" i="6"/>
  <c r="A138" i="6"/>
  <c r="J137" i="6"/>
  <c r="H137" i="6"/>
  <c r="A137" i="6"/>
  <c r="J136" i="6"/>
  <c r="H136" i="6"/>
  <c r="A136" i="6"/>
  <c r="J135" i="6"/>
  <c r="H135" i="6"/>
  <c r="A135" i="6"/>
  <c r="J134" i="6"/>
  <c r="H134" i="6"/>
  <c r="A134" i="6"/>
  <c r="J133" i="6"/>
  <c r="H133" i="6"/>
  <c r="A133" i="6"/>
  <c r="J132" i="6"/>
  <c r="H132" i="6"/>
  <c r="A132" i="6"/>
  <c r="J131" i="6"/>
  <c r="H131" i="6"/>
  <c r="A131" i="6"/>
  <c r="J130" i="6"/>
  <c r="H130" i="6"/>
  <c r="A130" i="6"/>
  <c r="J129" i="6"/>
  <c r="H129" i="6"/>
  <c r="A129" i="6"/>
  <c r="J128" i="6"/>
  <c r="H128" i="6"/>
  <c r="A128" i="6"/>
  <c r="J127" i="6"/>
  <c r="H127" i="6"/>
  <c r="A127" i="6"/>
  <c r="J126" i="6"/>
  <c r="H126" i="6"/>
  <c r="A126" i="6"/>
  <c r="J125" i="6"/>
  <c r="H125" i="6"/>
  <c r="A125" i="6"/>
  <c r="J124" i="6"/>
  <c r="H124" i="6"/>
  <c r="A124" i="6"/>
  <c r="J123" i="6"/>
  <c r="H123" i="6"/>
  <c r="A123" i="6"/>
  <c r="J122" i="6"/>
  <c r="H122" i="6"/>
  <c r="A122" i="6"/>
  <c r="J121" i="6"/>
  <c r="H121" i="6"/>
  <c r="A121" i="6"/>
  <c r="J120" i="6"/>
  <c r="H120" i="6"/>
  <c r="A120" i="6"/>
  <c r="J119" i="6"/>
  <c r="H119" i="6"/>
  <c r="A119" i="6"/>
  <c r="J118" i="6"/>
  <c r="H118" i="6"/>
  <c r="A118" i="6"/>
  <c r="J117" i="6"/>
  <c r="H117" i="6"/>
  <c r="A117" i="6"/>
  <c r="J116" i="6"/>
  <c r="H116" i="6"/>
  <c r="A116" i="6"/>
  <c r="J115" i="6"/>
  <c r="H115" i="6"/>
  <c r="A115" i="6"/>
  <c r="J114" i="6"/>
  <c r="H114" i="6"/>
  <c r="A114" i="6"/>
  <c r="J113" i="6"/>
  <c r="H113" i="6"/>
  <c r="A113" i="6"/>
  <c r="J112" i="6"/>
  <c r="H112" i="6"/>
  <c r="A112" i="6"/>
  <c r="J111" i="6"/>
  <c r="H111" i="6"/>
  <c r="A111" i="6"/>
  <c r="J110" i="6"/>
  <c r="H110" i="6"/>
  <c r="A110" i="6"/>
  <c r="J109" i="6"/>
  <c r="H109" i="6"/>
  <c r="A109" i="6"/>
  <c r="J108" i="6"/>
  <c r="H108" i="6"/>
  <c r="A108" i="6"/>
  <c r="J107" i="6"/>
  <c r="H107" i="6"/>
  <c r="A107" i="6"/>
  <c r="J106" i="6"/>
  <c r="H106" i="6"/>
  <c r="A106" i="6"/>
  <c r="J105" i="6"/>
  <c r="H105" i="6"/>
  <c r="A105" i="6"/>
  <c r="J104" i="6"/>
  <c r="H104" i="6"/>
  <c r="A104" i="6"/>
  <c r="J103" i="6"/>
  <c r="H103" i="6"/>
  <c r="A103" i="6"/>
  <c r="J102" i="6"/>
  <c r="H102" i="6"/>
  <c r="A102" i="6"/>
  <c r="J101" i="6"/>
  <c r="H101" i="6"/>
  <c r="A101" i="6"/>
  <c r="J100" i="6"/>
  <c r="H100" i="6"/>
  <c r="A100" i="6"/>
  <c r="J99" i="6"/>
  <c r="H99" i="6"/>
  <c r="A99" i="6"/>
  <c r="J98" i="6"/>
  <c r="H98" i="6"/>
  <c r="A98" i="6"/>
  <c r="J97" i="6"/>
  <c r="H97" i="6"/>
  <c r="A97" i="6"/>
  <c r="J96" i="6"/>
  <c r="H96" i="6"/>
  <c r="A96" i="6"/>
  <c r="J95" i="6"/>
  <c r="H95" i="6"/>
  <c r="A95" i="6"/>
  <c r="J94" i="6"/>
  <c r="H94" i="6"/>
  <c r="A94" i="6"/>
  <c r="J93" i="6"/>
  <c r="H93" i="6"/>
  <c r="A93" i="6"/>
  <c r="J92" i="6"/>
  <c r="H92" i="6"/>
  <c r="A92" i="6"/>
  <c r="J91" i="6"/>
  <c r="H91" i="6"/>
  <c r="A91" i="6"/>
  <c r="J90" i="6"/>
  <c r="H90" i="6"/>
  <c r="A90" i="6"/>
  <c r="J89" i="6"/>
  <c r="H89" i="6"/>
  <c r="A89" i="6"/>
  <c r="J88" i="6"/>
  <c r="H88" i="6"/>
  <c r="A88" i="6"/>
  <c r="J87" i="6"/>
  <c r="H87" i="6"/>
  <c r="A87" i="6"/>
  <c r="J86" i="6"/>
  <c r="H86" i="6"/>
  <c r="A86" i="6"/>
  <c r="J85" i="6"/>
  <c r="H85" i="6"/>
  <c r="A85" i="6"/>
  <c r="J84" i="6"/>
  <c r="H84" i="6"/>
  <c r="A84" i="6"/>
  <c r="J83" i="6"/>
  <c r="H83" i="6"/>
  <c r="A83" i="6"/>
  <c r="J82" i="6"/>
  <c r="H82" i="6"/>
  <c r="A82" i="6"/>
  <c r="J81" i="6"/>
  <c r="H81" i="6"/>
  <c r="A81" i="6"/>
  <c r="J80" i="6"/>
  <c r="H80" i="6"/>
  <c r="A80" i="6"/>
  <c r="J79" i="6"/>
  <c r="H79" i="6"/>
  <c r="A79" i="6"/>
  <c r="J78" i="6"/>
  <c r="H78" i="6"/>
  <c r="A78" i="6"/>
  <c r="J77" i="6"/>
  <c r="H77" i="6"/>
  <c r="A77" i="6"/>
  <c r="J76" i="6"/>
  <c r="H76" i="6"/>
  <c r="A76" i="6"/>
  <c r="J75" i="6"/>
  <c r="H75" i="6"/>
  <c r="A75" i="6"/>
  <c r="J74" i="6"/>
  <c r="H74" i="6"/>
  <c r="A74" i="6"/>
  <c r="J73" i="6"/>
  <c r="H73" i="6"/>
  <c r="A73" i="6"/>
  <c r="J72" i="6"/>
  <c r="H72" i="6"/>
  <c r="A72" i="6"/>
  <c r="J71" i="6"/>
  <c r="H71" i="6"/>
  <c r="A71" i="6"/>
  <c r="J70" i="6"/>
  <c r="H70" i="6"/>
  <c r="A70" i="6"/>
  <c r="J69" i="6"/>
  <c r="H69" i="6"/>
  <c r="A69" i="6"/>
  <c r="J68" i="6"/>
  <c r="H68" i="6"/>
  <c r="A68" i="6"/>
  <c r="J67" i="6"/>
  <c r="H67" i="6"/>
  <c r="A67" i="6"/>
  <c r="J66" i="6"/>
  <c r="H66" i="6"/>
  <c r="A66" i="6"/>
  <c r="J65" i="6"/>
  <c r="H65" i="6"/>
  <c r="A65" i="6"/>
  <c r="J64" i="6"/>
  <c r="H64" i="6"/>
  <c r="A64" i="6"/>
  <c r="J63" i="6"/>
  <c r="H63" i="6"/>
  <c r="A63" i="6"/>
  <c r="J62" i="6"/>
  <c r="H62" i="6"/>
  <c r="A62" i="6"/>
  <c r="J61" i="6"/>
  <c r="H61" i="6"/>
  <c r="A61" i="6"/>
  <c r="J60" i="6"/>
  <c r="H60" i="6"/>
  <c r="A60" i="6"/>
  <c r="J59" i="6"/>
  <c r="H59" i="6"/>
  <c r="A59" i="6"/>
  <c r="J58" i="6"/>
  <c r="H58" i="6"/>
  <c r="A58" i="6"/>
  <c r="J57" i="6"/>
  <c r="H57" i="6"/>
  <c r="A57" i="6"/>
  <c r="J56" i="6"/>
  <c r="H56" i="6"/>
  <c r="A56" i="6"/>
  <c r="J55" i="6"/>
  <c r="H55" i="6"/>
  <c r="A55" i="6"/>
  <c r="J54" i="6"/>
  <c r="H54" i="6"/>
  <c r="A54" i="6"/>
  <c r="J53" i="6"/>
  <c r="H53" i="6"/>
  <c r="A53" i="6"/>
  <c r="J52" i="6"/>
  <c r="H52" i="6"/>
  <c r="A52" i="6"/>
  <c r="J51" i="6"/>
  <c r="H51" i="6"/>
  <c r="A51" i="6"/>
  <c r="J50" i="6"/>
  <c r="H50" i="6"/>
  <c r="A50" i="6"/>
  <c r="J49" i="6"/>
  <c r="H49" i="6"/>
  <c r="A49" i="6"/>
  <c r="J48" i="6"/>
  <c r="H48" i="6"/>
  <c r="A48" i="6"/>
  <c r="J47" i="6"/>
  <c r="H47" i="6"/>
  <c r="A47" i="6"/>
  <c r="J46" i="6"/>
  <c r="H46" i="6"/>
  <c r="A46" i="6"/>
  <c r="J45" i="6"/>
  <c r="H45" i="6"/>
  <c r="A45" i="6"/>
  <c r="J44" i="6"/>
  <c r="H44" i="6"/>
  <c r="A44" i="6"/>
  <c r="J43" i="6"/>
  <c r="H43" i="6"/>
  <c r="A43" i="6"/>
  <c r="J42" i="6"/>
  <c r="H42" i="6"/>
  <c r="A42" i="6"/>
  <c r="J41" i="6"/>
  <c r="H41" i="6"/>
  <c r="A41" i="6"/>
  <c r="J40" i="6"/>
  <c r="H40" i="6"/>
  <c r="A40" i="6"/>
  <c r="J39" i="6"/>
  <c r="H39" i="6"/>
  <c r="A39" i="6"/>
  <c r="J38" i="6"/>
  <c r="H38" i="6"/>
  <c r="A38" i="6"/>
  <c r="J37" i="6"/>
  <c r="H37" i="6"/>
  <c r="A37" i="6"/>
  <c r="J36" i="6"/>
  <c r="H36" i="6"/>
  <c r="A36" i="6"/>
  <c r="J35" i="6"/>
  <c r="H35" i="6"/>
  <c r="A35" i="6"/>
  <c r="J34" i="6"/>
  <c r="H34" i="6"/>
  <c r="A34" i="6"/>
  <c r="J33" i="6"/>
  <c r="H33" i="6"/>
  <c r="A33" i="6"/>
  <c r="J32" i="6"/>
  <c r="H32" i="6"/>
  <c r="A32" i="6"/>
  <c r="J31" i="6"/>
  <c r="H31" i="6"/>
  <c r="A31" i="6"/>
  <c r="J30" i="6"/>
  <c r="H30" i="6"/>
  <c r="A30" i="6"/>
  <c r="J29" i="6"/>
  <c r="H29" i="6"/>
  <c r="A29" i="6"/>
  <c r="J28" i="6"/>
  <c r="H28" i="6"/>
  <c r="A28" i="6"/>
  <c r="J27" i="6"/>
  <c r="H27" i="6"/>
  <c r="A27" i="6"/>
  <c r="J26" i="6"/>
  <c r="H26" i="6"/>
  <c r="A26" i="6"/>
  <c r="J25" i="6"/>
  <c r="H25" i="6"/>
  <c r="A25" i="6"/>
  <c r="J24" i="6"/>
  <c r="H24" i="6"/>
  <c r="A24" i="6"/>
  <c r="J23" i="6"/>
  <c r="H23" i="6"/>
  <c r="A23" i="6"/>
  <c r="J22" i="6"/>
  <c r="H22" i="6"/>
  <c r="A22" i="6"/>
  <c r="J21" i="6"/>
  <c r="H21" i="6"/>
  <c r="A21" i="6"/>
  <c r="J20" i="6"/>
  <c r="H20" i="6"/>
  <c r="A20" i="6"/>
  <c r="J19" i="6"/>
  <c r="H19" i="6"/>
  <c r="A19" i="6"/>
  <c r="J18" i="6"/>
  <c r="H18" i="6"/>
  <c r="A18" i="6"/>
  <c r="J17" i="6"/>
  <c r="H17" i="6"/>
  <c r="A17" i="6"/>
  <c r="J16" i="6"/>
  <c r="H16" i="6"/>
  <c r="A16" i="6"/>
  <c r="J15" i="6"/>
  <c r="H15" i="6"/>
  <c r="A15" i="6"/>
  <c r="J14" i="6"/>
  <c r="H14" i="6"/>
  <c r="A14" i="6"/>
  <c r="J13" i="6"/>
  <c r="H13" i="6"/>
  <c r="A13" i="6"/>
  <c r="J12" i="6"/>
  <c r="H12" i="6"/>
  <c r="A12" i="6"/>
  <c r="J11" i="6"/>
  <c r="H11" i="6"/>
  <c r="A11" i="6"/>
  <c r="J10" i="6"/>
  <c r="H10" i="6"/>
  <c r="A10" i="6"/>
  <c r="J9" i="6"/>
  <c r="H9" i="6"/>
  <c r="A9" i="6"/>
  <c r="J8" i="6"/>
  <c r="H8" i="6"/>
  <c r="A8" i="6"/>
  <c r="J7" i="6"/>
  <c r="H7" i="6"/>
  <c r="A7" i="6"/>
  <c r="J6" i="6"/>
  <c r="H6" i="6"/>
  <c r="A6" i="6"/>
  <c r="J5" i="6"/>
  <c r="H5" i="6"/>
  <c r="A5" i="6"/>
  <c r="J4" i="6"/>
  <c r="H4" i="6"/>
  <c r="A4" i="6"/>
  <c r="J3" i="6"/>
  <c r="H3" i="6"/>
  <c r="A3" i="6"/>
  <c r="L2" i="6"/>
  <c r="K2" i="6"/>
  <c r="J2" i="6"/>
  <c r="H2" i="6"/>
  <c r="D2" i="6"/>
  <c r="F2" i="6"/>
  <c r="G2" i="6"/>
  <c r="A2" i="6"/>
  <c r="K34" i="5"/>
  <c r="K33" i="5"/>
  <c r="P30" i="5"/>
  <c r="R30" i="5"/>
  <c r="Q30" i="5"/>
  <c r="P29" i="5"/>
  <c r="Q29" i="5"/>
  <c r="R29" i="5"/>
  <c r="P28" i="5"/>
  <c r="Q28" i="5"/>
  <c r="R28" i="5"/>
  <c r="P27" i="5"/>
  <c r="Q27" i="5"/>
  <c r="R27" i="5"/>
  <c r="N22" i="5"/>
  <c r="H22" i="5"/>
  <c r="N21" i="5"/>
  <c r="H21" i="5"/>
  <c r="N20" i="5"/>
  <c r="H20" i="5"/>
  <c r="N19" i="5"/>
  <c r="H19" i="5"/>
  <c r="N18" i="5"/>
  <c r="H18" i="5"/>
  <c r="N17" i="5"/>
  <c r="H17" i="5"/>
  <c r="N16" i="5"/>
  <c r="H16" i="5"/>
  <c r="N15" i="5"/>
  <c r="H15" i="5"/>
  <c r="N14" i="5"/>
  <c r="H14" i="5"/>
  <c r="N13" i="5"/>
  <c r="H13" i="5"/>
  <c r="N12" i="5"/>
  <c r="H12" i="5"/>
  <c r="N11" i="5"/>
  <c r="H11" i="5"/>
  <c r="N10" i="5"/>
  <c r="H10" i="5"/>
  <c r="N9" i="5"/>
  <c r="H9" i="5"/>
  <c r="N8" i="5"/>
  <c r="H8" i="5"/>
  <c r="N7" i="5"/>
  <c r="H7" i="5"/>
  <c r="N6" i="5"/>
  <c r="H6" i="5"/>
  <c r="N5" i="5"/>
  <c r="H5" i="5"/>
  <c r="S3" i="5"/>
  <c r="R3" i="5"/>
  <c r="Q3" i="5"/>
  <c r="G25" i="4"/>
  <c r="G24" i="4"/>
  <c r="G23" i="4"/>
  <c r="G22" i="4"/>
  <c r="G21" i="4"/>
  <c r="G20" i="4"/>
  <c r="G19" i="4"/>
  <c r="U265" i="3"/>
  <c r="S265" i="3"/>
  <c r="R265" i="3"/>
  <c r="Q265" i="3"/>
  <c r="P265" i="3"/>
  <c r="O265" i="3"/>
  <c r="U264" i="3"/>
  <c r="S264" i="3"/>
  <c r="R264" i="3"/>
  <c r="Q264" i="3"/>
  <c r="P264" i="3"/>
  <c r="O264" i="3"/>
  <c r="U263" i="3"/>
  <c r="S263" i="3"/>
  <c r="R263" i="3"/>
  <c r="Q263" i="3"/>
  <c r="P263" i="3"/>
  <c r="O263" i="3"/>
  <c r="U262" i="3"/>
  <c r="S262" i="3"/>
  <c r="R262" i="3"/>
  <c r="Q262" i="3"/>
  <c r="P262" i="3"/>
  <c r="O262" i="3"/>
  <c r="U261" i="3"/>
  <c r="S261" i="3"/>
  <c r="R261" i="3"/>
  <c r="Q261" i="3"/>
  <c r="P261" i="3"/>
  <c r="O261" i="3"/>
  <c r="U260" i="3"/>
  <c r="S260" i="3"/>
  <c r="R260" i="3"/>
  <c r="Q260" i="3"/>
  <c r="P260" i="3"/>
  <c r="O260" i="3"/>
  <c r="U259" i="3"/>
  <c r="S259" i="3"/>
  <c r="R259" i="3"/>
  <c r="Q259" i="3"/>
  <c r="P259" i="3"/>
  <c r="O259" i="3"/>
  <c r="U258" i="3"/>
  <c r="S258" i="3"/>
  <c r="R258" i="3"/>
  <c r="Q258" i="3"/>
  <c r="P258" i="3"/>
  <c r="O258" i="3"/>
  <c r="U257" i="3"/>
  <c r="S257" i="3"/>
  <c r="R257" i="3"/>
  <c r="Q257" i="3"/>
  <c r="P257" i="3"/>
  <c r="O257" i="3"/>
  <c r="U256" i="3"/>
  <c r="S256" i="3"/>
  <c r="R256" i="3"/>
  <c r="Q256" i="3"/>
  <c r="P256" i="3"/>
  <c r="O256" i="3"/>
  <c r="U255" i="3"/>
  <c r="S255" i="3"/>
  <c r="R255" i="3"/>
  <c r="Q255" i="3"/>
  <c r="P255" i="3"/>
  <c r="O255" i="3"/>
  <c r="U254" i="3"/>
  <c r="S254" i="3"/>
  <c r="R254" i="3"/>
  <c r="Q254" i="3"/>
  <c r="P254" i="3"/>
  <c r="O254" i="3"/>
  <c r="U253" i="3"/>
  <c r="S253" i="3"/>
  <c r="R253" i="3"/>
  <c r="Q253" i="3"/>
  <c r="P253" i="3"/>
  <c r="O253" i="3"/>
  <c r="U252" i="3"/>
  <c r="S252" i="3"/>
  <c r="R252" i="3"/>
  <c r="Q252" i="3"/>
  <c r="P252" i="3"/>
  <c r="O252" i="3"/>
  <c r="U251" i="3"/>
  <c r="S251" i="3"/>
  <c r="R251" i="3"/>
  <c r="Q251" i="3"/>
  <c r="P251" i="3"/>
  <c r="O251" i="3"/>
  <c r="U250" i="3"/>
  <c r="S250" i="3"/>
  <c r="R250" i="3"/>
  <c r="Q250" i="3"/>
  <c r="P250" i="3"/>
  <c r="O250" i="3"/>
  <c r="U249" i="3"/>
  <c r="S249" i="3"/>
  <c r="R249" i="3"/>
  <c r="Q249" i="3"/>
  <c r="P249" i="3"/>
  <c r="O249" i="3"/>
  <c r="U248" i="3"/>
  <c r="S248" i="3"/>
  <c r="R248" i="3"/>
  <c r="Q248" i="3"/>
  <c r="P248" i="3"/>
  <c r="O248" i="3"/>
  <c r="U247" i="3"/>
  <c r="S247" i="3"/>
  <c r="R247" i="3"/>
  <c r="Q247" i="3"/>
  <c r="P247" i="3"/>
  <c r="O247" i="3"/>
  <c r="U246" i="3"/>
  <c r="S246" i="3"/>
  <c r="R246" i="3"/>
  <c r="Q246" i="3"/>
  <c r="P246" i="3"/>
  <c r="O246" i="3"/>
  <c r="U245" i="3"/>
  <c r="S245" i="3"/>
  <c r="R245" i="3"/>
  <c r="Q245" i="3"/>
  <c r="P245" i="3"/>
  <c r="O245" i="3"/>
  <c r="U244" i="3"/>
  <c r="S244" i="3"/>
  <c r="R244" i="3"/>
  <c r="Q244" i="3"/>
  <c r="P244" i="3"/>
  <c r="O244" i="3"/>
  <c r="U243" i="3"/>
  <c r="S243" i="3"/>
  <c r="R243" i="3"/>
  <c r="Q243" i="3"/>
  <c r="P243" i="3"/>
  <c r="O243" i="3"/>
  <c r="U242" i="3"/>
  <c r="S242" i="3"/>
  <c r="R242" i="3"/>
  <c r="Q242" i="3"/>
  <c r="P242" i="3"/>
  <c r="O242" i="3"/>
  <c r="U241" i="3"/>
  <c r="S241" i="3"/>
  <c r="R241" i="3"/>
  <c r="Q241" i="3"/>
  <c r="P241" i="3"/>
  <c r="O241" i="3"/>
  <c r="U240" i="3"/>
  <c r="S240" i="3"/>
  <c r="R240" i="3"/>
  <c r="Q240" i="3"/>
  <c r="P240" i="3"/>
  <c r="O240" i="3"/>
  <c r="U239" i="3"/>
  <c r="S239" i="3"/>
  <c r="R239" i="3"/>
  <c r="Q239" i="3"/>
  <c r="P239" i="3"/>
  <c r="O239" i="3"/>
  <c r="U238" i="3"/>
  <c r="S238" i="3"/>
  <c r="R238" i="3"/>
  <c r="Q238" i="3"/>
  <c r="P238" i="3"/>
  <c r="O238" i="3"/>
  <c r="U237" i="3"/>
  <c r="S237" i="3"/>
  <c r="R237" i="3"/>
  <c r="Q237" i="3"/>
  <c r="P237" i="3"/>
  <c r="O237" i="3"/>
  <c r="U236" i="3"/>
  <c r="S236" i="3"/>
  <c r="R236" i="3"/>
  <c r="Q236" i="3"/>
  <c r="P236" i="3"/>
  <c r="O236" i="3"/>
  <c r="U235" i="3"/>
  <c r="S235" i="3"/>
  <c r="R235" i="3"/>
  <c r="Q235" i="3"/>
  <c r="P235" i="3"/>
  <c r="O235" i="3"/>
  <c r="U234" i="3"/>
  <c r="S234" i="3"/>
  <c r="R234" i="3"/>
  <c r="Q234" i="3"/>
  <c r="P234" i="3"/>
  <c r="O234" i="3"/>
  <c r="U233" i="3"/>
  <c r="S233" i="3"/>
  <c r="R233" i="3"/>
  <c r="Q233" i="3"/>
  <c r="P233" i="3"/>
  <c r="O233" i="3"/>
  <c r="U232" i="3"/>
  <c r="S232" i="3"/>
  <c r="R232" i="3"/>
  <c r="Q232" i="3"/>
  <c r="P232" i="3"/>
  <c r="O232" i="3"/>
  <c r="U231" i="3"/>
  <c r="S231" i="3"/>
  <c r="R231" i="3"/>
  <c r="Q231" i="3"/>
  <c r="P231" i="3"/>
  <c r="O231" i="3"/>
  <c r="U230" i="3"/>
  <c r="S230" i="3"/>
  <c r="R230" i="3"/>
  <c r="Q230" i="3"/>
  <c r="P230" i="3"/>
  <c r="O230" i="3"/>
  <c r="U229" i="3"/>
  <c r="S229" i="3"/>
  <c r="R229" i="3"/>
  <c r="Q229" i="3"/>
  <c r="P229" i="3"/>
  <c r="O229" i="3"/>
  <c r="U228" i="3"/>
  <c r="S228" i="3"/>
  <c r="R228" i="3"/>
  <c r="Q228" i="3"/>
  <c r="P228" i="3"/>
  <c r="O228" i="3"/>
  <c r="U227" i="3"/>
  <c r="S227" i="3"/>
  <c r="R227" i="3"/>
  <c r="Q227" i="3"/>
  <c r="P227" i="3"/>
  <c r="O227" i="3"/>
  <c r="U226" i="3"/>
  <c r="S226" i="3"/>
  <c r="R226" i="3"/>
  <c r="Q226" i="3"/>
  <c r="P226" i="3"/>
  <c r="O226" i="3"/>
  <c r="U225" i="3"/>
  <c r="S225" i="3"/>
  <c r="R225" i="3"/>
  <c r="Q225" i="3"/>
  <c r="P225" i="3"/>
  <c r="O225" i="3"/>
  <c r="U224" i="3"/>
  <c r="S224" i="3"/>
  <c r="R224" i="3"/>
  <c r="Q224" i="3"/>
  <c r="P224" i="3"/>
  <c r="O224" i="3"/>
  <c r="U223" i="3"/>
  <c r="S223" i="3"/>
  <c r="R223" i="3"/>
  <c r="Q223" i="3"/>
  <c r="P223" i="3"/>
  <c r="O223" i="3"/>
  <c r="U222" i="3"/>
  <c r="S222" i="3"/>
  <c r="R222" i="3"/>
  <c r="Q222" i="3"/>
  <c r="P222" i="3"/>
  <c r="O222" i="3"/>
  <c r="U221" i="3"/>
  <c r="S221" i="3"/>
  <c r="R221" i="3"/>
  <c r="Q221" i="3"/>
  <c r="P221" i="3"/>
  <c r="O221" i="3"/>
  <c r="U220" i="3"/>
  <c r="S220" i="3"/>
  <c r="R220" i="3"/>
  <c r="Q220" i="3"/>
  <c r="P220" i="3"/>
  <c r="O220" i="3"/>
  <c r="U219" i="3"/>
  <c r="S219" i="3"/>
  <c r="R219" i="3"/>
  <c r="Q219" i="3"/>
  <c r="P219" i="3"/>
  <c r="O219" i="3"/>
  <c r="U218" i="3"/>
  <c r="S218" i="3"/>
  <c r="R218" i="3"/>
  <c r="Q218" i="3"/>
  <c r="P218" i="3"/>
  <c r="O218" i="3"/>
  <c r="U217" i="3"/>
  <c r="S217" i="3"/>
  <c r="R217" i="3"/>
  <c r="Q217" i="3"/>
  <c r="P217" i="3"/>
  <c r="O217" i="3"/>
  <c r="U216" i="3"/>
  <c r="S216" i="3"/>
  <c r="R216" i="3"/>
  <c r="Q216" i="3"/>
  <c r="P216" i="3"/>
  <c r="O216" i="3"/>
  <c r="U215" i="3"/>
  <c r="S215" i="3"/>
  <c r="R215" i="3"/>
  <c r="Q215" i="3"/>
  <c r="P215" i="3"/>
  <c r="O215" i="3"/>
  <c r="U214" i="3"/>
  <c r="S214" i="3"/>
  <c r="R214" i="3"/>
  <c r="Q214" i="3"/>
  <c r="P214" i="3"/>
  <c r="O214" i="3"/>
  <c r="U213" i="3"/>
  <c r="S213" i="3"/>
  <c r="R213" i="3"/>
  <c r="Q213" i="3"/>
  <c r="P213" i="3"/>
  <c r="O213" i="3"/>
  <c r="U212" i="3"/>
  <c r="S212" i="3"/>
  <c r="R212" i="3"/>
  <c r="Q212" i="3"/>
  <c r="P212" i="3"/>
  <c r="O212" i="3"/>
  <c r="U211" i="3"/>
  <c r="S211" i="3"/>
  <c r="R211" i="3"/>
  <c r="Q211" i="3"/>
  <c r="P211" i="3"/>
  <c r="O211" i="3"/>
  <c r="U210" i="3"/>
  <c r="S210" i="3"/>
  <c r="R210" i="3"/>
  <c r="Q210" i="3"/>
  <c r="P210" i="3"/>
  <c r="O210" i="3"/>
  <c r="U209" i="3"/>
  <c r="S209" i="3"/>
  <c r="R209" i="3"/>
  <c r="Q209" i="3"/>
  <c r="P209" i="3"/>
  <c r="O209" i="3"/>
  <c r="U208" i="3"/>
  <c r="S208" i="3"/>
  <c r="R208" i="3"/>
  <c r="Q208" i="3"/>
  <c r="P208" i="3"/>
  <c r="O208" i="3"/>
  <c r="U207" i="3"/>
  <c r="S207" i="3"/>
  <c r="R207" i="3"/>
  <c r="Q207" i="3"/>
  <c r="P207" i="3"/>
  <c r="O207" i="3"/>
  <c r="U206" i="3"/>
  <c r="S206" i="3"/>
  <c r="R206" i="3"/>
  <c r="Q206" i="3"/>
  <c r="P206" i="3"/>
  <c r="O206" i="3"/>
  <c r="U205" i="3"/>
  <c r="S205" i="3"/>
  <c r="R205" i="3"/>
  <c r="Q205" i="3"/>
  <c r="P205" i="3"/>
  <c r="O205" i="3"/>
  <c r="U204" i="3"/>
  <c r="S204" i="3"/>
  <c r="R204" i="3"/>
  <c r="Q204" i="3"/>
  <c r="P204" i="3"/>
  <c r="O204" i="3"/>
  <c r="U203" i="3"/>
  <c r="S203" i="3"/>
  <c r="R203" i="3"/>
  <c r="Q203" i="3"/>
  <c r="P203" i="3"/>
  <c r="O203" i="3"/>
  <c r="U202" i="3"/>
  <c r="S202" i="3"/>
  <c r="R202" i="3"/>
  <c r="Q202" i="3"/>
  <c r="P202" i="3"/>
  <c r="O202" i="3"/>
  <c r="U201" i="3"/>
  <c r="S201" i="3"/>
  <c r="R201" i="3"/>
  <c r="Q201" i="3"/>
  <c r="P201" i="3"/>
  <c r="O201" i="3"/>
  <c r="U200" i="3"/>
  <c r="S200" i="3"/>
  <c r="R200" i="3"/>
  <c r="Q200" i="3"/>
  <c r="P200" i="3"/>
  <c r="O200" i="3"/>
  <c r="U199" i="3"/>
  <c r="S199" i="3"/>
  <c r="R199" i="3"/>
  <c r="Q199" i="3"/>
  <c r="P199" i="3"/>
  <c r="O199" i="3"/>
  <c r="U198" i="3"/>
  <c r="S198" i="3"/>
  <c r="R198" i="3"/>
  <c r="Q198" i="3"/>
  <c r="P198" i="3"/>
  <c r="O198" i="3"/>
  <c r="U197" i="3"/>
  <c r="S197" i="3"/>
  <c r="R197" i="3"/>
  <c r="Q197" i="3"/>
  <c r="P197" i="3"/>
  <c r="O197" i="3"/>
  <c r="U196" i="3"/>
  <c r="S196" i="3"/>
  <c r="R196" i="3"/>
  <c r="Q196" i="3"/>
  <c r="P196" i="3"/>
  <c r="O196" i="3"/>
  <c r="U195" i="3"/>
  <c r="S195" i="3"/>
  <c r="R195" i="3"/>
  <c r="Q195" i="3"/>
  <c r="P195" i="3"/>
  <c r="O195" i="3"/>
  <c r="U194" i="3"/>
  <c r="S194" i="3"/>
  <c r="R194" i="3"/>
  <c r="Q194" i="3"/>
  <c r="P194" i="3"/>
  <c r="O194" i="3"/>
  <c r="U193" i="3"/>
  <c r="S193" i="3"/>
  <c r="R193" i="3"/>
  <c r="Q193" i="3"/>
  <c r="P193" i="3"/>
  <c r="O193" i="3"/>
  <c r="U192" i="3"/>
  <c r="S192" i="3"/>
  <c r="R192" i="3"/>
  <c r="Q192" i="3"/>
  <c r="P192" i="3"/>
  <c r="O192" i="3"/>
  <c r="U191" i="3"/>
  <c r="S191" i="3"/>
  <c r="R191" i="3"/>
  <c r="Q191" i="3"/>
  <c r="P191" i="3"/>
  <c r="O191" i="3"/>
  <c r="U190" i="3"/>
  <c r="S190" i="3"/>
  <c r="R190" i="3"/>
  <c r="Q190" i="3"/>
  <c r="P190" i="3"/>
  <c r="O190" i="3"/>
  <c r="U189" i="3"/>
  <c r="S189" i="3"/>
  <c r="R189" i="3"/>
  <c r="Q189" i="3"/>
  <c r="P189" i="3"/>
  <c r="O189" i="3"/>
  <c r="U188" i="3"/>
  <c r="S188" i="3"/>
  <c r="R188" i="3"/>
  <c r="Q188" i="3"/>
  <c r="P188" i="3"/>
  <c r="O188" i="3"/>
  <c r="U187" i="3"/>
  <c r="S187" i="3"/>
  <c r="R187" i="3"/>
  <c r="Q187" i="3"/>
  <c r="P187" i="3"/>
  <c r="O187" i="3"/>
  <c r="U186" i="3"/>
  <c r="S186" i="3"/>
  <c r="R186" i="3"/>
  <c r="Q186" i="3"/>
  <c r="P186" i="3"/>
  <c r="O186" i="3"/>
  <c r="U185" i="3"/>
  <c r="S185" i="3"/>
  <c r="R185" i="3"/>
  <c r="Q185" i="3"/>
  <c r="P185" i="3"/>
  <c r="O185" i="3"/>
  <c r="U184" i="3"/>
  <c r="S184" i="3"/>
  <c r="R184" i="3"/>
  <c r="Q184" i="3"/>
  <c r="P184" i="3"/>
  <c r="O184" i="3"/>
  <c r="U183" i="3"/>
  <c r="S183" i="3"/>
  <c r="R183" i="3"/>
  <c r="Q183" i="3"/>
  <c r="P183" i="3"/>
  <c r="O183" i="3"/>
  <c r="U182" i="3"/>
  <c r="S182" i="3"/>
  <c r="R182" i="3"/>
  <c r="Q182" i="3"/>
  <c r="P182" i="3"/>
  <c r="O182" i="3"/>
  <c r="U181" i="3"/>
  <c r="S181" i="3"/>
  <c r="R181" i="3"/>
  <c r="Q181" i="3"/>
  <c r="P181" i="3"/>
  <c r="O181" i="3"/>
  <c r="U180" i="3"/>
  <c r="S180" i="3"/>
  <c r="R180" i="3"/>
  <c r="Q180" i="3"/>
  <c r="P180" i="3"/>
  <c r="O180" i="3"/>
  <c r="U179" i="3"/>
  <c r="S179" i="3"/>
  <c r="R179" i="3"/>
  <c r="Q179" i="3"/>
  <c r="P179" i="3"/>
  <c r="O179" i="3"/>
  <c r="U178" i="3"/>
  <c r="S178" i="3"/>
  <c r="R178" i="3"/>
  <c r="Q178" i="3"/>
  <c r="P178" i="3"/>
  <c r="O178" i="3"/>
  <c r="U177" i="3"/>
  <c r="S177" i="3"/>
  <c r="R177" i="3"/>
  <c r="Q177" i="3"/>
  <c r="P177" i="3"/>
  <c r="O177" i="3"/>
  <c r="U176" i="3"/>
  <c r="S176" i="3"/>
  <c r="R176" i="3"/>
  <c r="Q176" i="3"/>
  <c r="P176" i="3"/>
  <c r="O176" i="3"/>
  <c r="U175" i="3"/>
  <c r="S175" i="3"/>
  <c r="R175" i="3"/>
  <c r="Q175" i="3"/>
  <c r="P175" i="3"/>
  <c r="O175" i="3"/>
  <c r="U174" i="3"/>
  <c r="S174" i="3"/>
  <c r="R174" i="3"/>
  <c r="Q174" i="3"/>
  <c r="P174" i="3"/>
  <c r="O174" i="3"/>
  <c r="U173" i="3"/>
  <c r="S173" i="3"/>
  <c r="R173" i="3"/>
  <c r="Q173" i="3"/>
  <c r="P173" i="3"/>
  <c r="O173" i="3"/>
  <c r="U172" i="3"/>
  <c r="S172" i="3"/>
  <c r="R172" i="3"/>
  <c r="Q172" i="3"/>
  <c r="P172" i="3"/>
  <c r="O172" i="3"/>
  <c r="U171" i="3"/>
  <c r="S171" i="3"/>
  <c r="R171" i="3"/>
  <c r="Q171" i="3"/>
  <c r="P171" i="3"/>
  <c r="O171" i="3"/>
  <c r="U170" i="3"/>
  <c r="S170" i="3"/>
  <c r="R170" i="3"/>
  <c r="Q170" i="3"/>
  <c r="P170" i="3"/>
  <c r="O170" i="3"/>
  <c r="U169" i="3"/>
  <c r="S169" i="3"/>
  <c r="R169" i="3"/>
  <c r="Q169" i="3"/>
  <c r="P169" i="3"/>
  <c r="O169" i="3"/>
  <c r="U168" i="3"/>
  <c r="S168" i="3"/>
  <c r="R168" i="3"/>
  <c r="Q168" i="3"/>
  <c r="P168" i="3"/>
  <c r="O168" i="3"/>
  <c r="U167" i="3"/>
  <c r="S167" i="3"/>
  <c r="R167" i="3"/>
  <c r="Q167" i="3"/>
  <c r="P167" i="3"/>
  <c r="O167" i="3"/>
  <c r="U166" i="3"/>
  <c r="S166" i="3"/>
  <c r="R166" i="3"/>
  <c r="Q166" i="3"/>
  <c r="P166" i="3"/>
  <c r="O166" i="3"/>
  <c r="U165" i="3"/>
  <c r="S165" i="3"/>
  <c r="R165" i="3"/>
  <c r="Q165" i="3"/>
  <c r="P165" i="3"/>
  <c r="O165" i="3"/>
  <c r="U164" i="3"/>
  <c r="S164" i="3"/>
  <c r="R164" i="3"/>
  <c r="Q164" i="3"/>
  <c r="P164" i="3"/>
  <c r="O164" i="3"/>
  <c r="U163" i="3"/>
  <c r="S163" i="3"/>
  <c r="R163" i="3"/>
  <c r="Q163" i="3"/>
  <c r="P163" i="3"/>
  <c r="O163" i="3"/>
  <c r="U162" i="3"/>
  <c r="S162" i="3"/>
  <c r="R162" i="3"/>
  <c r="Q162" i="3"/>
  <c r="P162" i="3"/>
  <c r="O162" i="3"/>
  <c r="U161" i="3"/>
  <c r="S161" i="3"/>
  <c r="R161" i="3"/>
  <c r="Q161" i="3"/>
  <c r="P161" i="3"/>
  <c r="O161" i="3"/>
  <c r="U160" i="3"/>
  <c r="S160" i="3"/>
  <c r="R160" i="3"/>
  <c r="Q160" i="3"/>
  <c r="P160" i="3"/>
  <c r="O160" i="3"/>
  <c r="U159" i="3"/>
  <c r="S159" i="3"/>
  <c r="R159" i="3"/>
  <c r="Q159" i="3"/>
  <c r="P159" i="3"/>
  <c r="O159" i="3"/>
  <c r="U158" i="3"/>
  <c r="S158" i="3"/>
  <c r="R158" i="3"/>
  <c r="Q158" i="3"/>
  <c r="P158" i="3"/>
  <c r="O158" i="3"/>
  <c r="U157" i="3"/>
  <c r="S157" i="3"/>
  <c r="R157" i="3"/>
  <c r="Q157" i="3"/>
  <c r="P157" i="3"/>
  <c r="O157" i="3"/>
  <c r="U156" i="3"/>
  <c r="S156" i="3"/>
  <c r="R156" i="3"/>
  <c r="Q156" i="3"/>
  <c r="P156" i="3"/>
  <c r="O156" i="3"/>
  <c r="U155" i="3"/>
  <c r="S155" i="3"/>
  <c r="R155" i="3"/>
  <c r="Q155" i="3"/>
  <c r="P155" i="3"/>
  <c r="O155" i="3"/>
  <c r="U154" i="3"/>
  <c r="S154" i="3"/>
  <c r="R154" i="3"/>
  <c r="Q154" i="3"/>
  <c r="P154" i="3"/>
  <c r="O154" i="3"/>
  <c r="U153" i="3"/>
  <c r="S153" i="3"/>
  <c r="R153" i="3"/>
  <c r="Q153" i="3"/>
  <c r="P153" i="3"/>
  <c r="O153" i="3"/>
  <c r="U152" i="3"/>
  <c r="S152" i="3"/>
  <c r="R152" i="3"/>
  <c r="Q152" i="3"/>
  <c r="P152" i="3"/>
  <c r="O152" i="3"/>
  <c r="U151" i="3"/>
  <c r="S151" i="3"/>
  <c r="R151" i="3"/>
  <c r="Q151" i="3"/>
  <c r="P151" i="3"/>
  <c r="O151" i="3"/>
  <c r="U150" i="3"/>
  <c r="S150" i="3"/>
  <c r="R150" i="3"/>
  <c r="Q150" i="3"/>
  <c r="P150" i="3"/>
  <c r="O150" i="3"/>
  <c r="U149" i="3"/>
  <c r="S149" i="3"/>
  <c r="R149" i="3"/>
  <c r="Q149" i="3"/>
  <c r="P149" i="3"/>
  <c r="O149" i="3"/>
  <c r="U148" i="3"/>
  <c r="S148" i="3"/>
  <c r="R148" i="3"/>
  <c r="Q148" i="3"/>
  <c r="P148" i="3"/>
  <c r="O148" i="3"/>
  <c r="U147" i="3"/>
  <c r="S147" i="3"/>
  <c r="R147" i="3"/>
  <c r="Q147" i="3"/>
  <c r="P147" i="3"/>
  <c r="O147" i="3"/>
  <c r="U146" i="3"/>
  <c r="S146" i="3"/>
  <c r="R146" i="3"/>
  <c r="Q146" i="3"/>
  <c r="P146" i="3"/>
  <c r="O146" i="3"/>
  <c r="U145" i="3"/>
  <c r="S145" i="3"/>
  <c r="R145" i="3"/>
  <c r="Q145" i="3"/>
  <c r="P145" i="3"/>
  <c r="O145" i="3"/>
  <c r="U144" i="3"/>
  <c r="S144" i="3"/>
  <c r="R144" i="3"/>
  <c r="Q144" i="3"/>
  <c r="P144" i="3"/>
  <c r="O144" i="3"/>
  <c r="U143" i="3"/>
  <c r="S143" i="3"/>
  <c r="R143" i="3"/>
  <c r="Q143" i="3"/>
  <c r="P143" i="3"/>
  <c r="O143" i="3"/>
  <c r="U142" i="3"/>
  <c r="S142" i="3"/>
  <c r="R142" i="3"/>
  <c r="Q142" i="3"/>
  <c r="P142" i="3"/>
  <c r="O142" i="3"/>
  <c r="U141" i="3"/>
  <c r="S141" i="3"/>
  <c r="R141" i="3"/>
  <c r="Q141" i="3"/>
  <c r="P141" i="3"/>
  <c r="O141" i="3"/>
  <c r="U140" i="3"/>
  <c r="S140" i="3"/>
  <c r="R140" i="3"/>
  <c r="Q140" i="3"/>
  <c r="P140" i="3"/>
  <c r="O140" i="3"/>
  <c r="U139" i="3"/>
  <c r="S139" i="3"/>
  <c r="R139" i="3"/>
  <c r="Q139" i="3"/>
  <c r="P139" i="3"/>
  <c r="O139" i="3"/>
  <c r="U138" i="3"/>
  <c r="S138" i="3"/>
  <c r="R138" i="3"/>
  <c r="Q138" i="3"/>
  <c r="P138" i="3"/>
  <c r="O138" i="3"/>
  <c r="U137" i="3"/>
  <c r="S137" i="3"/>
  <c r="R137" i="3"/>
  <c r="Q137" i="3"/>
  <c r="P137" i="3"/>
  <c r="O137" i="3"/>
  <c r="U136" i="3"/>
  <c r="S136" i="3"/>
  <c r="R136" i="3"/>
  <c r="Q136" i="3"/>
  <c r="P136" i="3"/>
  <c r="O136" i="3"/>
  <c r="U135" i="3"/>
  <c r="S135" i="3"/>
  <c r="R135" i="3"/>
  <c r="Q135" i="3"/>
  <c r="P135" i="3"/>
  <c r="O135" i="3"/>
  <c r="U134" i="3"/>
  <c r="S134" i="3"/>
  <c r="R134" i="3"/>
  <c r="Q134" i="3"/>
  <c r="P134" i="3"/>
  <c r="O134" i="3"/>
  <c r="U133" i="3"/>
  <c r="S133" i="3"/>
  <c r="R133" i="3"/>
  <c r="Q133" i="3"/>
  <c r="P133" i="3"/>
  <c r="O133" i="3"/>
  <c r="U132" i="3"/>
  <c r="S132" i="3"/>
  <c r="R132" i="3"/>
  <c r="Q132" i="3"/>
  <c r="P132" i="3"/>
  <c r="O132" i="3"/>
  <c r="U131" i="3"/>
  <c r="S131" i="3"/>
  <c r="R131" i="3"/>
  <c r="Q131" i="3"/>
  <c r="P131" i="3"/>
  <c r="O131" i="3"/>
  <c r="U130" i="3"/>
  <c r="S130" i="3"/>
  <c r="R130" i="3"/>
  <c r="Q130" i="3"/>
  <c r="P130" i="3"/>
  <c r="O130" i="3"/>
  <c r="U129" i="3"/>
  <c r="S129" i="3"/>
  <c r="R129" i="3"/>
  <c r="Q129" i="3"/>
  <c r="P129" i="3"/>
  <c r="O129" i="3"/>
  <c r="U128" i="3"/>
  <c r="S128" i="3"/>
  <c r="R128" i="3"/>
  <c r="Q128" i="3"/>
  <c r="P128" i="3"/>
  <c r="O128" i="3"/>
  <c r="U127" i="3"/>
  <c r="S127" i="3"/>
  <c r="R127" i="3"/>
  <c r="Q127" i="3"/>
  <c r="P127" i="3"/>
  <c r="O127" i="3"/>
  <c r="U126" i="3"/>
  <c r="S126" i="3"/>
  <c r="R126" i="3"/>
  <c r="Q126" i="3"/>
  <c r="P126" i="3"/>
  <c r="O126" i="3"/>
  <c r="U125" i="3"/>
  <c r="S125" i="3"/>
  <c r="R125" i="3"/>
  <c r="Q125" i="3"/>
  <c r="P125" i="3"/>
  <c r="O125" i="3"/>
  <c r="U124" i="3"/>
  <c r="S124" i="3"/>
  <c r="R124" i="3"/>
  <c r="Q124" i="3"/>
  <c r="P124" i="3"/>
  <c r="O124" i="3"/>
  <c r="U123" i="3"/>
  <c r="S123" i="3"/>
  <c r="R123" i="3"/>
  <c r="Q123" i="3"/>
  <c r="P123" i="3"/>
  <c r="O123" i="3"/>
  <c r="U122" i="3"/>
  <c r="S122" i="3"/>
  <c r="R122" i="3"/>
  <c r="Q122" i="3"/>
  <c r="P122" i="3"/>
  <c r="O122" i="3"/>
  <c r="U121" i="3"/>
  <c r="S121" i="3"/>
  <c r="R121" i="3"/>
  <c r="Q121" i="3"/>
  <c r="P121" i="3"/>
  <c r="O121" i="3"/>
  <c r="U120" i="3"/>
  <c r="S120" i="3"/>
  <c r="R120" i="3"/>
  <c r="Q120" i="3"/>
  <c r="P120" i="3"/>
  <c r="O120" i="3"/>
  <c r="U119" i="3"/>
  <c r="S119" i="3"/>
  <c r="R119" i="3"/>
  <c r="Q119" i="3"/>
  <c r="P119" i="3"/>
  <c r="O119" i="3"/>
  <c r="U118" i="3"/>
  <c r="S118" i="3"/>
  <c r="R118" i="3"/>
  <c r="Q118" i="3"/>
  <c r="P118" i="3"/>
  <c r="O118" i="3"/>
  <c r="U117" i="3"/>
  <c r="S117" i="3"/>
  <c r="R117" i="3"/>
  <c r="Q117" i="3"/>
  <c r="P117" i="3"/>
  <c r="O117" i="3"/>
  <c r="U116" i="3"/>
  <c r="S116" i="3"/>
  <c r="R116" i="3"/>
  <c r="Q116" i="3"/>
  <c r="P116" i="3"/>
  <c r="O116" i="3"/>
  <c r="U115" i="3"/>
  <c r="S115" i="3"/>
  <c r="R115" i="3"/>
  <c r="Q115" i="3"/>
  <c r="P115" i="3"/>
  <c r="O115" i="3"/>
  <c r="U114" i="3"/>
  <c r="S114" i="3"/>
  <c r="R114" i="3"/>
  <c r="Q114" i="3"/>
  <c r="P114" i="3"/>
  <c r="O114" i="3"/>
  <c r="U113" i="3"/>
  <c r="S113" i="3"/>
  <c r="R113" i="3"/>
  <c r="Q113" i="3"/>
  <c r="P113" i="3"/>
  <c r="O113" i="3"/>
  <c r="U112" i="3"/>
  <c r="S112" i="3"/>
  <c r="R112" i="3"/>
  <c r="Q112" i="3"/>
  <c r="P112" i="3"/>
  <c r="O112" i="3"/>
  <c r="U111" i="3"/>
  <c r="S111" i="3"/>
  <c r="R111" i="3"/>
  <c r="Q111" i="3"/>
  <c r="P111" i="3"/>
  <c r="O111" i="3"/>
  <c r="U110" i="3"/>
  <c r="S110" i="3"/>
  <c r="R110" i="3"/>
  <c r="Q110" i="3"/>
  <c r="P110" i="3"/>
  <c r="O110" i="3"/>
  <c r="U109" i="3"/>
  <c r="S109" i="3"/>
  <c r="R109" i="3"/>
  <c r="Q109" i="3"/>
  <c r="P109" i="3"/>
  <c r="O109" i="3"/>
  <c r="U108" i="3"/>
  <c r="S108" i="3"/>
  <c r="R108" i="3"/>
  <c r="Q108" i="3"/>
  <c r="P108" i="3"/>
  <c r="O108" i="3"/>
  <c r="U107" i="3"/>
  <c r="S107" i="3"/>
  <c r="R107" i="3"/>
  <c r="Q107" i="3"/>
  <c r="P107" i="3"/>
  <c r="O107" i="3"/>
  <c r="U106" i="3"/>
  <c r="S106" i="3"/>
  <c r="R106" i="3"/>
  <c r="Q106" i="3"/>
  <c r="P106" i="3"/>
  <c r="O106" i="3"/>
  <c r="U105" i="3"/>
  <c r="S105" i="3"/>
  <c r="R105" i="3"/>
  <c r="Q105" i="3"/>
  <c r="P105" i="3"/>
  <c r="O105" i="3"/>
  <c r="U104" i="3"/>
  <c r="S104" i="3"/>
  <c r="R104" i="3"/>
  <c r="Q104" i="3"/>
  <c r="P104" i="3"/>
  <c r="O104" i="3"/>
  <c r="U103" i="3"/>
  <c r="S103" i="3"/>
  <c r="R103" i="3"/>
  <c r="Q103" i="3"/>
  <c r="P103" i="3"/>
  <c r="O103" i="3"/>
  <c r="U102" i="3"/>
  <c r="S102" i="3"/>
  <c r="R102" i="3"/>
  <c r="Q102" i="3"/>
  <c r="P102" i="3"/>
  <c r="O102" i="3"/>
  <c r="U101" i="3"/>
  <c r="S101" i="3"/>
  <c r="R101" i="3"/>
  <c r="Q101" i="3"/>
  <c r="P101" i="3"/>
  <c r="O101" i="3"/>
  <c r="U100" i="3"/>
  <c r="S100" i="3"/>
  <c r="R100" i="3"/>
  <c r="Q100" i="3"/>
  <c r="P100" i="3"/>
  <c r="O100" i="3"/>
  <c r="U99" i="3"/>
  <c r="S99" i="3"/>
  <c r="R99" i="3"/>
  <c r="Q99" i="3"/>
  <c r="P99" i="3"/>
  <c r="O99" i="3"/>
  <c r="U98" i="3"/>
  <c r="S98" i="3"/>
  <c r="R98" i="3"/>
  <c r="Q98" i="3"/>
  <c r="P98" i="3"/>
  <c r="O98" i="3"/>
  <c r="U97" i="3"/>
  <c r="S97" i="3"/>
  <c r="R97" i="3"/>
  <c r="Q97" i="3"/>
  <c r="P97" i="3"/>
  <c r="O97" i="3"/>
  <c r="U96" i="3"/>
  <c r="S96" i="3"/>
  <c r="R96" i="3"/>
  <c r="Q96" i="3"/>
  <c r="P96" i="3"/>
  <c r="O96" i="3"/>
  <c r="U95" i="3"/>
  <c r="S95" i="3"/>
  <c r="R95" i="3"/>
  <c r="Q95" i="3"/>
  <c r="P95" i="3"/>
  <c r="O95" i="3"/>
  <c r="U94" i="3"/>
  <c r="S94" i="3"/>
  <c r="R94" i="3"/>
  <c r="Q94" i="3"/>
  <c r="P94" i="3"/>
  <c r="O94" i="3"/>
  <c r="U93" i="3"/>
  <c r="S93" i="3"/>
  <c r="R93" i="3"/>
  <c r="Q93" i="3"/>
  <c r="P93" i="3"/>
  <c r="O93" i="3"/>
  <c r="U92" i="3"/>
  <c r="S92" i="3"/>
  <c r="R92" i="3"/>
  <c r="Q92" i="3"/>
  <c r="P92" i="3"/>
  <c r="O92" i="3"/>
  <c r="U91" i="3"/>
  <c r="S91" i="3"/>
  <c r="R91" i="3"/>
  <c r="Q91" i="3"/>
  <c r="P91" i="3"/>
  <c r="O91" i="3"/>
  <c r="U90" i="3"/>
  <c r="S90" i="3"/>
  <c r="R90" i="3"/>
  <c r="Q90" i="3"/>
  <c r="P90" i="3"/>
  <c r="O90" i="3"/>
  <c r="U89" i="3"/>
  <c r="S89" i="3"/>
  <c r="R89" i="3"/>
  <c r="Q89" i="3"/>
  <c r="P89" i="3"/>
  <c r="O89" i="3"/>
  <c r="U88" i="3"/>
  <c r="S88" i="3"/>
  <c r="R88" i="3"/>
  <c r="Q88" i="3"/>
  <c r="P88" i="3"/>
  <c r="O88" i="3"/>
  <c r="U87" i="3"/>
  <c r="S87" i="3"/>
  <c r="R87" i="3"/>
  <c r="Q87" i="3"/>
  <c r="P87" i="3"/>
  <c r="O87" i="3"/>
  <c r="U86" i="3"/>
  <c r="S86" i="3"/>
  <c r="R86" i="3"/>
  <c r="Q86" i="3"/>
  <c r="P86" i="3"/>
  <c r="O86" i="3"/>
  <c r="U85" i="3"/>
  <c r="S85" i="3"/>
  <c r="R85" i="3"/>
  <c r="Q85" i="3"/>
  <c r="P85" i="3"/>
  <c r="O85" i="3"/>
  <c r="U84" i="3"/>
  <c r="S84" i="3"/>
  <c r="R84" i="3"/>
  <c r="Q84" i="3"/>
  <c r="P84" i="3"/>
  <c r="O84" i="3"/>
  <c r="U83" i="3"/>
  <c r="S83" i="3"/>
  <c r="R83" i="3"/>
  <c r="Q83" i="3"/>
  <c r="P83" i="3"/>
  <c r="O83" i="3"/>
  <c r="U82" i="3"/>
  <c r="S82" i="3"/>
  <c r="R82" i="3"/>
  <c r="Q82" i="3"/>
  <c r="P82" i="3"/>
  <c r="O82" i="3"/>
  <c r="U81" i="3"/>
  <c r="S81" i="3"/>
  <c r="R81" i="3"/>
  <c r="Q81" i="3"/>
  <c r="P81" i="3"/>
  <c r="O81" i="3"/>
  <c r="U80" i="3"/>
  <c r="S80" i="3"/>
  <c r="R80" i="3"/>
  <c r="Q80" i="3"/>
  <c r="P80" i="3"/>
  <c r="O80" i="3"/>
  <c r="U79" i="3"/>
  <c r="S79" i="3"/>
  <c r="R79" i="3"/>
  <c r="Q79" i="3"/>
  <c r="P79" i="3"/>
  <c r="O79" i="3"/>
  <c r="U78" i="3"/>
  <c r="S78" i="3"/>
  <c r="R78" i="3"/>
  <c r="Q78" i="3"/>
  <c r="P78" i="3"/>
  <c r="O78" i="3"/>
  <c r="U77" i="3"/>
  <c r="S77" i="3"/>
  <c r="R77" i="3"/>
  <c r="Q77" i="3"/>
  <c r="P77" i="3"/>
  <c r="O77" i="3"/>
  <c r="U76" i="3"/>
  <c r="S76" i="3"/>
  <c r="R76" i="3"/>
  <c r="Q76" i="3"/>
  <c r="P76" i="3"/>
  <c r="O76" i="3"/>
  <c r="U75" i="3"/>
  <c r="S75" i="3"/>
  <c r="R75" i="3"/>
  <c r="Q75" i="3"/>
  <c r="P75" i="3"/>
  <c r="O75" i="3"/>
  <c r="U74" i="3"/>
  <c r="S74" i="3"/>
  <c r="R74" i="3"/>
  <c r="Q74" i="3"/>
  <c r="P74" i="3"/>
  <c r="O74" i="3"/>
  <c r="U73" i="3"/>
  <c r="S73" i="3"/>
  <c r="R73" i="3"/>
  <c r="Q73" i="3"/>
  <c r="P73" i="3"/>
  <c r="O73" i="3"/>
  <c r="U72" i="3"/>
  <c r="S72" i="3"/>
  <c r="R72" i="3"/>
  <c r="Q72" i="3"/>
  <c r="P72" i="3"/>
  <c r="O72" i="3"/>
  <c r="U71" i="3"/>
  <c r="S71" i="3"/>
  <c r="R71" i="3"/>
  <c r="Q71" i="3"/>
  <c r="P71" i="3"/>
  <c r="O71" i="3"/>
  <c r="U70" i="3"/>
  <c r="S70" i="3"/>
  <c r="R70" i="3"/>
  <c r="Q70" i="3"/>
  <c r="P70" i="3"/>
  <c r="O70" i="3"/>
  <c r="U69" i="3"/>
  <c r="S69" i="3"/>
  <c r="R69" i="3"/>
  <c r="Q69" i="3"/>
  <c r="P69" i="3"/>
  <c r="O69" i="3"/>
  <c r="U68" i="3"/>
  <c r="S68" i="3"/>
  <c r="R68" i="3"/>
  <c r="Q68" i="3"/>
  <c r="P68" i="3"/>
  <c r="O68" i="3"/>
  <c r="U67" i="3"/>
  <c r="S67" i="3"/>
  <c r="R67" i="3"/>
  <c r="Q67" i="3"/>
  <c r="P67" i="3"/>
  <c r="O67" i="3"/>
  <c r="U66" i="3"/>
  <c r="S66" i="3"/>
  <c r="R66" i="3"/>
  <c r="Q66" i="3"/>
  <c r="P66" i="3"/>
  <c r="O66" i="3"/>
  <c r="U65" i="3"/>
  <c r="S65" i="3"/>
  <c r="R65" i="3"/>
  <c r="Q65" i="3"/>
  <c r="P65" i="3"/>
  <c r="O65" i="3"/>
  <c r="U64" i="3"/>
  <c r="S64" i="3"/>
  <c r="R64" i="3"/>
  <c r="Q64" i="3"/>
  <c r="P64" i="3"/>
  <c r="O64" i="3"/>
  <c r="U63" i="3"/>
  <c r="S63" i="3"/>
  <c r="R63" i="3"/>
  <c r="Q63" i="3"/>
  <c r="P63" i="3"/>
  <c r="O63" i="3"/>
  <c r="U62" i="3"/>
  <c r="S62" i="3"/>
  <c r="R62" i="3"/>
  <c r="Q62" i="3"/>
  <c r="P62" i="3"/>
  <c r="O62" i="3"/>
  <c r="U61" i="3"/>
  <c r="S61" i="3"/>
  <c r="R61" i="3"/>
  <c r="Q61" i="3"/>
  <c r="P61" i="3"/>
  <c r="O61" i="3"/>
  <c r="U60" i="3"/>
  <c r="S60" i="3"/>
  <c r="R60" i="3"/>
  <c r="Q60" i="3"/>
  <c r="P60" i="3"/>
  <c r="O60" i="3"/>
  <c r="U59" i="3"/>
  <c r="S59" i="3"/>
  <c r="R59" i="3"/>
  <c r="Q59" i="3"/>
  <c r="P59" i="3"/>
  <c r="O59" i="3"/>
  <c r="U58" i="3"/>
  <c r="S58" i="3"/>
  <c r="R58" i="3"/>
  <c r="Q58" i="3"/>
  <c r="P58" i="3"/>
  <c r="O58" i="3"/>
  <c r="U57" i="3"/>
  <c r="S57" i="3"/>
  <c r="R57" i="3"/>
  <c r="Q57" i="3"/>
  <c r="P57" i="3"/>
  <c r="O57" i="3"/>
  <c r="U56" i="3"/>
  <c r="S56" i="3"/>
  <c r="R56" i="3"/>
  <c r="Q56" i="3"/>
  <c r="P56" i="3"/>
  <c r="O56" i="3"/>
  <c r="U55" i="3"/>
  <c r="S55" i="3"/>
  <c r="R55" i="3"/>
  <c r="Q55" i="3"/>
  <c r="P55" i="3"/>
  <c r="O55" i="3"/>
  <c r="U54" i="3"/>
  <c r="S54" i="3"/>
  <c r="R54" i="3"/>
  <c r="Q54" i="3"/>
  <c r="P54" i="3"/>
  <c r="O54" i="3"/>
  <c r="U53" i="3"/>
  <c r="S53" i="3"/>
  <c r="R53" i="3"/>
  <c r="Q53" i="3"/>
  <c r="P53" i="3"/>
  <c r="O53" i="3"/>
  <c r="U52" i="3"/>
  <c r="S52" i="3"/>
  <c r="R52" i="3"/>
  <c r="Q52" i="3"/>
  <c r="P52" i="3"/>
  <c r="O52" i="3"/>
  <c r="U51" i="3"/>
  <c r="S51" i="3"/>
  <c r="R51" i="3"/>
  <c r="Q51" i="3"/>
  <c r="P51" i="3"/>
  <c r="O51" i="3"/>
  <c r="U50" i="3"/>
  <c r="S50" i="3"/>
  <c r="R50" i="3"/>
  <c r="Q50" i="3"/>
  <c r="P50" i="3"/>
  <c r="O50" i="3"/>
  <c r="U49" i="3"/>
  <c r="S49" i="3"/>
  <c r="R49" i="3"/>
  <c r="Q49" i="3"/>
  <c r="P49" i="3"/>
  <c r="O49" i="3"/>
  <c r="U48" i="3"/>
  <c r="S48" i="3"/>
  <c r="R48" i="3"/>
  <c r="Q48" i="3"/>
  <c r="P48" i="3"/>
  <c r="O48" i="3"/>
  <c r="U47" i="3"/>
  <c r="S47" i="3"/>
  <c r="R47" i="3"/>
  <c r="Q47" i="3"/>
  <c r="P47" i="3"/>
  <c r="O47" i="3"/>
  <c r="U46" i="3"/>
  <c r="S46" i="3"/>
  <c r="R46" i="3"/>
  <c r="Q46" i="3"/>
  <c r="P46" i="3"/>
  <c r="O46" i="3"/>
  <c r="U45" i="3"/>
  <c r="S45" i="3"/>
  <c r="R45" i="3"/>
  <c r="Q45" i="3"/>
  <c r="P45" i="3"/>
  <c r="O45" i="3"/>
  <c r="U44" i="3"/>
  <c r="T44" i="3"/>
  <c r="S44" i="3"/>
  <c r="R44" i="3"/>
  <c r="Q44" i="3"/>
  <c r="P44" i="3"/>
  <c r="O44" i="3"/>
  <c r="U43" i="3"/>
  <c r="S43" i="3"/>
  <c r="R43" i="3"/>
  <c r="Q43" i="3"/>
  <c r="P43" i="3"/>
  <c r="O43" i="3"/>
  <c r="U42" i="3"/>
  <c r="T42" i="3"/>
  <c r="S42" i="3"/>
  <c r="R42" i="3"/>
  <c r="Q42" i="3"/>
  <c r="P42" i="3"/>
  <c r="O42" i="3"/>
  <c r="U41" i="3"/>
  <c r="T41" i="3"/>
  <c r="S41" i="3"/>
  <c r="R41" i="3"/>
  <c r="Q41" i="3"/>
  <c r="P41" i="3"/>
  <c r="O41" i="3"/>
  <c r="U40" i="3"/>
  <c r="T40" i="3"/>
  <c r="S40" i="3"/>
  <c r="R40" i="3"/>
  <c r="Q40" i="3"/>
  <c r="P40" i="3"/>
  <c r="O40" i="3"/>
  <c r="U39" i="3"/>
  <c r="S39" i="3"/>
  <c r="R39" i="3"/>
  <c r="Q39" i="3"/>
  <c r="P39" i="3"/>
  <c r="O39" i="3"/>
  <c r="U38" i="3"/>
  <c r="T38" i="3"/>
  <c r="S38" i="3"/>
  <c r="R38" i="3"/>
  <c r="Q38" i="3"/>
  <c r="P38" i="3"/>
  <c r="O38" i="3"/>
  <c r="U37" i="3"/>
  <c r="S37" i="3"/>
  <c r="R37" i="3"/>
  <c r="Q37" i="3"/>
  <c r="P37" i="3"/>
  <c r="O37" i="3"/>
  <c r="U36" i="3"/>
  <c r="T36" i="3"/>
  <c r="S36" i="3"/>
  <c r="R36" i="3"/>
  <c r="Q36" i="3"/>
  <c r="P36" i="3"/>
  <c r="O36" i="3"/>
  <c r="U35" i="3"/>
  <c r="S35" i="3"/>
  <c r="R35" i="3"/>
  <c r="Q35" i="3"/>
  <c r="P35" i="3"/>
  <c r="O35" i="3"/>
  <c r="U34" i="3"/>
  <c r="S34" i="3"/>
  <c r="R34" i="3"/>
  <c r="Q34" i="3"/>
  <c r="P34" i="3"/>
  <c r="O34" i="3"/>
  <c r="U33" i="3"/>
  <c r="S33" i="3"/>
  <c r="R33" i="3"/>
  <c r="Q33" i="3"/>
  <c r="P33" i="3"/>
  <c r="O33" i="3"/>
  <c r="U32" i="3"/>
  <c r="T32" i="3"/>
  <c r="S32" i="3"/>
  <c r="R32" i="3"/>
  <c r="Q32" i="3"/>
  <c r="P32" i="3"/>
  <c r="O32" i="3"/>
  <c r="U31" i="3"/>
  <c r="T31" i="3"/>
  <c r="S31" i="3"/>
  <c r="R31" i="3"/>
  <c r="Q31" i="3"/>
  <c r="P31" i="3"/>
  <c r="O31" i="3"/>
  <c r="U30" i="3"/>
  <c r="T30" i="3"/>
  <c r="S30" i="3"/>
  <c r="R30" i="3"/>
  <c r="Q30" i="3"/>
  <c r="P30" i="3"/>
  <c r="O30" i="3"/>
  <c r="U29" i="3"/>
  <c r="T29" i="3"/>
  <c r="S29" i="3"/>
  <c r="R29" i="3"/>
  <c r="Q29" i="3"/>
  <c r="P29" i="3"/>
  <c r="O29" i="3"/>
  <c r="U28" i="3"/>
  <c r="T28" i="3"/>
  <c r="S28" i="3"/>
  <c r="R28" i="3"/>
  <c r="Q28" i="3"/>
  <c r="P28" i="3"/>
  <c r="O28" i="3"/>
  <c r="U27" i="3"/>
  <c r="S27" i="3"/>
  <c r="R27" i="3"/>
  <c r="Q27" i="3"/>
  <c r="P27" i="3"/>
  <c r="O27" i="3"/>
  <c r="U26" i="3"/>
  <c r="T26" i="3"/>
  <c r="S26" i="3"/>
  <c r="R26" i="3"/>
  <c r="Q26" i="3"/>
  <c r="P26" i="3"/>
  <c r="O26" i="3"/>
  <c r="U25" i="3"/>
  <c r="T25" i="3"/>
  <c r="S25" i="3"/>
  <c r="R25" i="3"/>
  <c r="Q25" i="3"/>
  <c r="P25" i="3"/>
  <c r="O25" i="3"/>
  <c r="U24" i="3"/>
  <c r="T24" i="3"/>
  <c r="S24" i="3"/>
  <c r="R24" i="3"/>
  <c r="Q24" i="3"/>
  <c r="P24" i="3"/>
  <c r="O24" i="3"/>
  <c r="U23" i="3"/>
  <c r="T23" i="3"/>
  <c r="S23" i="3"/>
  <c r="R23" i="3"/>
  <c r="Q23" i="3"/>
  <c r="P23" i="3"/>
  <c r="O23" i="3"/>
  <c r="U22" i="3"/>
  <c r="T22" i="3"/>
  <c r="S22" i="3"/>
  <c r="R22" i="3"/>
  <c r="Q22" i="3"/>
  <c r="P22" i="3"/>
  <c r="O22" i="3"/>
  <c r="U21" i="3"/>
  <c r="T21" i="3"/>
  <c r="S21" i="3"/>
  <c r="R21" i="3"/>
  <c r="Q21" i="3"/>
  <c r="P21" i="3"/>
  <c r="O21" i="3"/>
  <c r="U20" i="3"/>
  <c r="S20" i="3"/>
  <c r="R20" i="3"/>
  <c r="Q20" i="3"/>
  <c r="P20" i="3"/>
  <c r="O20" i="3"/>
  <c r="U19" i="3"/>
  <c r="T19" i="3"/>
  <c r="S19" i="3"/>
  <c r="R19" i="3"/>
  <c r="Q19" i="3"/>
  <c r="P19" i="3"/>
  <c r="O19" i="3"/>
  <c r="U18" i="3"/>
  <c r="S18" i="3"/>
  <c r="R18" i="3"/>
  <c r="Q18" i="3"/>
  <c r="P18" i="3"/>
  <c r="O18" i="3"/>
  <c r="U17" i="3"/>
  <c r="S17" i="3"/>
  <c r="R17" i="3"/>
  <c r="Q17" i="3"/>
  <c r="P17" i="3"/>
  <c r="O17" i="3"/>
  <c r="U16" i="3"/>
  <c r="S16" i="3"/>
  <c r="R16" i="3"/>
  <c r="Q16" i="3"/>
  <c r="P16" i="3"/>
  <c r="O16" i="3"/>
  <c r="U15" i="3"/>
  <c r="T15" i="3"/>
  <c r="S15" i="3"/>
  <c r="R15" i="3"/>
  <c r="Q15" i="3"/>
  <c r="P15" i="3"/>
  <c r="O15" i="3"/>
  <c r="U14" i="3"/>
  <c r="T14" i="3"/>
  <c r="S14" i="3"/>
  <c r="R14" i="3"/>
  <c r="Q14" i="3"/>
  <c r="P14" i="3"/>
  <c r="O14" i="3"/>
  <c r="U13" i="3"/>
  <c r="T13" i="3"/>
  <c r="S13" i="3"/>
  <c r="R13" i="3"/>
  <c r="Q13" i="3"/>
  <c r="P13" i="3"/>
  <c r="O13" i="3"/>
  <c r="U12" i="3"/>
  <c r="T12" i="3"/>
  <c r="S12" i="3"/>
  <c r="R12" i="3"/>
  <c r="Q12" i="3"/>
  <c r="P12" i="3"/>
  <c r="O12" i="3"/>
  <c r="U11" i="3"/>
  <c r="T11" i="3"/>
  <c r="S11" i="3"/>
  <c r="R11" i="3"/>
  <c r="Q11" i="3"/>
  <c r="P11" i="3"/>
  <c r="O11" i="3"/>
  <c r="U10" i="3"/>
  <c r="T10" i="3"/>
  <c r="S10" i="3"/>
  <c r="R10" i="3"/>
  <c r="Q10" i="3"/>
  <c r="P10" i="3"/>
  <c r="O10" i="3"/>
  <c r="U9" i="3"/>
  <c r="T9" i="3"/>
  <c r="S9" i="3"/>
  <c r="R9" i="3"/>
  <c r="Q9" i="3"/>
  <c r="P9" i="3"/>
  <c r="O9" i="3"/>
  <c r="U8" i="3"/>
  <c r="T8" i="3"/>
  <c r="S8" i="3"/>
  <c r="R8" i="3"/>
  <c r="Q8" i="3"/>
  <c r="P8" i="3"/>
  <c r="O8" i="3"/>
  <c r="U7" i="3"/>
  <c r="T7" i="3"/>
  <c r="S7" i="3"/>
  <c r="R7" i="3"/>
  <c r="Q7" i="3"/>
  <c r="P7" i="3"/>
  <c r="O7" i="3"/>
  <c r="U6" i="3"/>
  <c r="T6" i="3"/>
  <c r="S6" i="3"/>
  <c r="R6" i="3"/>
  <c r="Q6" i="3"/>
  <c r="P6" i="3"/>
  <c r="O6" i="3"/>
  <c r="U5" i="3"/>
  <c r="T5" i="3"/>
  <c r="S5" i="3"/>
  <c r="R5" i="3"/>
  <c r="Q5" i="3"/>
  <c r="P5" i="3"/>
  <c r="O5" i="3"/>
  <c r="U4" i="3"/>
  <c r="T4" i="3"/>
  <c r="S4" i="3"/>
  <c r="R4" i="3"/>
  <c r="Q4" i="3"/>
  <c r="P4" i="3"/>
  <c r="O4" i="3"/>
  <c r="U3" i="3"/>
  <c r="T3" i="3"/>
  <c r="S3" i="3"/>
  <c r="R3" i="3"/>
  <c r="Q3" i="3"/>
  <c r="P3" i="3"/>
  <c r="O3" i="3"/>
  <c r="U2" i="3"/>
  <c r="T2" i="3"/>
  <c r="S2" i="3"/>
  <c r="R2" i="3"/>
  <c r="Q2" i="3"/>
  <c r="P2" i="3"/>
  <c r="O2" i="3"/>
  <c r="H115" i="2"/>
  <c r="I115" i="2"/>
  <c r="G115" i="2"/>
  <c r="H114" i="2"/>
  <c r="I114" i="2"/>
  <c r="G114" i="2"/>
  <c r="H113" i="2"/>
  <c r="I113" i="2"/>
  <c r="G113" i="2"/>
  <c r="H112" i="2"/>
  <c r="I112" i="2"/>
  <c r="G112" i="2"/>
  <c r="H111" i="2"/>
  <c r="I111" i="2"/>
  <c r="G111" i="2"/>
  <c r="H110" i="2"/>
  <c r="I110" i="2"/>
  <c r="G110" i="2"/>
  <c r="H109" i="2"/>
  <c r="I109" i="2"/>
  <c r="G109" i="2"/>
  <c r="H108" i="2"/>
  <c r="I108" i="2"/>
  <c r="G108" i="2"/>
  <c r="G106" i="2"/>
  <c r="G107" i="2"/>
  <c r="B108" i="2"/>
  <c r="H107" i="2"/>
  <c r="I107" i="2"/>
  <c r="H106" i="2"/>
  <c r="I106" i="2"/>
  <c r="H105" i="2"/>
  <c r="I105" i="2"/>
  <c r="G105" i="2"/>
  <c r="H104" i="2"/>
  <c r="I104" i="2"/>
  <c r="G104" i="2"/>
  <c r="H103" i="2"/>
  <c r="I103" i="2"/>
  <c r="G103" i="2"/>
  <c r="H102" i="2"/>
  <c r="I102" i="2"/>
  <c r="G102" i="2"/>
  <c r="H101" i="2"/>
  <c r="I101" i="2"/>
  <c r="G101" i="2"/>
  <c r="H100" i="2"/>
  <c r="I100" i="2"/>
  <c r="G100" i="2"/>
  <c r="H99" i="2"/>
  <c r="I99" i="2"/>
  <c r="G99" i="2"/>
  <c r="H98" i="2"/>
  <c r="I98" i="2"/>
  <c r="G98" i="2"/>
  <c r="G94" i="2"/>
  <c r="B98" i="2"/>
  <c r="H97" i="2"/>
  <c r="I97" i="2"/>
  <c r="G97" i="2"/>
  <c r="H96" i="2"/>
  <c r="I96" i="2"/>
  <c r="G96" i="2"/>
  <c r="H95" i="2"/>
  <c r="I95" i="2"/>
  <c r="G95" i="2"/>
  <c r="G93" i="2"/>
  <c r="B95" i="2"/>
  <c r="H94" i="2"/>
  <c r="I94" i="2"/>
  <c r="H93" i="2"/>
  <c r="I93" i="2"/>
  <c r="H92" i="2"/>
  <c r="I92" i="2"/>
  <c r="G92" i="2"/>
  <c r="H91" i="2"/>
  <c r="I91" i="2"/>
  <c r="G91" i="2"/>
  <c r="H90" i="2"/>
  <c r="I90" i="2"/>
  <c r="G90" i="2"/>
  <c r="H89" i="2"/>
  <c r="I89" i="2"/>
  <c r="G89" i="2"/>
  <c r="H88" i="2"/>
  <c r="I88" i="2"/>
  <c r="G88" i="2"/>
  <c r="H87" i="2"/>
  <c r="I87" i="2"/>
  <c r="G87" i="2"/>
  <c r="H86" i="2"/>
  <c r="I86" i="2"/>
  <c r="G86" i="2"/>
  <c r="H85" i="2"/>
  <c r="I85" i="2"/>
  <c r="G85" i="2"/>
  <c r="H84" i="2"/>
  <c r="I84" i="2"/>
  <c r="G84" i="2"/>
  <c r="H83" i="2"/>
  <c r="I83" i="2"/>
  <c r="G83" i="2"/>
  <c r="H82" i="2"/>
  <c r="I82" i="2"/>
  <c r="G82" i="2"/>
  <c r="H81" i="2"/>
  <c r="I81" i="2"/>
  <c r="G81" i="2"/>
  <c r="H80" i="2"/>
  <c r="I80" i="2"/>
  <c r="G80" i="2"/>
  <c r="H79" i="2"/>
  <c r="I79" i="2"/>
  <c r="G79" i="2"/>
  <c r="G75" i="2"/>
  <c r="B79" i="2"/>
  <c r="H78" i="2"/>
  <c r="I78" i="2"/>
  <c r="G78" i="2"/>
  <c r="H77" i="2"/>
  <c r="I77" i="2"/>
  <c r="G77" i="2"/>
  <c r="H76" i="2"/>
  <c r="I76" i="2"/>
  <c r="G76" i="2"/>
  <c r="G74" i="2"/>
  <c r="B76" i="2"/>
  <c r="H75" i="2"/>
  <c r="I75" i="2"/>
  <c r="H74" i="2"/>
  <c r="I74" i="2"/>
  <c r="H73" i="2"/>
  <c r="I73" i="2"/>
  <c r="G73" i="2"/>
  <c r="H72" i="2"/>
  <c r="I72" i="2"/>
  <c r="G72" i="2"/>
  <c r="H71" i="2"/>
  <c r="I71" i="2"/>
  <c r="G71" i="2"/>
  <c r="H70" i="2"/>
  <c r="I70" i="2"/>
  <c r="G70" i="2"/>
  <c r="H69" i="2"/>
  <c r="I69" i="2"/>
  <c r="G69" i="2"/>
  <c r="H68" i="2"/>
  <c r="I68" i="2"/>
  <c r="G68" i="2"/>
  <c r="H67" i="2"/>
  <c r="I67" i="2"/>
  <c r="G67" i="2"/>
  <c r="H66" i="2"/>
  <c r="I66" i="2"/>
  <c r="G66" i="2"/>
  <c r="H65" i="2"/>
  <c r="I65" i="2"/>
  <c r="G65" i="2"/>
  <c r="B65" i="2"/>
  <c r="H64" i="2"/>
  <c r="I64" i="2"/>
  <c r="G64" i="2"/>
  <c r="H63" i="2"/>
  <c r="I63" i="2"/>
  <c r="G63" i="2"/>
  <c r="H62" i="2"/>
  <c r="I62" i="2"/>
  <c r="G62" i="2"/>
  <c r="G60" i="2"/>
  <c r="G61" i="2"/>
  <c r="B62" i="2"/>
  <c r="H61" i="2"/>
  <c r="I61" i="2"/>
  <c r="H60" i="2"/>
  <c r="I60" i="2"/>
  <c r="H59" i="2"/>
  <c r="I59" i="2"/>
  <c r="G59" i="2"/>
  <c r="H58" i="2"/>
  <c r="I58" i="2"/>
  <c r="G58" i="2"/>
  <c r="H57" i="2"/>
  <c r="I57" i="2"/>
  <c r="G57" i="2"/>
  <c r="H56" i="2"/>
  <c r="I56" i="2"/>
  <c r="G56" i="2"/>
  <c r="H55" i="2"/>
  <c r="I55" i="2"/>
  <c r="G55" i="2"/>
  <c r="H54" i="2"/>
  <c r="I54" i="2"/>
  <c r="G54" i="2"/>
  <c r="H53" i="2"/>
  <c r="I53" i="2"/>
  <c r="G53" i="2"/>
  <c r="H52" i="2"/>
  <c r="I52" i="2"/>
  <c r="G52" i="2"/>
  <c r="H51" i="2"/>
  <c r="I51" i="2"/>
  <c r="G51" i="2"/>
  <c r="H50" i="2"/>
  <c r="I50" i="2"/>
  <c r="G50" i="2"/>
  <c r="H49" i="2"/>
  <c r="I49" i="2"/>
  <c r="G49" i="2"/>
  <c r="H48" i="2"/>
  <c r="I48" i="2"/>
  <c r="G48" i="2"/>
  <c r="H47" i="2"/>
  <c r="I47" i="2"/>
  <c r="G47" i="2"/>
  <c r="H46" i="2"/>
  <c r="I46" i="2"/>
  <c r="G46" i="2"/>
  <c r="G41" i="2"/>
  <c r="B46" i="2"/>
  <c r="H45" i="2"/>
  <c r="I45" i="2"/>
  <c r="G45" i="2"/>
  <c r="H44" i="2"/>
  <c r="I44" i="2"/>
  <c r="G44" i="2"/>
  <c r="H43" i="2"/>
  <c r="I43" i="2"/>
  <c r="G43" i="2"/>
  <c r="G42" i="2"/>
  <c r="B43" i="2"/>
  <c r="H42" i="2"/>
  <c r="I42" i="2"/>
  <c r="H41" i="2"/>
  <c r="I41" i="2"/>
  <c r="H40" i="2"/>
  <c r="I40" i="2"/>
  <c r="G40" i="2"/>
  <c r="H39" i="2"/>
  <c r="I39" i="2"/>
  <c r="G39" i="2"/>
  <c r="H38" i="2"/>
  <c r="I38" i="2"/>
  <c r="G38" i="2"/>
  <c r="H37" i="2"/>
  <c r="I37" i="2"/>
  <c r="G37" i="2"/>
  <c r="H36" i="2"/>
  <c r="I36" i="2"/>
  <c r="G36" i="2"/>
  <c r="B36" i="2"/>
  <c r="H35" i="2"/>
  <c r="I35" i="2"/>
  <c r="G35" i="2"/>
  <c r="H34" i="2"/>
  <c r="I34" i="2"/>
  <c r="G34" i="2"/>
  <c r="B34" i="2"/>
  <c r="H33" i="2"/>
  <c r="I33" i="2"/>
  <c r="G33" i="2"/>
  <c r="B33" i="2"/>
  <c r="H32" i="2"/>
  <c r="I32" i="2"/>
  <c r="G32" i="2"/>
  <c r="H31" i="2"/>
  <c r="I31" i="2"/>
  <c r="G31" i="2"/>
  <c r="H30" i="2"/>
  <c r="I30" i="2"/>
  <c r="G30" i="2"/>
  <c r="H29" i="2"/>
  <c r="I29" i="2"/>
  <c r="G29" i="2"/>
  <c r="H28" i="2"/>
  <c r="I28" i="2"/>
  <c r="G28" i="2"/>
  <c r="H27" i="2"/>
  <c r="I27" i="2"/>
  <c r="G27" i="2"/>
  <c r="G26" i="2"/>
  <c r="B27" i="2"/>
  <c r="H26" i="2"/>
  <c r="I26" i="2"/>
  <c r="C22" i="2"/>
  <c r="F22" i="2"/>
  <c r="C20" i="2"/>
  <c r="F11" i="2"/>
  <c r="E20" i="2"/>
  <c r="F20" i="2"/>
  <c r="H20" i="2"/>
  <c r="C18" i="2"/>
  <c r="E11" i="2"/>
  <c r="E18" i="2"/>
  <c r="F18" i="2"/>
  <c r="H18" i="2"/>
  <c r="C16" i="2"/>
  <c r="D11" i="2"/>
  <c r="E16" i="2"/>
  <c r="F16" i="2"/>
  <c r="H16" i="2"/>
  <c r="C14" i="2"/>
  <c r="C11" i="2"/>
  <c r="E14" i="2"/>
  <c r="F14" i="2"/>
  <c r="H14" i="2"/>
  <c r="C7" i="2"/>
  <c r="L13" i="2"/>
  <c r="L12" i="2"/>
  <c r="F12" i="2"/>
  <c r="E12" i="2"/>
  <c r="D12" i="2"/>
  <c r="C12" i="2"/>
  <c r="L11" i="2"/>
  <c r="B11" i="2"/>
  <c r="L10" i="2"/>
  <c r="L9" i="2"/>
  <c r="L8" i="2"/>
  <c r="L7" i="2"/>
  <c r="H5" i="2"/>
  <c r="G3" i="2"/>
  <c r="G4" i="2"/>
  <c r="G5" i="2"/>
  <c r="H4" i="2"/>
  <c r="C4" i="2"/>
  <c r="T378" i="1"/>
  <c r="T377" i="1"/>
  <c r="T376" i="1"/>
  <c r="T375" i="1"/>
  <c r="T374" i="1"/>
  <c r="R374" i="1"/>
  <c r="T373" i="1"/>
  <c r="R373" i="1"/>
  <c r="T372" i="1"/>
  <c r="R372" i="1"/>
  <c r="T371" i="1"/>
  <c r="R371" i="1"/>
  <c r="T370" i="1"/>
  <c r="R370" i="1"/>
  <c r="T369" i="1"/>
  <c r="R369" i="1"/>
  <c r="T368" i="1"/>
  <c r="R368" i="1"/>
  <c r="T367" i="1"/>
  <c r="R367" i="1"/>
  <c r="T366" i="1"/>
  <c r="R366" i="1"/>
  <c r="T365" i="1"/>
  <c r="R365" i="1"/>
  <c r="T364" i="1"/>
  <c r="R364" i="1"/>
  <c r="T363" i="1"/>
  <c r="R363" i="1"/>
  <c r="T362" i="1"/>
  <c r="R362" i="1"/>
  <c r="T361" i="1"/>
  <c r="R361" i="1"/>
  <c r="T360" i="1"/>
  <c r="R360" i="1"/>
  <c r="T359" i="1"/>
  <c r="R359" i="1"/>
  <c r="T358" i="1"/>
  <c r="R358" i="1"/>
  <c r="T357" i="1"/>
  <c r="R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R309" i="1"/>
  <c r="T308" i="1"/>
  <c r="R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R58" i="1"/>
  <c r="T57" i="1"/>
  <c r="R57" i="1"/>
  <c r="T56" i="1"/>
  <c r="R56" i="1"/>
  <c r="T55" i="1"/>
  <c r="R55" i="1"/>
  <c r="T54" i="1"/>
  <c r="R54" i="1"/>
  <c r="T53" i="1"/>
  <c r="R53" i="1"/>
  <c r="T52" i="1"/>
  <c r="R52" i="1"/>
  <c r="T51" i="1"/>
  <c r="R51" i="1"/>
  <c r="T50" i="1"/>
  <c r="R50" i="1"/>
  <c r="T49" i="1"/>
  <c r="R49" i="1"/>
  <c r="T48" i="1"/>
  <c r="R48" i="1"/>
  <c r="T47" i="1"/>
  <c r="R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<sst xmlns="http://schemas.openxmlformats.org/spreadsheetml/2006/main" count="3973" uniqueCount="917">
  <si>
    <t>Dept</t>
  </si>
  <si>
    <t>SKU</t>
  </si>
  <si>
    <t>RAW_WIP_CODE</t>
  </si>
  <si>
    <t>Customer</t>
  </si>
  <si>
    <t>Product_Group</t>
  </si>
  <si>
    <t>Avg_Case_Weight</t>
  </si>
  <si>
    <t>Trays_Per_Case</t>
  </si>
  <si>
    <t>Tray_Type</t>
  </si>
  <si>
    <t>Tray_Size</t>
  </si>
  <si>
    <t>SKU_Desc</t>
  </si>
  <si>
    <t>Tray Pack Speed</t>
  </si>
  <si>
    <t>Package_Type</t>
  </si>
  <si>
    <t>STD</t>
  </si>
  <si>
    <t>Class</t>
  </si>
  <si>
    <t>Weight</t>
  </si>
  <si>
    <t>Column1</t>
  </si>
  <si>
    <t>ORDER</t>
  </si>
  <si>
    <t>RAW Request_KG</t>
  </si>
  <si>
    <t>Yield</t>
  </si>
  <si>
    <t>Cut_up</t>
  </si>
  <si>
    <t>Bulk Pack</t>
  </si>
  <si>
    <t>ThighMeat</t>
  </si>
  <si>
    <t>MB BSTHIGH AC BG 5KG</t>
  </si>
  <si>
    <t>SILVER</t>
  </si>
  <si>
    <t>BSB</t>
  </si>
  <si>
    <t>MB BSHB AC RND 5KG</t>
  </si>
  <si>
    <t>BA</t>
  </si>
  <si>
    <t>MS LEG BA 18KG</t>
  </si>
  <si>
    <t>DRUM</t>
  </si>
  <si>
    <t>MS DRUM 18KG</t>
  </si>
  <si>
    <t>Thigh</t>
  </si>
  <si>
    <t>MB THIGH 20KG</t>
  </si>
  <si>
    <t>MB BSHB AC RND 10KG</t>
  </si>
  <si>
    <t>THIGH 18KG</t>
  </si>
  <si>
    <t>SplitWing</t>
  </si>
  <si>
    <t>MB SPL WING 18KG</t>
  </si>
  <si>
    <t>MB DRUM AC 18KG</t>
  </si>
  <si>
    <t>GOLD</t>
  </si>
  <si>
    <t>WING</t>
  </si>
  <si>
    <t>MB WING AC 18KG</t>
  </si>
  <si>
    <t>SplitBreast</t>
  </si>
  <si>
    <t>MB BSHB RND AC 18KG</t>
  </si>
  <si>
    <t>24839 MB COS SPL WING AC</t>
  </si>
  <si>
    <t>17219 MB COS BSHB AC</t>
  </si>
  <si>
    <t>PLATINUM</t>
  </si>
  <si>
    <t>MB HA BSTHIGH AC BG 5KG</t>
  </si>
  <si>
    <t>MB HA FB BA AC COMBO</t>
  </si>
  <si>
    <t>MB HA FB AC COMBO</t>
  </si>
  <si>
    <t>MS HA DRUM 18KG</t>
  </si>
  <si>
    <t>MS HA LEG BA 18KG</t>
  </si>
  <si>
    <t>HA THIGH AC 18KG</t>
  </si>
  <si>
    <t>HA LEG BA AC 18KG</t>
  </si>
  <si>
    <t>MB HA WING AC 18KG</t>
  </si>
  <si>
    <t>MB HA BSHB RND AC 18KG</t>
  </si>
  <si>
    <t>MB HA BSHB RND AC 18KG FFF</t>
  </si>
  <si>
    <t>MB HA BSHB 2ND 10KG</t>
  </si>
  <si>
    <t>MB HA SPL WING AC RET 23KG</t>
  </si>
  <si>
    <t>MS HA WING RET 25KG</t>
  </si>
  <si>
    <t>MS HA SPL WING RET 25KG</t>
  </si>
  <si>
    <t>MB HA WINGLET AC 25 KG RET</t>
  </si>
  <si>
    <t>MB HA DRUMETTE AC 25 KG RET</t>
  </si>
  <si>
    <t>FAT</t>
  </si>
  <si>
    <t>MS HA FFP FAT RET 25KG</t>
  </si>
  <si>
    <t>WIP</t>
  </si>
  <si>
    <t>MS WIP AC WINGS WHOLE</t>
  </si>
  <si>
    <t>MS WIP AC WINGS SPLIT</t>
  </si>
  <si>
    <t>MS WIP AC RWA SPLIT WINGS</t>
  </si>
  <si>
    <t>MS WIP AC WINGS WHOLE CAGE</t>
  </si>
  <si>
    <t>MS WIP AC BREAST BACK OFF SPLIT</t>
  </si>
  <si>
    <t>MS WIP AC RWA BREAST BACK OFF SPLIT</t>
  </si>
  <si>
    <t>MS WIP AC BREAST BACK OFF SPLIT SKNLS</t>
  </si>
  <si>
    <t>MS WIP AC RWA BREAST BACK SKNLS OFF SPLIT</t>
  </si>
  <si>
    <t>MS WIP AC BREAST MEAT W/FILLET</t>
  </si>
  <si>
    <t>MS WIP AC RWA BREAST MEAT W/FILLET</t>
  </si>
  <si>
    <t>FILLET</t>
  </si>
  <si>
    <t>MS WIP AC FILLET</t>
  </si>
  <si>
    <t>WOF</t>
  </si>
  <si>
    <t>MS WIP AC BREAST MEAT WOF LCL</t>
  </si>
  <si>
    <t>MS WIP AC LEG BA</t>
  </si>
  <si>
    <t>MS WIP AC LEG BA CAGE</t>
  </si>
  <si>
    <t>MS WIP ACCUTLET</t>
  </si>
  <si>
    <t>MS WIP AC RWA CUTLET</t>
  </si>
  <si>
    <t>MS WIP AC DRUM TRIMMED</t>
  </si>
  <si>
    <t>MS WIP AC DRUM TRIMMED CAGE</t>
  </si>
  <si>
    <t>MS WIP AC RWA DRUM TRIMMED</t>
  </si>
  <si>
    <t>MS WIP AC RWA DRUM TRIMMED CAGE</t>
  </si>
  <si>
    <t>MS WIP AC THIGH PC TRIM</t>
  </si>
  <si>
    <t>MS WIP AC THIGH COSTCO TRIM</t>
  </si>
  <si>
    <t>MS WIP RWA THIGH TRIM - PC</t>
  </si>
  <si>
    <t>MS WIP AC THIGHS</t>
  </si>
  <si>
    <t>MS WIP AC THIGH MEAT</t>
  </si>
  <si>
    <t>MS WIP AC RWA THIGH MEAT</t>
  </si>
  <si>
    <t>MS WIP AC CHUNK MEAT</t>
  </si>
  <si>
    <t>BACKBONE</t>
  </si>
  <si>
    <t>MS WIP AC BACKS</t>
  </si>
  <si>
    <t>61014#2</t>
  </si>
  <si>
    <t>61014C</t>
  </si>
  <si>
    <t>61014F</t>
  </si>
  <si>
    <t>MS WIP AC WINGS SPLIT FFF</t>
  </si>
  <si>
    <t>61014B</t>
  </si>
  <si>
    <t>61040#2</t>
  </si>
  <si>
    <t>61048#2</t>
  </si>
  <si>
    <t>61050#2</t>
  </si>
  <si>
    <t>MS WIP AC BREAST MEAT W/FILLET SILVER</t>
  </si>
  <si>
    <t>61050C</t>
  </si>
  <si>
    <t>MS WIP AC BREAST MEAT W/FILLET COSTCO</t>
  </si>
  <si>
    <t>61050F</t>
  </si>
  <si>
    <t>MS WIP AC BREAST MEAT W/FILLET FFF</t>
  </si>
  <si>
    <t>61061F</t>
  </si>
  <si>
    <t>ZH LCL LEG BA FFF</t>
  </si>
  <si>
    <t>61072#2</t>
  </si>
  <si>
    <t>WetChill Drums</t>
  </si>
  <si>
    <t>61072C</t>
  </si>
  <si>
    <t>MS COS DRUMS</t>
  </si>
  <si>
    <t>61072F</t>
  </si>
  <si>
    <t>MS MLF DRUM AC FFF</t>
  </si>
  <si>
    <t>61077F</t>
  </si>
  <si>
    <t>MS MLF THIGH AC FFF</t>
  </si>
  <si>
    <t>61086#2</t>
  </si>
  <si>
    <t>MS WIP AC THIGH MEAT SILVER</t>
  </si>
  <si>
    <t>61086C</t>
  </si>
  <si>
    <t>MS WIP AC THIGH MEAT COSTCO</t>
  </si>
  <si>
    <t>61086F</t>
  </si>
  <si>
    <t>MS WIP AC THIGH MEAT FFF</t>
  </si>
  <si>
    <t>Tray_Pack</t>
  </si>
  <si>
    <t>LCL</t>
  </si>
  <si>
    <t>PET 8</t>
  </si>
  <si>
    <t>Small</t>
  </si>
  <si>
    <t>MS LCL BSHB PET8 PP</t>
  </si>
  <si>
    <t>Fast</t>
  </si>
  <si>
    <t>BOX</t>
  </si>
  <si>
    <t>METRO</t>
  </si>
  <si>
    <t>ST 3XP</t>
  </si>
  <si>
    <t>MS LEG BA ST</t>
  </si>
  <si>
    <t>6.5 BOX</t>
  </si>
  <si>
    <t>FB</t>
  </si>
  <si>
    <t>PB HB ST</t>
  </si>
  <si>
    <t>BackBone</t>
  </si>
  <si>
    <t>MS BACK ST PP</t>
  </si>
  <si>
    <t>LT 8XP</t>
  </si>
  <si>
    <t>Large</t>
  </si>
  <si>
    <t>MS BSC BSTHIGH LT PP</t>
  </si>
  <si>
    <t>Slow</t>
  </si>
  <si>
    <t>LT 14D</t>
  </si>
  <si>
    <t>Clubpack</t>
  </si>
  <si>
    <t>PB BSC HB FT PP 8/BOX</t>
  </si>
  <si>
    <t>Drum</t>
  </si>
  <si>
    <t>PB BSC DRUM FT PP</t>
  </si>
  <si>
    <t>PB BSC THIGH FT PP</t>
  </si>
  <si>
    <t>Backbone</t>
  </si>
  <si>
    <t>PB BACK ST</t>
  </si>
  <si>
    <t>ST 3D</t>
  </si>
  <si>
    <t>MS BSC FFTF BSHB AC 3D PP</t>
  </si>
  <si>
    <t>Whole Bird-Small</t>
  </si>
  <si>
    <t>MS BSC FFTF FRY WOG TI AC 3XP PP</t>
  </si>
  <si>
    <t>Whole Wing-Large</t>
  </si>
  <si>
    <t>PB WING LT PP</t>
  </si>
  <si>
    <t>MS MLF BSHB AC ST</t>
  </si>
  <si>
    <t>MS MLF FRY WOG AC TI PET</t>
  </si>
  <si>
    <t>MS MLF HB AC ST</t>
  </si>
  <si>
    <t>MS MLF SPL WING AC ST</t>
  </si>
  <si>
    <t>MS FFF 3pc Breast</t>
  </si>
  <si>
    <t>MS BSC DRUM 14D PP</t>
  </si>
  <si>
    <t>MS BSC THIGH 14D PP</t>
  </si>
  <si>
    <t>MS BSC HB FT PP 8/BOX</t>
  </si>
  <si>
    <t>ST 2HP</t>
  </si>
  <si>
    <t>MS BSHB ST</t>
  </si>
  <si>
    <t>PB BSC SKLS HB ST PP BSK</t>
  </si>
  <si>
    <t>MS BSC SKLS HB 8XP PP</t>
  </si>
  <si>
    <t>MS BSC BSHB LT PP BSK</t>
  </si>
  <si>
    <t>MS BSC BSHB AC 8XP PP</t>
  </si>
  <si>
    <t>MS BSHB CHUNK 8XP PP</t>
  </si>
  <si>
    <t>MS BSC DRUM 3XP PP</t>
  </si>
  <si>
    <t>MS BSC THIGH 3XP PP</t>
  </si>
  <si>
    <t>Whole Wing-14D</t>
  </si>
  <si>
    <t>MS WING 14D PP</t>
  </si>
  <si>
    <t>MB MET DRUM 8XP</t>
  </si>
  <si>
    <t>MB MET THIGH 8XP</t>
  </si>
  <si>
    <t>MS MET SKLS HB 8XP</t>
  </si>
  <si>
    <t>MS MET FRY WOG TI 3XP</t>
  </si>
  <si>
    <t>MS MET LEG BA 8XP</t>
  </si>
  <si>
    <t>PB WING LT</t>
  </si>
  <si>
    <t>MS MET HB 8XP</t>
  </si>
  <si>
    <t>BONELESS SKINLESS THIGH</t>
  </si>
  <si>
    <t>MS MET BSHB 3D</t>
  </si>
  <si>
    <t>MS BSC HB 3XP PP</t>
  </si>
  <si>
    <t>MS BSC SKLS HB 3XP PP</t>
  </si>
  <si>
    <t>MS BSC BSTHIGH 3XP PP</t>
  </si>
  <si>
    <t>MS BSC BSHB 3XP PP</t>
  </si>
  <si>
    <t>Whole Wing-Small</t>
  </si>
  <si>
    <t>MS BSC WING 3XP PP</t>
  </si>
  <si>
    <t>MS BSC LEG BA 14D PP</t>
  </si>
  <si>
    <t>MS BSC 1.38-1.58 FRY TI 3XP PP</t>
  </si>
  <si>
    <t>MS BSC BSHB 8XP PP</t>
  </si>
  <si>
    <t>MB MET BSHB 3D</t>
  </si>
  <si>
    <t>MB MET BSTHIGH 3D</t>
  </si>
  <si>
    <t>SOB</t>
  </si>
  <si>
    <t>MS SOB BSHB AC 3XP</t>
  </si>
  <si>
    <t>LT 6D</t>
  </si>
  <si>
    <t>MS SOB BSHB AC 6D</t>
  </si>
  <si>
    <t>Fillet</t>
  </si>
  <si>
    <t>MS SOB FILLET AC 3XP</t>
  </si>
  <si>
    <t>MS SOB HB AC 3XP</t>
  </si>
  <si>
    <t>MS SOB HB AC 8XP</t>
  </si>
  <si>
    <t>MS SOB LEG BA AC 8XP</t>
  </si>
  <si>
    <t>MS SOB DRUM AC 3XP</t>
  </si>
  <si>
    <t>MS SOB DRUM AC 8XP</t>
  </si>
  <si>
    <t>MS SOB THIGH AC 3XP</t>
  </si>
  <si>
    <t>MS SOB THIGH AC 8XP</t>
  </si>
  <si>
    <t>MS SOB BSTHIGH AC 3XP</t>
  </si>
  <si>
    <t>MS SOB BSTHIGH AC 6D</t>
  </si>
  <si>
    <t>MS SOB SPL WING AC 8XP</t>
  </si>
  <si>
    <t>MS SOB SPL WING AC 3XP</t>
  </si>
  <si>
    <t>FFTF 3D Thighs 8 Tray</t>
  </si>
  <si>
    <t>MS BSC DRUM FT PP</t>
  </si>
  <si>
    <t>MS BSC THIGH FT PP</t>
  </si>
  <si>
    <t>METRO BONELESS SKINLESS CHICKEN HALF BREASTS LARGE TRAY</t>
  </si>
  <si>
    <t>MS BSC FFTF BSTHIGH AC 6D PP</t>
  </si>
  <si>
    <t>MS FFTF BSTHIGH AC 6D</t>
  </si>
  <si>
    <t>MS BSC FFTF THIGH AC 6D PP</t>
  </si>
  <si>
    <t>MS FFTF THIGH AC 6D PP</t>
  </si>
  <si>
    <t>MS BSC FFTF DRUM AC 6D PP</t>
  </si>
  <si>
    <t>MS FFTF DRUM AC 6D P BSK</t>
  </si>
  <si>
    <t>MS FFTF SPL WING AC 6D PP BSK</t>
  </si>
  <si>
    <t>MS FFTF BSHB AC 6D PP</t>
  </si>
  <si>
    <t>MS BSC SPL WING 8XP PP</t>
  </si>
  <si>
    <t>MS BSC SPL WING 8XP</t>
  </si>
  <si>
    <t>IFCO</t>
  </si>
  <si>
    <t>PB LEG BA LT</t>
  </si>
  <si>
    <t>PB FRY WOG TI ST</t>
  </si>
  <si>
    <t>PB THIGH LT</t>
  </si>
  <si>
    <t>MS BSHB PET8 BSK</t>
  </si>
  <si>
    <t>PB SKLS HB LT</t>
  </si>
  <si>
    <t>MS DRUM PET8 BSK</t>
  </si>
  <si>
    <t>PB HB LT</t>
  </si>
  <si>
    <t>PB DRUM LT PP</t>
  </si>
  <si>
    <t>PB THIGH LT PP</t>
  </si>
  <si>
    <t>PB HB LT PP</t>
  </si>
  <si>
    <t>PB SKLS HB LT PP</t>
  </si>
  <si>
    <t>PB BSTHIGH LT PP</t>
  </si>
  <si>
    <t>PB GIB ST PP</t>
  </si>
  <si>
    <t>MS DRUM LT PP</t>
  </si>
  <si>
    <t>MS THIGH LT PP</t>
  </si>
  <si>
    <t>MS SKLS HB LCP BSK</t>
  </si>
  <si>
    <t>MS BSHB LT -1860</t>
  </si>
  <si>
    <t>MS BSHB LT PP</t>
  </si>
  <si>
    <t>MS SKLS HB LT PP</t>
  </si>
  <si>
    <t>MS BSHB ST BSK</t>
  </si>
  <si>
    <t>MS SKLS HB LT</t>
  </si>
  <si>
    <t>MS HB LT</t>
  </si>
  <si>
    <t>MS BSTHIGH LT</t>
  </si>
  <si>
    <t>MS THIGH LT</t>
  </si>
  <si>
    <t>MS DRUM LT</t>
  </si>
  <si>
    <t>MS LEG BA LT</t>
  </si>
  <si>
    <t>MS WING LT</t>
  </si>
  <si>
    <t>MS DRUM LCP</t>
  </si>
  <si>
    <t>Whole Bird-Large</t>
  </si>
  <si>
    <t>PET 9</t>
  </si>
  <si>
    <t>PB 1.1-1.4 FRY WOG TI 2/LT</t>
  </si>
  <si>
    <t>PB PC DRUM AC PET 8</t>
  </si>
  <si>
    <t>PB PC THIGH AC PET 8</t>
  </si>
  <si>
    <t>PB LEG BA LT PP</t>
  </si>
  <si>
    <t>RWA</t>
  </si>
  <si>
    <t>RWA FRY WOG AC TI 2/LT</t>
  </si>
  <si>
    <t>PET 3</t>
  </si>
  <si>
    <t>RWA MS MLF HB AC PET 3</t>
  </si>
  <si>
    <t>RWA PB PC BM SKLS HB AC PET 3</t>
  </si>
  <si>
    <t>RWA BSHB AC PET 3</t>
  </si>
  <si>
    <t>RWA MS MLF BSHB AC PET 3 CUTLET</t>
  </si>
  <si>
    <t>RWA MS MLF BSHB AC PET 3 PET 3RIPS</t>
  </si>
  <si>
    <t>RWA THIGH AC PET 3</t>
  </si>
  <si>
    <t>RWA BPET 3HIGH AC PET 3</t>
  </si>
  <si>
    <t>RWA DRUM AC PET 3</t>
  </si>
  <si>
    <t>RWA SKLS DRUM AC ST</t>
  </si>
  <si>
    <t>RWA SPL WING AC PET 3</t>
  </si>
  <si>
    <t>RWA FRY WOG AC TI PET</t>
  </si>
  <si>
    <t>RWA BSHB AC PET 8</t>
  </si>
  <si>
    <t>RWA BSTHIGH AC PET 8</t>
  </si>
  <si>
    <t>RWA SPL WING AC PET 8</t>
  </si>
  <si>
    <t>RWA DRUM AC ST</t>
  </si>
  <si>
    <t>RWA BSTHIGH AC CLUB</t>
  </si>
  <si>
    <t>RWA SPL WING AC CLUB</t>
  </si>
  <si>
    <t>MS PC RWA DRUM AC PET 8 PP BSK</t>
  </si>
  <si>
    <t>MS PC RWA THIGH AC PET 8 PP BSK</t>
  </si>
  <si>
    <t>RWA BSHB AC LT</t>
  </si>
  <si>
    <t>MS PC RWA THIGH AC LT PP BSK</t>
  </si>
  <si>
    <t>MS PC RWA DRUM AC LT PP BSK</t>
  </si>
  <si>
    <t>MS LCL BSHB PET8 PP BSK</t>
  </si>
  <si>
    <t>PB PC FRY WOG AC TI ST</t>
  </si>
  <si>
    <t>PB PC SPLIT WING AC PET 3</t>
  </si>
  <si>
    <t>MS PC BM SKLS HB AC PET 8 BSK</t>
  </si>
  <si>
    <t>PB BSTHIGH LT</t>
  </si>
  <si>
    <t>MS SPL WING PET8 BSK</t>
  </si>
  <si>
    <t>PB PC SPL WING AC PET 8</t>
  </si>
  <si>
    <t>PB FILLET ST BSK</t>
  </si>
  <si>
    <t>PB FILLET LT PP</t>
  </si>
  <si>
    <t>MS BSHB CHUNK LT BSK</t>
  </si>
  <si>
    <t>Industry</t>
  </si>
  <si>
    <t>MS FRY WOG TI PET3 BSK</t>
  </si>
  <si>
    <t>MS FRY WOG TI PET3 PP BSK</t>
  </si>
  <si>
    <t>MS LCL LEG BA PET8 PP BSK</t>
  </si>
  <si>
    <t>PET 6</t>
  </si>
  <si>
    <t>MS LCL BSHB PET6 PP BSK</t>
  </si>
  <si>
    <t>PB BSC DRUM ST PP BSK</t>
  </si>
  <si>
    <t>PB BSC THIGH ST PP BSK</t>
  </si>
  <si>
    <t>MS BSC 1.1-1.31KG FRY WOG TI PP BSK</t>
  </si>
  <si>
    <t>PB BSC BSTHIGH ST PP BSK</t>
  </si>
  <si>
    <t>PB BSC HB ST PP BSK</t>
  </si>
  <si>
    <t>PB BSC SKLS HB LT PP BSK</t>
  </si>
  <si>
    <t>MS BSHB WOF PET8 BSK</t>
  </si>
  <si>
    <t>MS BSHB WOF PET8 PP BSK</t>
  </si>
  <si>
    <t>MS LCL BSHB WOF PET8 PP BSK</t>
  </si>
  <si>
    <t>MS LCL BSHB AC 3D PP BSK</t>
  </si>
  <si>
    <t>MS LCL BSHB AC 6D PP BSK</t>
  </si>
  <si>
    <t>MS LCL BSHB AC 8D PP BSK</t>
  </si>
  <si>
    <t>MS LCL BTFLYB WOF AC 3XP PP BSK</t>
  </si>
  <si>
    <t>SMALL</t>
  </si>
  <si>
    <t>MS LCL FILLET AC 3XP PP BSK</t>
  </si>
  <si>
    <t>MS LCL BSTHIGH AC 6D PP BSK</t>
  </si>
  <si>
    <t>MS LCL THIGH AC 6D PP BSK</t>
  </si>
  <si>
    <t>MS LCL DRUM AC 6D PP BSK</t>
  </si>
  <si>
    <t>MS LCL SPL WING AC 6D PP BSK</t>
  </si>
  <si>
    <t>MS LCL THIGH AC PET 6 PP BSK</t>
  </si>
  <si>
    <t>MS LCL DRUM AC PET 6 PP BSK</t>
  </si>
  <si>
    <t>MS LCL SPL WING AC PET 6 PP BSK</t>
  </si>
  <si>
    <t>MS LCL BSHB AC PET 3 PP BSK</t>
  </si>
  <si>
    <t>MB LCL BSHB AC PET 8 PP BSK</t>
  </si>
  <si>
    <t>MS LCL BTFLYB WOF AC PET 3 PP BSK</t>
  </si>
  <si>
    <t>MS LCL FILLET AC PET 3 PP BSK</t>
  </si>
  <si>
    <t>MS LCL BSTHIGH AC PET6 PP BSK</t>
  </si>
  <si>
    <t>MS LCL BSHB AC PET 8 PP BSK</t>
  </si>
  <si>
    <t>PB PC FRY WOG AC TI PET 3 PP</t>
  </si>
  <si>
    <t>MS LCL BSHB 6D PP BSK</t>
  </si>
  <si>
    <t>MS LCL BSHB AC PET 6 PP BSK</t>
  </si>
  <si>
    <t>MS LCL BSTHIGH AC PET 6 PP BSK</t>
  </si>
  <si>
    <t>MS 1.3-1.8 FRY WOG TI 2/PET9 BSK</t>
  </si>
  <si>
    <t>MS THIGH PET8 BSK</t>
  </si>
  <si>
    <t>MS LEG BA PET8 BSK</t>
  </si>
  <si>
    <t>MS BSTHIGH PET8 BSK</t>
  </si>
  <si>
    <t>MS PC BM CUTLET AC PET6 BSK</t>
  </si>
  <si>
    <t>PB BSC HB LT PP BSK</t>
  </si>
  <si>
    <t>MS WING AC GF LCP PP</t>
  </si>
  <si>
    <t>PB BSC LEG BA FT PP BSK</t>
  </si>
  <si>
    <t>MS BSC BSHB ST PP BSK</t>
  </si>
  <si>
    <t>MS ZH LEG BA AC LT</t>
  </si>
  <si>
    <t>MS ZH BSHB AC ST PP</t>
  </si>
  <si>
    <t>MS ZH FRY WOG AC TI ST PP</t>
  </si>
  <si>
    <t>MS ZH DRUM AC ST PP</t>
  </si>
  <si>
    <t>MS ZH BSTHIGH AC ST PP</t>
  </si>
  <si>
    <t>MS ZH THIGH AC ST PP</t>
  </si>
  <si>
    <t>MS ZH SPL WING AC ST PP</t>
  </si>
  <si>
    <t>MS ZH BSHB AC ST</t>
  </si>
  <si>
    <t>MS ZH FRY WOG AC TI ST</t>
  </si>
  <si>
    <t>MS ZH DRUM AC ST</t>
  </si>
  <si>
    <t>MS ZH BSTHIGH AC ST</t>
  </si>
  <si>
    <t>MS ZH THIGH AC ST</t>
  </si>
  <si>
    <t>MS ZH SPL WING AC ST</t>
  </si>
  <si>
    <t>MS ZH BSHB AC LT PP</t>
  </si>
  <si>
    <t>MS ZH THIGH AC LT PP</t>
  </si>
  <si>
    <t>MS ZH DRUM AC LT PP</t>
  </si>
  <si>
    <t>MS ZH BSHB AC LT</t>
  </si>
  <si>
    <t>MS ZH THIGH AC LT</t>
  </si>
  <si>
    <t>MS ZH DRUM AC LT</t>
  </si>
  <si>
    <t>MS ZH SKLS DRUM AC 3D PP</t>
  </si>
  <si>
    <t>MS ZH BSHB AC 8XP</t>
  </si>
  <si>
    <t>MS ZH THIGH AC 8XP</t>
  </si>
  <si>
    <t>MS ZH DRUM AC 8XP</t>
  </si>
  <si>
    <t>MS ZH THIGH AC 8D PP</t>
  </si>
  <si>
    <t>MS ZH DRUM AC 8D PP</t>
  </si>
  <si>
    <t>MS ZH FRY WOG AC TI 3XP PP</t>
  </si>
  <si>
    <t>SHP</t>
  </si>
  <si>
    <t>MS HA BSHB AC 3D SHP</t>
  </si>
  <si>
    <t>MS HA THIGH AC 3D SHP</t>
  </si>
  <si>
    <t>MS HA BSTHIGH AC 3D SHP</t>
  </si>
  <si>
    <t>MS HA DRUM AC 3D SHP</t>
  </si>
  <si>
    <t>COSTCO</t>
  </si>
  <si>
    <t>MB COS HA THIGH AC</t>
  </si>
  <si>
    <t>Costco</t>
  </si>
  <si>
    <t>MB COS HA BSHB AC</t>
  </si>
  <si>
    <t>MB COS HA BSTHIGH AC</t>
  </si>
  <si>
    <t>MB COS HA DRUMS AC</t>
  </si>
  <si>
    <t>MB COS HA SPLIT WING AC</t>
  </si>
  <si>
    <t>MS ZH THIGH AC LT PP BSK</t>
  </si>
  <si>
    <t>MS ZH DRUM AC LT PP BSK</t>
  </si>
  <si>
    <t>HALAL MS ZH FRY WOG AC TI ST</t>
  </si>
  <si>
    <t>MS LCL BSHB AC 8D  BSK</t>
  </si>
  <si>
    <t>MS ZH LCL SPL WING AC 6D BSK</t>
  </si>
  <si>
    <t>MS ZH LCL FRY WOG AC TI BSK</t>
  </si>
  <si>
    <t>Bagging</t>
  </si>
  <si>
    <t>MS BSC LEG BA BG PP 10/BOX</t>
  </si>
  <si>
    <t>MS BSC DRUM BG PP BOX</t>
  </si>
  <si>
    <t>MS WINGS BG PP</t>
  </si>
  <si>
    <t>MS ZH LEG BA BG PP</t>
  </si>
  <si>
    <t>MS ZH WINGS BG PP</t>
  </si>
  <si>
    <t>MS ZH DRUM BA BG PP</t>
  </si>
  <si>
    <t>MS BSC SPL WING BG PP</t>
  </si>
  <si>
    <t>MS BSC LEG BA BG PP 8/BOX</t>
  </si>
  <si>
    <t>MS CUT 4 CHICKEN BAGGED PP</t>
  </si>
  <si>
    <t>MS 1-2 FRY WOG AC BG PP BSK</t>
  </si>
  <si>
    <t>MS LEG BA BG PP BSK</t>
  </si>
  <si>
    <t>Extenl</t>
  </si>
  <si>
    <t>HA 1.55-1.75 FRY WOG AC GF COMBO</t>
  </si>
  <si>
    <t>HA 1.3-1.5 FRY WOG AC TI GF 16 RET</t>
  </si>
  <si>
    <t>HA 1.38 - 1.58 FRY WOG TI RET</t>
  </si>
  <si>
    <t>Cut up Plan</t>
  </si>
  <si>
    <t>Total Cages</t>
  </si>
  <si>
    <t>Flock # 1</t>
  </si>
  <si>
    <t>Big Bird</t>
  </si>
  <si>
    <t>Total Cages Request</t>
  </si>
  <si>
    <t>MLF</t>
  </si>
  <si>
    <t>Flock # 2</t>
  </si>
  <si>
    <t>Small Bird</t>
  </si>
  <si>
    <t>Avg Cage weight</t>
  </si>
  <si>
    <t>St. Fran</t>
  </si>
  <si>
    <t>Flock # 3</t>
  </si>
  <si>
    <t>Avg Bird weight</t>
  </si>
  <si>
    <t>EVP</t>
  </si>
  <si>
    <t>Flock # 4</t>
  </si>
  <si>
    <t>St Francois</t>
  </si>
  <si>
    <t>Cages/Hour</t>
  </si>
  <si>
    <t>Total:</t>
  </si>
  <si>
    <t>200190/191</t>
  </si>
  <si>
    <t>Flock # 5</t>
  </si>
  <si>
    <t>Eden Valley</t>
  </si>
  <si>
    <t>Brids/cage</t>
  </si>
  <si>
    <t>1.3-1.6</t>
  </si>
  <si>
    <t>Flock # 6</t>
  </si>
  <si>
    <t>Mix Bird</t>
  </si>
  <si>
    <t>Machine Speed (BPM)</t>
  </si>
  <si>
    <t>1.6-2.3</t>
  </si>
  <si>
    <t>Flock # 7</t>
  </si>
  <si>
    <t>Bnls</t>
  </si>
  <si>
    <t>Split wing</t>
  </si>
  <si>
    <t>Flock # 19</t>
  </si>
  <si>
    <t>EXTRA Case/25KG</t>
  </si>
  <si>
    <t>Saint Francois</t>
  </si>
  <si>
    <t>Need</t>
  </si>
  <si>
    <t>Cases left over</t>
  </si>
  <si>
    <t>Breast</t>
  </si>
  <si>
    <t>WINGS</t>
  </si>
  <si>
    <t>Wings</t>
  </si>
  <si>
    <t>THIGH</t>
  </si>
  <si>
    <t>Drums</t>
  </si>
  <si>
    <t>B.A LEG</t>
  </si>
  <si>
    <t>Code</t>
  </si>
  <si>
    <t>%</t>
  </si>
  <si>
    <t>Cases</t>
  </si>
  <si>
    <t>Cages</t>
  </si>
  <si>
    <t>Bird</t>
  </si>
  <si>
    <t>Time</t>
  </si>
  <si>
    <t>FFF</t>
  </si>
  <si>
    <t>ZH61086F</t>
  </si>
  <si>
    <t>Manual</t>
  </si>
  <si>
    <t>ZH61072</t>
  </si>
  <si>
    <t>ZH61061</t>
  </si>
  <si>
    <t>Extra Cases Produced</t>
  </si>
  <si>
    <t>Cases Remaining To Be Produced</t>
  </si>
  <si>
    <t>Total</t>
  </si>
  <si>
    <t>WIP CODE</t>
  </si>
  <si>
    <t>Category</t>
  </si>
  <si>
    <t>Cages to cut today</t>
  </si>
  <si>
    <t>Traypack Target</t>
  </si>
  <si>
    <t>For Generic Traypack</t>
  </si>
  <si>
    <t>Qty x25kg</t>
  </si>
  <si>
    <t>Today</t>
  </si>
  <si>
    <t>Tomorrow</t>
  </si>
  <si>
    <t>Boneless Breast</t>
  </si>
  <si>
    <t>Skin on  split breast</t>
  </si>
  <si>
    <t>Skinless  split breast</t>
  </si>
  <si>
    <t>Whole wing</t>
  </si>
  <si>
    <t>Bi thigh</t>
  </si>
  <si>
    <t>Bnls thighs</t>
  </si>
  <si>
    <t>Ba legs</t>
  </si>
  <si>
    <t>For Bagging</t>
  </si>
  <si>
    <t>Qtyx800kg</t>
  </si>
  <si>
    <t>BA Legs</t>
  </si>
  <si>
    <t>Split wingx25kg</t>
  </si>
  <si>
    <t>For sale</t>
  </si>
  <si>
    <t>203035 container</t>
  </si>
  <si>
    <t>203172 container</t>
  </si>
  <si>
    <t>868 Spl Wings</t>
  </si>
  <si>
    <t>200868 MB HA SPL WING AC 18KG</t>
  </si>
  <si>
    <t>40021 Spl Wings 4x10lb</t>
  </si>
  <si>
    <t>904 H. Whole wings</t>
  </si>
  <si>
    <t>200904 H. Whole wings</t>
  </si>
  <si>
    <t>200905 H. Whole wings</t>
  </si>
  <si>
    <t>895 Drums</t>
  </si>
  <si>
    <t>200095 H. Drums</t>
  </si>
  <si>
    <t>0160 Drums</t>
  </si>
  <si>
    <t>203271 DRUM 110G LESS RET 25KG</t>
  </si>
  <si>
    <t>159 BA Legs</t>
  </si>
  <si>
    <t>200159 H. BA Legs</t>
  </si>
  <si>
    <t>200903 H. BA Legs a/c</t>
  </si>
  <si>
    <t>165 Bnls breast</t>
  </si>
  <si>
    <t>1894 Bnls breast</t>
  </si>
  <si>
    <t>201894 H. Bnls breast</t>
  </si>
  <si>
    <t>201895 H. Bnls breast</t>
  </si>
  <si>
    <t>834 Bone in Thigh</t>
  </si>
  <si>
    <t>200902 Bone in Thigh</t>
  </si>
  <si>
    <t>161 Bone in Thigh</t>
  </si>
  <si>
    <t>200064 H. bnls thighs</t>
  </si>
  <si>
    <t>0064 H. bnls thighs</t>
  </si>
  <si>
    <t>Total Cases</t>
  </si>
  <si>
    <t>DAY</t>
  </si>
  <si>
    <t>Totals:</t>
  </si>
  <si>
    <t>Today's</t>
  </si>
  <si>
    <t>Completed</t>
  </si>
  <si>
    <t>Remaining</t>
  </si>
  <si>
    <t>KG</t>
  </si>
  <si>
    <t>Raw Cages</t>
  </si>
  <si>
    <t>Yield_Rate</t>
  </si>
  <si>
    <t>WIP_kg</t>
  </si>
  <si>
    <t>Raw_kg_Needed</t>
  </si>
  <si>
    <t>Cages_Needed</t>
  </si>
  <si>
    <t>Request</t>
  </si>
  <si>
    <t xml:space="preserve">Inventory </t>
  </si>
  <si>
    <t>W-Chicken</t>
  </si>
  <si>
    <t>BSK</t>
  </si>
  <si>
    <t>Description</t>
  </si>
  <si>
    <t>Cases Ordered - Orginal</t>
  </si>
  <si>
    <t>Cases Added On</t>
  </si>
  <si>
    <t xml:space="preserve">Cases Completed </t>
  </si>
  <si>
    <t>Cases Remaining</t>
  </si>
  <si>
    <t>Tray/box</t>
  </si>
  <si>
    <t>Don’t change</t>
  </si>
  <si>
    <t>Tray/Min</t>
  </si>
  <si>
    <t>Speed</t>
  </si>
  <si>
    <t>Today's Order</t>
  </si>
  <si>
    <t>Product Sub-Category</t>
  </si>
  <si>
    <t>Potential RAW SKU</t>
  </si>
  <si>
    <t>Cases of Raw Required</t>
  </si>
  <si>
    <t>Cases of Raw in Inventory</t>
  </si>
  <si>
    <t>Today's order Reqeust</t>
  </si>
  <si>
    <t>Next Order Request</t>
  </si>
  <si>
    <t>Supply#</t>
  </si>
  <si>
    <t>Cases of RAW Required</t>
  </si>
  <si>
    <t>Inventory</t>
  </si>
  <si>
    <t>12 birds/totes</t>
  </si>
  <si>
    <t>Sku</t>
  </si>
  <si>
    <t>Absolute High Weight</t>
  </si>
  <si>
    <t>Total Earned Hr</t>
  </si>
  <si>
    <t>Will make</t>
  </si>
  <si>
    <t>CODE</t>
  </si>
  <si>
    <t>Case</t>
  </si>
  <si>
    <t>Total KGs</t>
  </si>
  <si>
    <t>AVG</t>
  </si>
  <si>
    <t>Earned Hours</t>
  </si>
  <si>
    <t>AVG KG</t>
  </si>
  <si>
    <t>time</t>
  </si>
  <si>
    <t>Different</t>
  </si>
  <si>
    <t>Planned</t>
  </si>
  <si>
    <t>Require</t>
  </si>
  <si>
    <t>Produced</t>
  </si>
  <si>
    <t>Diff</t>
  </si>
  <si>
    <t>Net WT</t>
  </si>
  <si>
    <t>Gross WT</t>
  </si>
  <si>
    <t>% Tare</t>
  </si>
  <si>
    <t>Under</t>
  </si>
  <si>
    <t>Over</t>
  </si>
  <si>
    <t>At Time</t>
  </si>
  <si>
    <t>AVG weight</t>
  </si>
  <si>
    <t>Case/Hours</t>
  </si>
  <si>
    <t>Efficiency</t>
  </si>
  <si>
    <t>Fill Rate</t>
  </si>
  <si>
    <t>NO. of EE</t>
  </si>
  <si>
    <t>Start Time</t>
  </si>
  <si>
    <t>End Time</t>
  </si>
  <si>
    <t>Total Time</t>
  </si>
  <si>
    <t>1st shift</t>
  </si>
  <si>
    <t>wingget</t>
  </si>
  <si>
    <t>SPLIT WING</t>
  </si>
  <si>
    <t>wingdrum</t>
  </si>
  <si>
    <t>TIPS</t>
  </si>
  <si>
    <t>FRONT</t>
  </si>
  <si>
    <t>BACK</t>
  </si>
  <si>
    <t>BREAST MEAT</t>
  </si>
  <si>
    <t>Front Half</t>
  </si>
  <si>
    <t>TENDER</t>
  </si>
  <si>
    <t>SKIN</t>
  </si>
  <si>
    <t>WHOEL BIRD</t>
  </si>
  <si>
    <t>BREAST BONE</t>
  </si>
  <si>
    <t>SKIN ON BR</t>
  </si>
  <si>
    <t>SKINELESS BR</t>
  </si>
  <si>
    <t>BNLS  TEN IN</t>
  </si>
  <si>
    <t>SKINLESS DRUM</t>
  </si>
  <si>
    <t>SADDLE</t>
  </si>
  <si>
    <t>BACK BONE</t>
  </si>
  <si>
    <t>BONE</t>
  </si>
  <si>
    <t>THIGH MEAT</t>
  </si>
  <si>
    <t>Whole Legs</t>
  </si>
  <si>
    <t>All part will reduce % for reject</t>
  </si>
  <si>
    <t>Wetchill</t>
  </si>
  <si>
    <t>Splitbreast Skinon</t>
  </si>
  <si>
    <t>Splitbreast Skinless</t>
  </si>
  <si>
    <t>Boneless Breast WOF</t>
  </si>
  <si>
    <t>x</t>
  </si>
  <si>
    <t>Drum Bonein</t>
  </si>
  <si>
    <t>Drum Skinless</t>
  </si>
  <si>
    <t>Thigh meat</t>
  </si>
  <si>
    <t>Drum Boneless Skinless</t>
  </si>
  <si>
    <t>Thigh Bonein</t>
  </si>
  <si>
    <t>Thigh Skinless</t>
  </si>
  <si>
    <t>Wing</t>
  </si>
  <si>
    <t>Thigh Boneless Skinless</t>
  </si>
  <si>
    <t>Split Wing</t>
  </si>
  <si>
    <t>Leg Quarter</t>
  </si>
  <si>
    <t>Winglette</t>
  </si>
  <si>
    <t>Drumlette</t>
  </si>
  <si>
    <t>Wing Tip</t>
  </si>
  <si>
    <t>Whole Wing</t>
  </si>
  <si>
    <t>Whole Bird</t>
  </si>
  <si>
    <t>Back</t>
  </si>
  <si>
    <t>ZH61050F</t>
  </si>
  <si>
    <t>ZH61077</t>
  </si>
  <si>
    <t xml:space="preserve">Pallet space </t>
  </si>
  <si>
    <t>Each Pallet</t>
  </si>
  <si>
    <t>18kg Boxes</t>
  </si>
  <si>
    <t>18kg Lids</t>
  </si>
  <si>
    <t>5kg boxes</t>
  </si>
  <si>
    <t>10kg Boxes</t>
  </si>
  <si>
    <t>TP/Baggging Boxes</t>
  </si>
  <si>
    <t>IFCO baskets</t>
  </si>
  <si>
    <t>Center rack and top of north rack.</t>
  </si>
  <si>
    <t>30 at the north wall rack and 10 at the east of the center rack</t>
  </si>
  <si>
    <t>Dumper</t>
  </si>
  <si>
    <t>Packer</t>
  </si>
  <si>
    <t>Machine Operator</t>
  </si>
  <si>
    <t>M.O</t>
  </si>
  <si>
    <t>pack off</t>
  </si>
  <si>
    <t>Box and Basket Maker</t>
  </si>
  <si>
    <t>Scaler</t>
  </si>
  <si>
    <t>Picker</t>
  </si>
  <si>
    <t>P Mover</t>
  </si>
  <si>
    <t>forklift</t>
  </si>
  <si>
    <t>Pelletizing</t>
  </si>
  <si>
    <t>LH&amp;other</t>
  </si>
  <si>
    <t>Pack off</t>
  </si>
  <si>
    <t>Line 1</t>
  </si>
  <si>
    <t>Line 2</t>
  </si>
  <si>
    <t>Line 3</t>
  </si>
  <si>
    <t>Line 4</t>
  </si>
  <si>
    <t>Line 5</t>
  </si>
  <si>
    <t>Line 6</t>
  </si>
  <si>
    <t>Line 9</t>
  </si>
  <si>
    <t>Line 8</t>
  </si>
  <si>
    <t>5000cases</t>
  </si>
  <si>
    <t>Packer %</t>
  </si>
  <si>
    <t>Form TP Order</t>
  </si>
  <si>
    <t>Form Cone line order</t>
  </si>
  <si>
    <t>Order check</t>
  </si>
  <si>
    <t>ShelfLife</t>
  </si>
  <si>
    <t>65</t>
  </si>
  <si>
    <t xml:space="preserve">FILLET  25KG </t>
  </si>
  <si>
    <t xml:space="preserve">WING  18KG </t>
  </si>
  <si>
    <t>159 MS LEG BA 18KG</t>
  </si>
  <si>
    <t>CHICKEN THIGHS 20KG</t>
  </si>
  <si>
    <t>MB BSHB RND AC 10KG</t>
  </si>
  <si>
    <t>BONE IN THIGH</t>
  </si>
  <si>
    <t>868</t>
  </si>
  <si>
    <t>895 DRUM X 18 KG</t>
  </si>
  <si>
    <t xml:space="preserve">SPLIT WING  18 KG </t>
  </si>
  <si>
    <t xml:space="preserve">B/A LEG 18KG  </t>
  </si>
  <si>
    <t>1026 WHOLE WING CAGE</t>
  </si>
  <si>
    <t>Split wing for Bagging</t>
  </si>
  <si>
    <t>1081 RWA BONELESS X20 KG</t>
  </si>
  <si>
    <t>1083 RWA DRUM X20 KG</t>
  </si>
  <si>
    <t xml:space="preserve">BONELESS SKINLESS THIGH 18KG  </t>
  </si>
  <si>
    <t>MS BSHB RND 10KG PAGE: 1 OF 2</t>
  </si>
  <si>
    <t>1887 B/A LEG X20 KG</t>
  </si>
  <si>
    <t>1889 SPLIT WING X20KG</t>
  </si>
  <si>
    <t>1894</t>
  </si>
  <si>
    <t>2231 DRUMS STICK</t>
  </si>
  <si>
    <t>COSTCO BONELESS</t>
  </si>
  <si>
    <t>61069 CUTLET RWA 7232 (PIECES) *5</t>
  </si>
  <si>
    <t>61070 STRIP RWA 7233 (TRAY)*4</t>
  </si>
  <si>
    <t>61069 CUTLET RWA 7243  *10</t>
  </si>
  <si>
    <t>MS FFTF BSHB WOF CUTLET AC PP 7314</t>
  </si>
  <si>
    <t>61064 BUTTERFLY 7814 (TRAY) *2</t>
  </si>
  <si>
    <t xml:space="preserve">FROZEN WINGS 18KG </t>
  </si>
  <si>
    <t>61010 WHOLE WING X25KG</t>
  </si>
  <si>
    <t>61014/20 SPLIT WING X25KG</t>
  </si>
  <si>
    <t>61016 RWA SPLIT WING</t>
  </si>
  <si>
    <t>61040 REJECT SPLIT BREAST X25KG</t>
  </si>
  <si>
    <t>61042 RWA SKLN ON SPLIT BREAST X25KG</t>
  </si>
  <si>
    <t>61048 REJECT SKNLS SPLIT BREAST X25KG</t>
  </si>
  <si>
    <t>61049 RWA SKNLS SPLIT BREAST X25KG</t>
  </si>
  <si>
    <t>61050 PC BONELESS</t>
  </si>
  <si>
    <t>61051 RWA BONELESS</t>
  </si>
  <si>
    <t xml:space="preserve">61061 B/A LEG BASKET </t>
  </si>
  <si>
    <t>B/A IN CAGES X800KG</t>
  </si>
  <si>
    <t>61069</t>
  </si>
  <si>
    <t>61070</t>
  </si>
  <si>
    <t>61072 LCL DRUM STICK X25KG</t>
  </si>
  <si>
    <t>DRUMSTICKS IN CAGE 61073/75</t>
  </si>
  <si>
    <t>61074 RWA DRUM X25KG</t>
  </si>
  <si>
    <t xml:space="preserve">MS WIP AC RWA SKNLS DRUM TRIMMED </t>
  </si>
  <si>
    <t>61077 LCL BONE IN THIGH X25KG</t>
  </si>
  <si>
    <t>61078 COSTCO BONE IN THIGH X25KG</t>
  </si>
  <si>
    <t>61079 RWA BONE IN THIGH</t>
  </si>
  <si>
    <t>DOWNGRADE 61082 #2 BONE IN THIGH</t>
  </si>
  <si>
    <t>61086 LCL THIGH MEAT X25KG</t>
  </si>
  <si>
    <t>61087RWA THIGH MEAT X25KG</t>
  </si>
  <si>
    <t>61104 CHUNK X25 KG</t>
  </si>
  <si>
    <t>61121 BACK BONE X25KG</t>
  </si>
  <si>
    <t xml:space="preserve">A/C HALAL BNLS SKINLESS BREAST </t>
  </si>
  <si>
    <t>200083</t>
  </si>
  <si>
    <t xml:space="preserve">FRONT HALF CAGE </t>
  </si>
  <si>
    <t>200089</t>
  </si>
  <si>
    <t>200095 DRUM X18 KG</t>
  </si>
  <si>
    <t>LEGS WITH BACK ATTACHED</t>
  </si>
  <si>
    <t xml:space="preserve">CHICKEN WITH ONE LEG </t>
  </si>
  <si>
    <t xml:space="preserve">HALAL DRUM  18KG </t>
  </si>
  <si>
    <t>200902 HA THIGH AC 18KG</t>
  </si>
  <si>
    <t>200903 FFF B/A LEG</t>
  </si>
  <si>
    <t xml:space="preserve">BLNS BREAST 10KG  </t>
  </si>
  <si>
    <t>SKIN  203010 FRESH</t>
  </si>
  <si>
    <t>HA LEG BA AC RET 23KG</t>
  </si>
  <si>
    <t>A/C HALAL CHICKEN WINGS</t>
  </si>
  <si>
    <t>BONE IN THIGH FOR AIR CHILL</t>
  </si>
  <si>
    <t>DRUMSTICK FOR AIR CHILL</t>
  </si>
  <si>
    <t>MB HA BSHB AC 25KG RET</t>
  </si>
  <si>
    <t>HA BSTHIGH AC 25KG RET</t>
  </si>
  <si>
    <t>203169  BNLS 25KG</t>
  </si>
  <si>
    <t>203171 HALAL CHICKEN DRUMSTICK</t>
  </si>
  <si>
    <t>203172</t>
  </si>
  <si>
    <t>203173</t>
  </si>
  <si>
    <t>203174</t>
  </si>
  <si>
    <t>203175</t>
  </si>
  <si>
    <t>BNLS THIGH FOR AIR CHILL</t>
  </si>
  <si>
    <t>A/C HALAL WINGLET</t>
  </si>
  <si>
    <t xml:space="preserve">CHICKEN DRUMETTE </t>
  </si>
  <si>
    <t>FAT FRESH 203624 HALAL</t>
  </si>
  <si>
    <t>203846</t>
  </si>
  <si>
    <t xml:space="preserve">FILLET  5KG </t>
  </si>
  <si>
    <t>FROZEN SKIN</t>
  </si>
  <si>
    <t>FAT FROZEN 423624 HALAL</t>
  </si>
  <si>
    <t>WETCHILL SPLIT WING</t>
  </si>
  <si>
    <t>DOWNGRADE 61050 #2 BNLS</t>
  </si>
  <si>
    <t xml:space="preserve">61050 PC BONELESS FFF </t>
  </si>
  <si>
    <t>61050F#2</t>
  </si>
  <si>
    <t>61061 FFF B/A LEG</t>
  </si>
  <si>
    <t>61072 #2 DRUM STICK X25KG</t>
  </si>
  <si>
    <t>61072 FFF DRUM STICK X25KG</t>
  </si>
  <si>
    <t>61077 FFF BONE IN THIGH X25KG</t>
  </si>
  <si>
    <t>DOWNGRADE 61086 #2 T/MEAT X25KG</t>
  </si>
  <si>
    <t>61086 FFF THIGH MEAT X25KG</t>
  </si>
  <si>
    <t>ZH61014</t>
  </si>
  <si>
    <t>FRESH</t>
  </si>
  <si>
    <t>MS BSTHIGH 18KG/BOX</t>
  </si>
  <si>
    <t>Part</t>
  </si>
  <si>
    <t>Short Name</t>
  </si>
  <si>
    <t>Group</t>
  </si>
  <si>
    <t>Level</t>
  </si>
  <si>
    <t>Adjusted Yield (% normalized to 100%)</t>
  </si>
  <si>
    <t>Breast (bone-in)</t>
  </si>
  <si>
    <t>yellow test with hand cut</t>
  </si>
  <si>
    <t>Boneless Skinless Breast</t>
  </si>
  <si>
    <t>Tenderloin</t>
  </si>
  <si>
    <t>BA Leg</t>
  </si>
  <si>
    <t>LegBA</t>
  </si>
  <si>
    <t>Wleg</t>
  </si>
  <si>
    <t>Leg</t>
  </si>
  <si>
    <t>Thigh (bone-in)</t>
  </si>
  <si>
    <t>Boneless Thigh</t>
  </si>
  <si>
    <t>Drumstick</t>
  </si>
  <si>
    <t>Wing - Drumette</t>
  </si>
  <si>
    <t>Wing - Mid-joint</t>
  </si>
  <si>
    <t>Wing - Tip</t>
  </si>
  <si>
    <t>Skin</t>
  </si>
  <si>
    <t>Trim / Fat / Misc</t>
  </si>
  <si>
    <t>Other</t>
  </si>
  <si>
    <t>drum</t>
  </si>
  <si>
    <t>thigh</t>
  </si>
  <si>
    <t>back</t>
  </si>
  <si>
    <t>Cut up</t>
  </si>
  <si>
    <t>Tray pack</t>
  </si>
  <si>
    <t>IN</t>
  </si>
  <si>
    <t>关键指标</t>
  </si>
  <si>
    <t>Relese</t>
  </si>
  <si>
    <t>(001730) Cut Crew Am</t>
  </si>
  <si>
    <t>总完成率</t>
  </si>
  <si>
    <t>Strat</t>
  </si>
  <si>
    <t>(001733) Cone Line Am</t>
  </si>
  <si>
    <t>Employees</t>
  </si>
  <si>
    <t>(001740) Tray Pack Am</t>
  </si>
  <si>
    <t>员工到岗率</t>
  </si>
  <si>
    <t>(001743) Bagging</t>
  </si>
  <si>
    <t>(001745) Thigh Deboning Crew</t>
  </si>
  <si>
    <t>Tray Pack</t>
  </si>
  <si>
    <t>Total Bulk Pack</t>
  </si>
  <si>
    <t>(001775) Order Picking</t>
  </si>
  <si>
    <t>Cut-Up</t>
  </si>
  <si>
    <t>Bird Cut</t>
  </si>
  <si>
    <t>员工缺口</t>
  </si>
  <si>
    <t>BPM</t>
  </si>
  <si>
    <t>Cases/H</t>
  </si>
  <si>
    <t>部门</t>
  </si>
  <si>
    <t>已完成</t>
  </si>
  <si>
    <t>目标</t>
  </si>
  <si>
    <t>生产物料规划表 - 订单与鸡笼需求分析 (已修复聚合逻辑)</t>
  </si>
  <si>
    <t>修复时间: 2026-01-02 06:50:59</t>
  </si>
  <si>
    <t>一、订单与鸡笼需求</t>
  </si>
  <si>
    <t>订单类型</t>
  </si>
  <si>
    <t>订单数(cases)</t>
  </si>
  <si>
    <t>Avg重量(kg)</t>
  </si>
  <si>
    <t>WIP需求(kg)</t>
  </si>
  <si>
    <t>Yield(%)</t>
  </si>
  <si>
    <t>Raw_kg需求</t>
  </si>
  <si>
    <t>Cages需要</t>
  </si>
  <si>
    <t>状态</t>
  </si>
  <si>
    <t>TrayPack</t>
  </si>
  <si>
    <t>BulkPack</t>
  </si>
  <si>
    <t>总计</t>
  </si>
  <si>
    <t>二、鸡笼库存与需求对比</t>
  </si>
  <si>
    <t>项目</t>
  </si>
  <si>
    <t>数量</t>
  </si>
  <si>
    <t>说明</t>
  </si>
  <si>
    <t>今日可切笼数</t>
  </si>
  <si>
    <t>从鸡笼计划</t>
  </si>
  <si>
    <t>所有订单需要笼数</t>
  </si>
  <si>
    <t>TrayPack + BulkPack + Bagging</t>
  </si>
  <si>
    <t>剩余笼数</t>
  </si>
  <si>
    <t>库存状态</t>
  </si>
  <si>
    <t>缺口数量</t>
  </si>
  <si>
    <t>三、原料库存状态</t>
  </si>
  <si>
    <t>原料SKU</t>
  </si>
  <si>
    <t>库存(cases)</t>
  </si>
  <si>
    <t>需求(cases)</t>
  </si>
  <si>
    <t>剩余</t>
  </si>
  <si>
    <t>Tray Pack and Bagging Production Weekly Focus</t>
  </si>
  <si>
    <t>Monday</t>
  </si>
  <si>
    <t>Tuesday</t>
  </si>
  <si>
    <t>Wednesday</t>
  </si>
  <si>
    <t>Thursday</t>
  </si>
  <si>
    <t>Friday</t>
  </si>
  <si>
    <t>Saturday</t>
  </si>
  <si>
    <t>Sunday</t>
  </si>
  <si>
    <t>Ahead next week</t>
  </si>
  <si>
    <t>Cases Reqeust</t>
  </si>
  <si>
    <t>Day left for the week</t>
  </si>
  <si>
    <t>Fast Product Hrs Request</t>
  </si>
  <si>
    <t>Work Hours</t>
  </si>
  <si>
    <t>Line Request</t>
  </si>
  <si>
    <t>% of the Fast Hours</t>
  </si>
  <si>
    <t>Total Man hours request</t>
  </si>
  <si>
    <t>Normal Product Hrs Request</t>
  </si>
  <si>
    <t>LABOUR EFFICIENCY</t>
  </si>
  <si>
    <t>Bagging Industry</t>
  </si>
  <si>
    <t>% of the Normal Hours</t>
  </si>
  <si>
    <t>Slow Product Hrs Request</t>
  </si>
  <si>
    <t>% of the Slow Hours</t>
  </si>
  <si>
    <t>Ees Req</t>
  </si>
  <si>
    <t>Hours</t>
  </si>
  <si>
    <t>PLAN</t>
  </si>
  <si>
    <t>Case Req /day</t>
  </si>
  <si>
    <t>Plan A</t>
  </si>
  <si>
    <t>Total KG</t>
  </si>
  <si>
    <t>KGs per man Hour</t>
  </si>
  <si>
    <t>AM</t>
  </si>
  <si>
    <t>LIVE</t>
  </si>
  <si>
    <t>EEs Req /shift</t>
  </si>
  <si>
    <t>PM</t>
  </si>
  <si>
    <t>Line Req/shift</t>
  </si>
  <si>
    <t xml:space="preserve">Total </t>
  </si>
  <si>
    <t>Fast Line Worker</t>
  </si>
  <si>
    <t>work ahead</t>
  </si>
  <si>
    <t>Normal Line Worker</t>
  </si>
  <si>
    <t>Change Over at Order</t>
  </si>
  <si>
    <t>Slow Line worker</t>
  </si>
  <si>
    <t>Change Over AM Shift</t>
  </si>
  <si>
    <t>Change Over PM Shift</t>
  </si>
  <si>
    <t xml:space="preserve"> Cases Request</t>
  </si>
  <si>
    <t>Plan B</t>
  </si>
  <si>
    <t>AM Worker Full hours</t>
  </si>
  <si>
    <t>AM OT</t>
  </si>
  <si>
    <t>AM hours</t>
  </si>
  <si>
    <t>PM Worker Full hours</t>
  </si>
  <si>
    <t>PM OT</t>
  </si>
  <si>
    <t>PM hours</t>
  </si>
  <si>
    <t>Work Hrs</t>
  </si>
  <si>
    <t>OT or Early out</t>
  </si>
  <si>
    <t>Hrs Req</t>
  </si>
  <si>
    <t>Plan C</t>
  </si>
  <si>
    <t>Total Hrs</t>
  </si>
  <si>
    <t xml:space="preserve">Tray </t>
  </si>
  <si>
    <t>WIP code</t>
  </si>
  <si>
    <t xml:space="preserve">Order </t>
  </si>
  <si>
    <t>Extra</t>
  </si>
  <si>
    <t>AVG/DAY</t>
  </si>
  <si>
    <t>N</t>
  </si>
  <si>
    <t>203624 Fat ( 10 day )</t>
  </si>
  <si>
    <t>423002 F Skin ( 273 day )</t>
  </si>
  <si>
    <t>61064 Cutlet by Pieces</t>
  </si>
  <si>
    <t>200089 Combo ( 10 day)</t>
  </si>
  <si>
    <t>203010 Fresh skin</t>
  </si>
  <si>
    <t>10000cs+</t>
  </si>
  <si>
    <t>Food Roll</t>
  </si>
  <si>
    <t>Goodmark</t>
  </si>
  <si>
    <t>included rejected</t>
  </si>
  <si>
    <t xml:space="preserve"> rejected only</t>
  </si>
  <si>
    <t xml:space="preserve">have to be from 200140 birds </t>
  </si>
  <si>
    <t>fill this first before 1412</t>
  </si>
  <si>
    <t xml:space="preserve">included Rejected </t>
  </si>
  <si>
    <t>MS WIP AC CUTLET</t>
  </si>
  <si>
    <t>MB HA SPL WING AC 18KG</t>
  </si>
  <si>
    <t>MS HA FRZ BSHB CHUNK 2 BG 10KG</t>
  </si>
  <si>
    <t>MS PC THIGH AC PET6 PP BSK</t>
  </si>
  <si>
    <t>MS PC BM BSHB AC PET8 PP BSK</t>
  </si>
  <si>
    <t>MS PC BM BSHB AC PET3 PP BSK</t>
  </si>
  <si>
    <t>MS PC BM BSTHIGH AC PET6 PP BSK</t>
  </si>
  <si>
    <t>MB WING 2ND 18KG</t>
  </si>
  <si>
    <t>MB SPL WING 2ND 18KG</t>
  </si>
  <si>
    <t>MS AC HA FRAME CAGE</t>
  </si>
  <si>
    <t>MS HA BACK AC CAGE</t>
  </si>
  <si>
    <t>MB FFP HA FRZ SKIN RET 25KG</t>
  </si>
  <si>
    <t>Totals</t>
  </si>
  <si>
    <t>MS DRUM 2ND 18KG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</si>
</sst>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7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3"/>
      <scheme val="minor"/>
    </font>
    <font>
      <sz val="9"/>
      <name val="Calibri"/>
      <family val="3"/>
      <scheme val="minor"/>
    </font>
    <font>
      <b/>
      <sz val="9"/>
      <color theme="1"/>
      <name val="Calibri"/>
      <family val="3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3"/>
      <scheme val="minor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2"/>
      <scheme val="maj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Arial"/>
      <family val="2"/>
    </font>
    <font>
      <b/>
      <sz val="8"/>
      <color rgb="FF000000"/>
      <name val="Verdana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4"/>
      <color theme="1"/>
      <name val="幼圆"/>
      <family val="3"/>
      <charset val="134"/>
    </font>
    <font>
      <sz val="12"/>
      <name val="Cambria"/>
      <family val="2"/>
      <scheme val="major"/>
    </font>
    <font>
      <sz val="10"/>
      <name val="Cambria"/>
      <family val="2"/>
      <scheme val="major"/>
    </font>
    <font>
      <sz val="10"/>
      <color rgb="FF000000"/>
      <name val="Cambria"/>
      <family val="3"/>
      <scheme val="major"/>
    </font>
    <font>
      <sz val="10"/>
      <color theme="1"/>
      <name val="Cambria"/>
      <family val="3"/>
      <scheme val="major"/>
    </font>
    <font>
      <sz val="12"/>
      <color theme="1"/>
      <name val="Cambria"/>
      <family val="2"/>
      <scheme val="major"/>
    </font>
    <font>
      <sz val="11"/>
      <color rgb="FF000000"/>
      <name val="DengXian"/>
      <family val="3"/>
      <charset val="134"/>
    </font>
    <font>
      <sz val="10"/>
      <name val="Cambria"/>
      <family val="3"/>
      <scheme val="major"/>
    </font>
    <font>
      <sz val="11"/>
      <name val="DengXian"/>
      <family val="3"/>
      <charset val="134"/>
    </font>
    <font>
      <sz val="11"/>
      <color theme="1"/>
      <name val="DengXian"/>
      <family val="3"/>
      <charset val="134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Microsoft JhengHei"/>
      <family val="2"/>
    </font>
    <font>
      <b/>
      <sz val="36"/>
      <color theme="1"/>
      <name val="Microsoft JhengHe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0"/>
      <name val="Arial"/>
      <family val="2"/>
    </font>
    <font>
      <sz val="10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343A4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8"/>
      <color rgb="FF000000"/>
      <name val="Calibri"/>
      <family val="2"/>
    </font>
    <font>
      <i/>
      <sz val="10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sz val="11"/>
      <color rgb="FF343A40"/>
      <name val="Calibri"/>
      <family val="2"/>
    </font>
    <font>
      <sz val="8"/>
      <color rgb="FF343A40"/>
      <name val="Calibri"/>
      <family val="2"/>
    </font>
    <font>
      <sz val="8"/>
      <color rgb="FF000000"/>
      <name val="Calibri"/>
      <family val="2"/>
    </font>
    <font>
      <sz val="10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43A40"/>
        <bgColor rgb="FF343A40"/>
      </patternFill>
    </fill>
    <fill>
      <patternFill patternType="solid">
        <fgColor rgb="FF495057"/>
        <bgColor rgb="FF495057"/>
      </patternFill>
    </fill>
    <fill>
      <patternFill patternType="solid">
        <fgColor rgb="FFADB5BD"/>
        <bgColor rgb="FFADB5BD"/>
      </patternFill>
    </fill>
    <fill>
      <patternFill patternType="solid">
        <fgColor rgb="FFE9ECEF"/>
        <bgColor rgb="FFE9ECEF"/>
      </patternFill>
    </fill>
    <fill>
      <patternFill patternType="solid">
        <fgColor rgb="FFF8F9FA"/>
        <bgColor rgb="FFF8F9FA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343A40"/>
        <bgColor rgb="FF343A40"/>
      </patternFill>
    </fill>
    <fill>
      <patternFill patternType="solid">
        <fgColor rgb="FF70AD47"/>
        <bgColor rgb="FF70AD47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 style="thin">
        <color rgb="FFCED4DA"/>
      </bottom>
      <diagonal/>
    </border>
    <border>
      <left/>
      <right style="thin">
        <color rgb="FFCED4DA"/>
      </right>
      <top style="thin">
        <color rgb="FFCED4DA"/>
      </top>
      <bottom style="thin">
        <color rgb="FFCED4D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ED4DA"/>
      </left>
      <right/>
      <top style="thin">
        <color rgb="FFCED4DA"/>
      </top>
      <bottom style="thin">
        <color rgb="FFCED4DA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84">
    <xf numFmtId="0" fontId="0" fillId="0" borderId="0" xfId="0"/>
    <xf numFmtId="0" fontId="1" fillId="0" borderId="1" xfId="0" applyFont="1" applyBorder="1" applyAlignment="1">
      <alignment horizontal="centerContinuous" vertical="center"/>
    </xf>
    <xf numFmtId="20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43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165" fontId="4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" fontId="4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vertical="center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vertical="top"/>
    </xf>
    <xf numFmtId="1" fontId="2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/>
    <xf numFmtId="10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Alignment="1">
      <alignment horizontal="center"/>
    </xf>
    <xf numFmtId="168" fontId="3" fillId="2" borderId="1" xfId="0" applyNumberFormat="1" applyFont="1" applyFill="1" applyBorder="1" applyAlignment="1">
      <alignment horizontal="center"/>
    </xf>
    <xf numFmtId="166" fontId="2" fillId="0" borderId="0" xfId="0" applyNumberFormat="1" applyFont="1"/>
    <xf numFmtId="164" fontId="3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3" fillId="2" borderId="1" xfId="0" applyNumberFormat="1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16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right"/>
    </xf>
    <xf numFmtId="1" fontId="3" fillId="6" borderId="1" xfId="0" applyNumberFormat="1" applyFont="1" applyFill="1" applyBorder="1" applyAlignment="1">
      <alignment horizontal="center"/>
    </xf>
    <xf numFmtId="168" fontId="3" fillId="6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right"/>
    </xf>
    <xf numFmtId="1" fontId="3" fillId="7" borderId="1" xfId="0" applyNumberFormat="1" applyFont="1" applyFill="1" applyBorder="1" applyAlignment="1">
      <alignment horizontal="center"/>
    </xf>
    <xf numFmtId="168" fontId="3" fillId="7" borderId="1" xfId="0" applyNumberFormat="1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167" fontId="3" fillId="8" borderId="1" xfId="0" applyNumberFormat="1" applyFont="1" applyFill="1" applyBorder="1" applyAlignment="1">
      <alignment horizontal="right"/>
    </xf>
    <xf numFmtId="1" fontId="3" fillId="8" borderId="1" xfId="0" applyNumberFormat="1" applyFont="1" applyFill="1" applyBorder="1" applyAlignment="1">
      <alignment horizontal="center"/>
    </xf>
    <xf numFmtId="168" fontId="3" fillId="8" borderId="1" xfId="0" applyNumberFormat="1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167" fontId="3" fillId="9" borderId="1" xfId="0" applyNumberFormat="1" applyFont="1" applyFill="1" applyBorder="1" applyAlignment="1">
      <alignment horizontal="right"/>
    </xf>
    <xf numFmtId="1" fontId="3" fillId="9" borderId="1" xfId="0" applyNumberFormat="1" applyFont="1" applyFill="1" applyBorder="1" applyAlignment="1">
      <alignment horizontal="center"/>
    </xf>
    <xf numFmtId="168" fontId="3" fillId="9" borderId="1" xfId="0" applyNumberFormat="1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167" fontId="3" fillId="10" borderId="1" xfId="0" applyNumberFormat="1" applyFont="1" applyFill="1" applyBorder="1" applyAlignment="1">
      <alignment horizontal="right"/>
    </xf>
    <xf numFmtId="1" fontId="3" fillId="10" borderId="1" xfId="0" applyNumberFormat="1" applyFont="1" applyFill="1" applyBorder="1" applyAlignment="1">
      <alignment horizontal="center"/>
    </xf>
    <xf numFmtId="168" fontId="3" fillId="10" borderId="1" xfId="0" applyNumberFormat="1" applyFont="1" applyFill="1" applyBorder="1" applyAlignment="1">
      <alignment horizontal="center"/>
    </xf>
    <xf numFmtId="0" fontId="12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/>
    <xf numFmtId="0" fontId="12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5" fillId="16" borderId="0" xfId="0" applyFont="1" applyFill="1" applyAlignment="1">
      <alignment horizontal="center" vertical="center" wrapText="1"/>
    </xf>
    <xf numFmtId="169" fontId="16" fillId="11" borderId="0" xfId="0" applyNumberFormat="1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1" fontId="17" fillId="17" borderId="0" xfId="0" applyNumberFormat="1" applyFont="1" applyFill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0" xfId="0" applyFont="1" applyFill="1"/>
    <xf numFmtId="0" fontId="3" fillId="18" borderId="0" xfId="0" applyFont="1" applyFill="1" applyAlignment="1">
      <alignment horizontal="right"/>
    </xf>
    <xf numFmtId="0" fontId="20" fillId="0" borderId="0" xfId="0" applyFont="1"/>
    <xf numFmtId="0" fontId="21" fillId="0" borderId="0" xfId="0" applyFont="1" applyAlignment="1">
      <alignment horizontal="centerContinuous" vertical="center"/>
    </xf>
    <xf numFmtId="0" fontId="15" fillId="19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22" fillId="0" borderId="1" xfId="0" applyFont="1" applyBorder="1"/>
    <xf numFmtId="15" fontId="15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4" fillId="21" borderId="1" xfId="0" applyFont="1" applyFill="1" applyBorder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 wrapText="1"/>
    </xf>
    <xf numFmtId="15" fontId="19" fillId="3" borderId="1" xfId="0" applyNumberFormat="1" applyFont="1" applyFill="1" applyBorder="1" applyAlignment="1">
      <alignment horizontal="center" vertical="center" wrapText="1"/>
    </xf>
    <xf numFmtId="15" fontId="19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2" fillId="0" borderId="0" xfId="0" applyNumberFormat="1" applyFont="1"/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/>
    <xf numFmtId="164" fontId="2" fillId="3" borderId="1" xfId="0" applyNumberFormat="1" applyFont="1" applyFill="1" applyBorder="1" applyAlignment="1">
      <alignment horizontal="center" vertical="center"/>
    </xf>
    <xf numFmtId="2" fontId="2" fillId="0" borderId="0" xfId="0" applyNumberFormat="1" applyFont="1"/>
    <xf numFmtId="0" fontId="2" fillId="0" borderId="1" xfId="0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28" fillId="22" borderId="1" xfId="0" applyFont="1" applyFill="1" applyBorder="1" applyAlignment="1">
      <alignment horizontal="center" vertical="center" wrapText="1"/>
    </xf>
    <xf numFmtId="164" fontId="2" fillId="22" borderId="1" xfId="0" applyNumberFormat="1" applyFont="1" applyFill="1" applyBorder="1" applyAlignment="1">
      <alignment horizontal="center" vertical="center"/>
    </xf>
    <xf numFmtId="9" fontId="2" fillId="22" borderId="1" xfId="0" applyNumberFormat="1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1" xfId="0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6" fillId="0" borderId="0" xfId="0" applyFont="1"/>
    <xf numFmtId="0" fontId="16" fillId="0" borderId="1" xfId="0" applyFont="1" applyBorder="1"/>
    <xf numFmtId="0" fontId="16" fillId="23" borderId="4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" fontId="27" fillId="23" borderId="1" xfId="0" applyNumberFormat="1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16" fillId="23" borderId="3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/>
    <xf numFmtId="0" fontId="30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1" fillId="5" borderId="0" xfId="0" applyFont="1" applyFill="1" applyAlignment="1">
      <alignment horizontal="left"/>
    </xf>
    <xf numFmtId="0" fontId="7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7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2" fontId="33" fillId="5" borderId="0" xfId="0" applyNumberFormat="1" applyFont="1" applyFill="1" applyAlignment="1">
      <alignment horizontal="left"/>
    </xf>
    <xf numFmtId="2" fontId="33" fillId="0" borderId="0" xfId="0" applyNumberFormat="1" applyFont="1" applyAlignment="1">
      <alignment horizontal="left"/>
    </xf>
    <xf numFmtId="0" fontId="17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2" fontId="2" fillId="5" borderId="0" xfId="0" applyNumberFormat="1" applyFont="1" applyFill="1" applyAlignment="1">
      <alignment horizontal="left"/>
    </xf>
    <xf numFmtId="0" fontId="34" fillId="5" borderId="0" xfId="0" applyFont="1" applyFill="1" applyAlignment="1">
      <alignment horizontal="left"/>
    </xf>
    <xf numFmtId="0" fontId="35" fillId="0" borderId="1" xfId="0" applyFont="1" applyBorder="1" applyAlignment="1">
      <alignment horizontal="left" vertical="center"/>
    </xf>
    <xf numFmtId="0" fontId="36" fillId="5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7" fillId="0" borderId="0" xfId="0" applyFont="1"/>
    <xf numFmtId="0" fontId="33" fillId="0" borderId="1" xfId="0" applyFont="1" applyBorder="1"/>
    <xf numFmtId="1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3" fillId="24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38" fillId="24" borderId="1" xfId="0" applyFont="1" applyFill="1" applyBorder="1"/>
    <xf numFmtId="0" fontId="23" fillId="24" borderId="1" xfId="0" applyFont="1" applyFill="1" applyBorder="1" applyAlignment="1">
      <alignment horizontal="right" vertical="center"/>
    </xf>
    <xf numFmtId="0" fontId="27" fillId="0" borderId="8" xfId="0" applyFont="1" applyBorder="1"/>
    <xf numFmtId="170" fontId="27" fillId="24" borderId="1" xfId="0" applyNumberFormat="1" applyFont="1" applyFill="1" applyBorder="1"/>
    <xf numFmtId="1" fontId="27" fillId="24" borderId="1" xfId="0" applyNumberFormat="1" applyFont="1" applyFill="1" applyBorder="1" applyAlignment="1">
      <alignment horizontal="right" vertical="center"/>
    </xf>
    <xf numFmtId="164" fontId="27" fillId="24" borderId="1" xfId="0" applyNumberFormat="1" applyFont="1" applyFill="1" applyBorder="1"/>
    <xf numFmtId="2" fontId="27" fillId="0" borderId="0" xfId="0" applyNumberFormat="1" applyFont="1" applyAlignment="1">
      <alignment horizontal="right" vertical="center"/>
    </xf>
    <xf numFmtId="0" fontId="27" fillId="21" borderId="1" xfId="0" applyFont="1" applyFill="1" applyBorder="1"/>
    <xf numFmtId="1" fontId="23" fillId="21" borderId="1" xfId="0" applyNumberFormat="1" applyFont="1" applyFill="1" applyBorder="1" applyAlignment="1">
      <alignment horizontal="right"/>
    </xf>
    <xf numFmtId="0" fontId="23" fillId="0" borderId="0" xfId="0" applyFont="1" applyAlignment="1">
      <alignment horizontal="center"/>
    </xf>
    <xf numFmtId="0" fontId="27" fillId="25" borderId="1" xfId="0" applyFont="1" applyFill="1" applyBorder="1"/>
    <xf numFmtId="0" fontId="27" fillId="25" borderId="1" xfId="0" applyFont="1" applyFill="1" applyBorder="1" applyAlignment="1">
      <alignment horizontal="center"/>
    </xf>
    <xf numFmtId="0" fontId="23" fillId="26" borderId="1" xfId="0" applyFont="1" applyFill="1" applyBorder="1" applyAlignment="1">
      <alignment horizontal="center" vertical="center"/>
    </xf>
    <xf numFmtId="0" fontId="39" fillId="24" borderId="1" xfId="0" applyFont="1" applyFill="1" applyBorder="1" applyAlignment="1">
      <alignment horizontal="right" vertical="center" wrapText="1"/>
    </xf>
    <xf numFmtId="1" fontId="27" fillId="0" borderId="0" xfId="0" applyNumberFormat="1" applyFont="1" applyAlignment="1">
      <alignment horizontal="right" vertical="center"/>
    </xf>
    <xf numFmtId="0" fontId="23" fillId="24" borderId="1" xfId="0" applyFont="1" applyFill="1" applyBorder="1"/>
    <xf numFmtId="1" fontId="23" fillId="24" borderId="1" xfId="0" applyNumberFormat="1" applyFont="1" applyFill="1" applyBorder="1" applyAlignment="1">
      <alignment horizontal="right"/>
    </xf>
    <xf numFmtId="164" fontId="27" fillId="25" borderId="1" xfId="0" applyNumberFormat="1" applyFont="1" applyFill="1" applyBorder="1"/>
    <xf numFmtId="0" fontId="27" fillId="24" borderId="1" xfId="0" applyFont="1" applyFill="1" applyBorder="1"/>
    <xf numFmtId="0" fontId="27" fillId="26" borderId="1" xfId="0" applyFont="1" applyFill="1" applyBorder="1"/>
    <xf numFmtId="2" fontId="27" fillId="0" borderId="1" xfId="0" applyNumberFormat="1" applyFont="1" applyBorder="1" applyAlignment="1">
      <alignment horizontal="center" vertical="center"/>
    </xf>
    <xf numFmtId="20" fontId="27" fillId="24" borderId="1" xfId="0" applyNumberFormat="1" applyFont="1" applyFill="1" applyBorder="1" applyAlignment="1">
      <alignment horizontal="center" vertical="center"/>
    </xf>
    <xf numFmtId="166" fontId="2" fillId="24" borderId="1" xfId="0" applyNumberFormat="1" applyFont="1" applyFill="1" applyBorder="1" applyAlignment="1">
      <alignment horizontal="center" vertical="center"/>
    </xf>
    <xf numFmtId="20" fontId="2" fillId="0" borderId="0" xfId="0" applyNumberFormat="1" applyFont="1"/>
    <xf numFmtId="171" fontId="27" fillId="0" borderId="0" xfId="0" applyNumberFormat="1" applyFont="1" applyAlignment="1">
      <alignment horizontal="right" vertical="center"/>
    </xf>
    <xf numFmtId="0" fontId="23" fillId="21" borderId="1" xfId="0" applyFont="1" applyFill="1" applyBorder="1"/>
    <xf numFmtId="2" fontId="23" fillId="21" borderId="1" xfId="0" applyNumberFormat="1" applyFont="1" applyFill="1" applyBorder="1" applyAlignment="1">
      <alignment horizontal="right"/>
    </xf>
    <xf numFmtId="2" fontId="23" fillId="24" borderId="1" xfId="0" applyNumberFormat="1" applyFont="1" applyFill="1" applyBorder="1" applyAlignment="1">
      <alignment horizontal="right"/>
    </xf>
    <xf numFmtId="2" fontId="27" fillId="25" borderId="1" xfId="0" applyNumberFormat="1" applyFont="1" applyFill="1" applyBorder="1"/>
    <xf numFmtId="172" fontId="27" fillId="0" borderId="0" xfId="0" applyNumberFormat="1" applyFont="1"/>
    <xf numFmtId="0" fontId="23" fillId="27" borderId="1" xfId="0" applyFont="1" applyFill="1" applyBorder="1"/>
    <xf numFmtId="2" fontId="23" fillId="15" borderId="1" xfId="0" applyNumberFormat="1" applyFont="1" applyFill="1" applyBorder="1" applyAlignment="1">
      <alignment horizontal="right"/>
    </xf>
    <xf numFmtId="0" fontId="23" fillId="15" borderId="1" xfId="0" applyFont="1" applyFill="1" applyBorder="1"/>
    <xf numFmtId="166" fontId="23" fillId="14" borderId="1" xfId="0" applyNumberFormat="1" applyFont="1" applyFill="1" applyBorder="1" applyAlignment="1">
      <alignment horizontal="right"/>
    </xf>
    <xf numFmtId="166" fontId="23" fillId="0" borderId="0" xfId="0" applyNumberFormat="1" applyFont="1" applyAlignment="1">
      <alignment horizontal="center" vertical="center"/>
    </xf>
    <xf numFmtId="166" fontId="38" fillId="14" borderId="1" xfId="0" applyNumberFormat="1" applyFont="1" applyFill="1" applyBorder="1" applyAlignment="1">
      <alignment horizontal="right"/>
    </xf>
    <xf numFmtId="173" fontId="27" fillId="0" borderId="0" xfId="0" applyNumberFormat="1" applyFont="1"/>
    <xf numFmtId="0" fontId="23" fillId="15" borderId="9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/>
    </xf>
    <xf numFmtId="20" fontId="27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3" fillId="5" borderId="1" xfId="0" applyNumberFormat="1" applyFont="1" applyFill="1" applyBorder="1" applyAlignment="1">
      <alignment horizontal="center" vertical="center"/>
    </xf>
    <xf numFmtId="20" fontId="27" fillId="0" borderId="0" xfId="0" applyNumberFormat="1" applyFont="1"/>
    <xf numFmtId="164" fontId="27" fillId="24" borderId="3" xfId="0" applyNumberFormat="1" applyFont="1" applyFill="1" applyBorder="1"/>
    <xf numFmtId="2" fontId="27" fillId="0" borderId="0" xfId="0" applyNumberFormat="1" applyFont="1" applyAlignment="1">
      <alignment horizontal="left"/>
    </xf>
    <xf numFmtId="169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 vertical="center"/>
    </xf>
    <xf numFmtId="2" fontId="27" fillId="0" borderId="0" xfId="0" applyNumberFormat="1" applyFont="1"/>
    <xf numFmtId="171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172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/>
    </xf>
    <xf numFmtId="164" fontId="27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/>
    </xf>
    <xf numFmtId="174" fontId="27" fillId="0" borderId="0" xfId="0" applyNumberFormat="1" applyFont="1"/>
    <xf numFmtId="0" fontId="27" fillId="0" borderId="0" xfId="0" applyFont="1" applyAlignment="1">
      <alignment horizontal="right"/>
    </xf>
    <xf numFmtId="170" fontId="27" fillId="0" borderId="0" xfId="0" applyNumberFormat="1" applyFont="1" applyAlignment="1">
      <alignment horizontal="center"/>
    </xf>
    <xf numFmtId="0" fontId="26" fillId="0" borderId="0" xfId="0" applyFont="1"/>
    <xf numFmtId="1" fontId="27" fillId="0" borderId="0" xfId="0" applyNumberFormat="1" applyFont="1"/>
    <xf numFmtId="170" fontId="27" fillId="28" borderId="1" xfId="0" applyNumberFormat="1" applyFont="1" applyFill="1" applyBorder="1"/>
    <xf numFmtId="0" fontId="27" fillId="29" borderId="0" xfId="0" applyFont="1" applyFill="1"/>
    <xf numFmtId="1" fontId="27" fillId="29" borderId="0" xfId="0" applyNumberFormat="1" applyFont="1" applyFill="1"/>
    <xf numFmtId="0" fontId="7" fillId="0" borderId="1" xfId="0" applyFont="1" applyBorder="1" applyAlignment="1">
      <alignment horizontal="center" vertical="center"/>
    </xf>
    <xf numFmtId="170" fontId="2" fillId="24" borderId="1" xfId="0" applyNumberFormat="1" applyFont="1" applyFill="1" applyBorder="1"/>
    <xf numFmtId="0" fontId="16" fillId="4" borderId="1" xfId="0" applyFont="1" applyFill="1" applyBorder="1" applyAlignment="1">
      <alignment horizontal="center" vertical="center"/>
    </xf>
    <xf numFmtId="0" fontId="16" fillId="30" borderId="1" xfId="0" applyFont="1" applyFill="1" applyBorder="1" applyAlignment="1">
      <alignment horizontal="center" vertical="center"/>
    </xf>
    <xf numFmtId="0" fontId="16" fillId="31" borderId="1" xfId="0" applyFont="1" applyFill="1" applyBorder="1" applyAlignment="1">
      <alignment horizontal="center" vertical="center"/>
    </xf>
    <xf numFmtId="0" fontId="16" fillId="32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0" fontId="27" fillId="0" borderId="1" xfId="0" applyFont="1" applyBorder="1"/>
    <xf numFmtId="170" fontId="27" fillId="0" borderId="1" xfId="0" applyNumberFormat="1" applyFont="1" applyBorder="1"/>
    <xf numFmtId="164" fontId="27" fillId="0" borderId="0" xfId="0" applyNumberFormat="1" applyFont="1"/>
    <xf numFmtId="166" fontId="2" fillId="0" borderId="1" xfId="0" applyNumberFormat="1" applyFont="1" applyBorder="1"/>
    <xf numFmtId="10" fontId="2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right"/>
    </xf>
    <xf numFmtId="10" fontId="33" fillId="3" borderId="3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/>
    </xf>
    <xf numFmtId="9" fontId="2" fillId="0" borderId="0" xfId="0" applyNumberFormat="1" applyFont="1"/>
    <xf numFmtId="10" fontId="3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0" fontId="33" fillId="3" borderId="1" xfId="0" applyNumberFormat="1" applyFont="1" applyFill="1" applyBorder="1" applyAlignment="1">
      <alignment horizontal="center" vertical="center"/>
    </xf>
    <xf numFmtId="10" fontId="22" fillId="0" borderId="1" xfId="0" applyNumberFormat="1" applyFont="1" applyBorder="1" applyAlignment="1">
      <alignment horizontal="center" vertical="center"/>
    </xf>
    <xf numFmtId="10" fontId="33" fillId="0" borderId="1" xfId="0" applyNumberFormat="1" applyFont="1" applyBorder="1" applyAlignment="1">
      <alignment horizontal="center" vertical="center"/>
    </xf>
    <xf numFmtId="9" fontId="33" fillId="0" borderId="1" xfId="0" applyNumberFormat="1" applyFont="1" applyBorder="1" applyAlignment="1">
      <alignment horizontal="center" vertical="center"/>
    </xf>
    <xf numFmtId="9" fontId="22" fillId="0" borderId="1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right"/>
    </xf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0" fontId="33" fillId="0" borderId="10" xfId="0" applyNumberFormat="1" applyFont="1" applyBorder="1" applyAlignment="1">
      <alignment horizontal="center" vertical="center"/>
    </xf>
    <xf numFmtId="0" fontId="2" fillId="0" borderId="11" xfId="0" applyFont="1" applyBorder="1"/>
    <xf numFmtId="166" fontId="2" fillId="0" borderId="0" xfId="0" applyNumberFormat="1" applyFont="1" applyAlignment="1">
      <alignment horizontal="right"/>
    </xf>
    <xf numFmtId="10" fontId="2" fillId="3" borderId="0" xfId="0" applyNumberFormat="1" applyFont="1" applyFill="1" applyAlignment="1">
      <alignment horizontal="center" vertical="center"/>
    </xf>
    <xf numFmtId="10" fontId="33" fillId="0" borderId="1" xfId="0" applyNumberFormat="1" applyFont="1" applyBorder="1" applyAlignment="1">
      <alignment horizontal="left" vertical="center"/>
    </xf>
    <xf numFmtId="0" fontId="40" fillId="0" borderId="0" xfId="0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29" borderId="1" xfId="0" applyFont="1" applyFill="1" applyBorder="1" applyAlignment="1">
      <alignment horizontal="center" vertical="center"/>
    </xf>
    <xf numFmtId="166" fontId="2" fillId="29" borderId="1" xfId="0" applyNumberFormat="1" applyFont="1" applyFill="1" applyBorder="1" applyAlignment="1">
      <alignment horizontal="center" vertical="center"/>
    </xf>
    <xf numFmtId="0" fontId="41" fillId="29" borderId="1" xfId="0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9" fontId="2" fillId="10" borderId="0" xfId="0" applyNumberFormat="1" applyFont="1" applyFill="1"/>
    <xf numFmtId="0" fontId="42" fillId="34" borderId="1" xfId="0" applyFont="1" applyFill="1" applyBorder="1" applyAlignment="1">
      <alignment horizontal="center" vertical="center"/>
    </xf>
    <xf numFmtId="0" fontId="43" fillId="6" borderId="1" xfId="0" applyFont="1" applyFill="1" applyBorder="1" applyAlignment="1">
      <alignment horizontal="center" vertical="center" wrapText="1"/>
    </xf>
    <xf numFmtId="0" fontId="44" fillId="6" borderId="1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6" fillId="6" borderId="1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/>
    </xf>
    <xf numFmtId="1" fontId="49" fillId="0" borderId="1" xfId="0" applyNumberFormat="1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164" fontId="45" fillId="0" borderId="1" xfId="0" applyNumberFormat="1" applyFont="1" applyBorder="1" applyAlignment="1">
      <alignment horizontal="center" vertical="center" wrapText="1"/>
    </xf>
    <xf numFmtId="1" fontId="46" fillId="0" borderId="1" xfId="0" applyNumberFormat="1" applyFont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left"/>
    </xf>
    <xf numFmtId="0" fontId="51" fillId="0" borderId="1" xfId="0" applyFont="1" applyBorder="1"/>
    <xf numFmtId="0" fontId="50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/>
    </xf>
    <xf numFmtId="0" fontId="51" fillId="0" borderId="1" xfId="0" applyFont="1" applyBorder="1" applyAlignment="1">
      <alignment horizontal="left" vertical="center"/>
    </xf>
    <xf numFmtId="0" fontId="43" fillId="35" borderId="1" xfId="0" applyFont="1" applyFill="1" applyBorder="1" applyAlignment="1">
      <alignment horizontal="center" vertical="center"/>
    </xf>
    <xf numFmtId="0" fontId="50" fillId="36" borderId="1" xfId="0" applyFont="1" applyFill="1" applyBorder="1" applyAlignment="1">
      <alignment horizontal="left" vertical="center"/>
    </xf>
    <xf numFmtId="1" fontId="49" fillId="35" borderId="1" xfId="0" applyNumberFormat="1" applyFont="1" applyFill="1" applyBorder="1" applyAlignment="1">
      <alignment horizontal="center" vertical="center" wrapText="1"/>
    </xf>
    <xf numFmtId="0" fontId="43" fillId="23" borderId="1" xfId="0" applyFont="1" applyFill="1" applyBorder="1" applyAlignment="1">
      <alignment horizontal="center" vertical="center"/>
    </xf>
    <xf numFmtId="0" fontId="50" fillId="37" borderId="1" xfId="0" applyFont="1" applyFill="1" applyBorder="1" applyAlignment="1">
      <alignment horizontal="left" vertical="center"/>
    </xf>
    <xf numFmtId="1" fontId="49" fillId="23" borderId="1" xfId="0" applyNumberFormat="1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center"/>
    </xf>
    <xf numFmtId="0" fontId="50" fillId="6" borderId="1" xfId="0" applyFont="1" applyFill="1" applyBorder="1" applyAlignment="1">
      <alignment horizontal="left" vertical="center"/>
    </xf>
    <xf numFmtId="1" fontId="49" fillId="6" borderId="1" xfId="0" applyNumberFormat="1" applyFont="1" applyFill="1" applyBorder="1" applyAlignment="1">
      <alignment horizontal="center" vertical="center" wrapText="1"/>
    </xf>
    <xf numFmtId="1" fontId="46" fillId="6" borderId="1" xfId="0" applyNumberFormat="1" applyFont="1" applyFill="1" applyBorder="1" applyAlignment="1">
      <alignment horizontal="center" vertical="center" wrapText="1"/>
    </xf>
    <xf numFmtId="0" fontId="50" fillId="38" borderId="1" xfId="0" applyFont="1" applyFill="1" applyBorder="1" applyAlignment="1">
      <alignment horizontal="left" vertical="center"/>
    </xf>
    <xf numFmtId="0" fontId="50" fillId="39" borderId="1" xfId="0" applyFont="1" applyFill="1" applyBorder="1" applyAlignment="1">
      <alignment horizontal="left" vertical="center"/>
    </xf>
    <xf numFmtId="0" fontId="48" fillId="0" borderId="1" xfId="0" applyFont="1" applyBorder="1"/>
    <xf numFmtId="0" fontId="50" fillId="40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50" fillId="6" borderId="1" xfId="0" applyFont="1" applyFill="1" applyBorder="1" applyAlignment="1">
      <alignment horizontal="left"/>
    </xf>
    <xf numFmtId="0" fontId="43" fillId="6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left"/>
    </xf>
    <xf numFmtId="1" fontId="49" fillId="3" borderId="1" xfId="0" applyNumberFormat="1" applyFont="1" applyFill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wrapText="1"/>
    </xf>
    <xf numFmtId="164" fontId="45" fillId="3" borderId="1" xfId="0" applyNumberFormat="1" applyFont="1" applyFill="1" applyBorder="1" applyAlignment="1">
      <alignment horizontal="center" vertical="center" wrapText="1"/>
    </xf>
    <xf numFmtId="1" fontId="46" fillId="3" borderId="1" xfId="0" applyNumberFormat="1" applyFont="1" applyFill="1" applyBorder="1" applyAlignment="1">
      <alignment horizontal="center" vertical="center" wrapText="1"/>
    </xf>
    <xf numFmtId="1" fontId="47" fillId="3" borderId="1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9" xfId="0" applyFont="1" applyBorder="1"/>
    <xf numFmtId="0" fontId="52" fillId="0" borderId="0" xfId="0" applyFont="1"/>
    <xf numFmtId="0" fontId="2" fillId="0" borderId="13" xfId="0" applyFont="1" applyBorder="1"/>
    <xf numFmtId="0" fontId="29" fillId="0" borderId="1" xfId="0" applyFont="1" applyBorder="1"/>
    <xf numFmtId="1" fontId="2" fillId="0" borderId="1" xfId="0" applyNumberFormat="1" applyFont="1" applyBorder="1"/>
    <xf numFmtId="0" fontId="2" fillId="0" borderId="0" xfId="0" applyFont="1" applyAlignment="1">
      <alignment vertical="center"/>
    </xf>
    <xf numFmtId="173" fontId="2" fillId="0" borderId="0" xfId="0" applyNumberFormat="1" applyFont="1"/>
    <xf numFmtId="0" fontId="54" fillId="0" borderId="0" xfId="0" applyFont="1" applyAlignment="1">
      <alignment horizontal="centerContinuous" vertical="center"/>
    </xf>
    <xf numFmtId="0" fontId="55" fillId="0" borderId="0" xfId="0" applyFont="1" applyAlignment="1">
      <alignment horizontal="centerContinuous" vertical="center"/>
    </xf>
    <xf numFmtId="1" fontId="56" fillId="0" borderId="14" xfId="0" applyNumberFormat="1" applyFont="1" applyBorder="1" applyAlignment="1">
      <alignment horizontal="center" vertical="center" wrapText="1"/>
    </xf>
    <xf numFmtId="175" fontId="56" fillId="0" borderId="15" xfId="0" applyNumberFormat="1" applyFont="1" applyBorder="1" applyAlignment="1">
      <alignment horizontal="center" vertical="center" wrapText="1"/>
    </xf>
    <xf numFmtId="0" fontId="56" fillId="6" borderId="15" xfId="0" applyFont="1" applyFill="1" applyBorder="1" applyAlignment="1">
      <alignment horizontal="center" vertical="center"/>
    </xf>
    <xf numFmtId="0" fontId="56" fillId="6" borderId="21" xfId="0" applyFont="1" applyFill="1" applyBorder="1" applyAlignment="1">
      <alignment horizontal="center" vertical="center"/>
    </xf>
    <xf numFmtId="0" fontId="53" fillId="0" borderId="0" xfId="0" applyFont="1"/>
    <xf numFmtId="0" fontId="56" fillId="6" borderId="14" xfId="0" applyFont="1" applyFill="1" applyBorder="1" applyAlignment="1">
      <alignment horizontal="center" vertical="center"/>
    </xf>
    <xf numFmtId="0" fontId="56" fillId="6" borderId="22" xfId="0" applyFont="1" applyFill="1" applyBorder="1" applyAlignment="1">
      <alignment horizontal="center" vertical="center"/>
    </xf>
    <xf numFmtId="0" fontId="56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/>
    </xf>
    <xf numFmtId="1" fontId="53" fillId="6" borderId="1" xfId="0" applyNumberFormat="1" applyFont="1" applyFill="1" applyBorder="1" applyAlignment="1">
      <alignment horizontal="center"/>
    </xf>
    <xf numFmtId="1" fontId="53" fillId="6" borderId="23" xfId="0" applyNumberFormat="1" applyFont="1" applyFill="1" applyBorder="1" applyAlignment="1">
      <alignment horizontal="center"/>
    </xf>
    <xf numFmtId="1" fontId="2" fillId="10" borderId="4" xfId="0" applyNumberFormat="1" applyFont="1" applyFill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0" fontId="2" fillId="0" borderId="2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23" xfId="0" applyNumberFormat="1" applyFont="1" applyFill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/>
    </xf>
    <xf numFmtId="1" fontId="2" fillId="10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17" xfId="0" applyFont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2" fillId="9" borderId="23" xfId="0" applyNumberFormat="1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9" fontId="2" fillId="9" borderId="1" xfId="0" applyNumberFormat="1" applyFont="1" applyFill="1" applyBorder="1" applyAlignment="1">
      <alignment horizontal="center" vertical="center"/>
    </xf>
    <xf numFmtId="166" fontId="2" fillId="9" borderId="17" xfId="0" applyNumberFormat="1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176" fontId="2" fillId="17" borderId="23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right" vertical="center"/>
    </xf>
    <xf numFmtId="9" fontId="2" fillId="10" borderId="17" xfId="0" applyNumberFormat="1" applyFont="1" applyFill="1" applyBorder="1" applyAlignment="1">
      <alignment horizontal="center" vertical="center"/>
    </xf>
    <xf numFmtId="0" fontId="33" fillId="17" borderId="4" xfId="0" applyFont="1" applyFill="1" applyBorder="1" applyAlignment="1">
      <alignment horizontal="center" vertical="center"/>
    </xf>
    <xf numFmtId="164" fontId="2" fillId="17" borderId="1" xfId="0" applyNumberFormat="1" applyFont="1" applyFill="1" applyBorder="1" applyAlignment="1">
      <alignment horizontal="center" vertical="center"/>
    </xf>
    <xf numFmtId="164" fontId="2" fillId="17" borderId="23" xfId="0" applyNumberFormat="1" applyFont="1" applyFill="1" applyBorder="1" applyAlignment="1">
      <alignment horizontal="center" vertical="center"/>
    </xf>
    <xf numFmtId="0" fontId="33" fillId="33" borderId="4" xfId="0" applyFont="1" applyFill="1" applyBorder="1" applyAlignment="1">
      <alignment horizontal="center" vertical="center"/>
    </xf>
    <xf numFmtId="9" fontId="2" fillId="17" borderId="1" xfId="0" applyNumberFormat="1" applyFont="1" applyFill="1" applyBorder="1" applyAlignment="1">
      <alignment horizontal="center"/>
    </xf>
    <xf numFmtId="0" fontId="2" fillId="33" borderId="4" xfId="0" applyFont="1" applyFill="1" applyBorder="1" applyAlignment="1">
      <alignment horizontal="center" vertical="center"/>
    </xf>
    <xf numFmtId="176" fontId="2" fillId="33" borderId="1" xfId="0" applyNumberFormat="1" applyFont="1" applyFill="1" applyBorder="1" applyAlignment="1">
      <alignment horizontal="center" vertical="center"/>
    </xf>
    <xf numFmtId="176" fontId="2" fillId="33" borderId="23" xfId="0" applyNumberFormat="1" applyFont="1" applyFill="1" applyBorder="1" applyAlignment="1">
      <alignment horizontal="center" vertical="center"/>
    </xf>
    <xf numFmtId="164" fontId="2" fillId="33" borderId="1" xfId="0" applyNumberFormat="1" applyFont="1" applyFill="1" applyBorder="1" applyAlignment="1">
      <alignment horizontal="center" vertical="center"/>
    </xf>
    <xf numFmtId="164" fontId="2" fillId="33" borderId="23" xfId="0" applyNumberFormat="1" applyFont="1" applyFill="1" applyBorder="1" applyAlignment="1">
      <alignment horizontal="center" vertical="center"/>
    </xf>
    <xf numFmtId="9" fontId="2" fillId="33" borderId="1" xfId="0" applyNumberFormat="1" applyFont="1" applyFill="1" applyBorder="1" applyAlignment="1">
      <alignment horizontal="center" vertical="center"/>
    </xf>
    <xf numFmtId="0" fontId="33" fillId="9" borderId="18" xfId="0" applyFont="1" applyFill="1" applyBorder="1" applyAlignment="1">
      <alignment horizontal="center" vertical="center"/>
    </xf>
    <xf numFmtId="0" fontId="2" fillId="0" borderId="24" xfId="0" applyFont="1" applyBorder="1"/>
    <xf numFmtId="164" fontId="2" fillId="0" borderId="19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/>
    </xf>
    <xf numFmtId="0" fontId="53" fillId="0" borderId="26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29" fillId="2" borderId="2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9" borderId="26" xfId="0" applyFont="1" applyFill="1" applyBorder="1" applyAlignment="1">
      <alignment horizontal="centerContinuous" vertical="center" wrapText="1"/>
    </xf>
    <xf numFmtId="0" fontId="2" fillId="9" borderId="28" xfId="0" applyFont="1" applyFill="1" applyBorder="1" applyAlignment="1">
      <alignment horizontal="centerContinuous" vertical="center" wrapText="1"/>
    </xf>
    <xf numFmtId="1" fontId="33" fillId="0" borderId="14" xfId="0" applyNumberFormat="1" applyFont="1" applyBorder="1" applyAlignment="1">
      <alignment horizontal="center" vertical="center"/>
    </xf>
    <xf numFmtId="0" fontId="56" fillId="6" borderId="1" xfId="0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Continuous" vertical="center" wrapText="1"/>
    </xf>
    <xf numFmtId="0" fontId="2" fillId="9" borderId="30" xfId="0" applyFont="1" applyFill="1" applyBorder="1" applyAlignment="1">
      <alignment horizontal="centerContinuous" vertical="center" wrapText="1"/>
    </xf>
    <xf numFmtId="178" fontId="2" fillId="0" borderId="4" xfId="0" applyNumberFormat="1" applyFont="1" applyBorder="1" applyAlignment="1">
      <alignment horizontal="center" vertical="center"/>
    </xf>
    <xf numFmtId="178" fontId="2" fillId="0" borderId="17" xfId="0" applyNumberFormat="1" applyFont="1" applyBorder="1" applyAlignment="1">
      <alignment horizontal="center"/>
    </xf>
    <xf numFmtId="0" fontId="29" fillId="3" borderId="31" xfId="0" applyFont="1" applyFill="1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/>
    </xf>
    <xf numFmtId="0" fontId="2" fillId="9" borderId="33" xfId="0" applyFont="1" applyFill="1" applyBorder="1" applyAlignment="1">
      <alignment horizontal="centerContinuous" vertical="center" wrapText="1"/>
    </xf>
    <xf numFmtId="0" fontId="2" fillId="9" borderId="34" xfId="0" applyFont="1" applyFill="1" applyBorder="1" applyAlignment="1">
      <alignment horizontal="centerContinuous" vertical="center" wrapText="1"/>
    </xf>
    <xf numFmtId="0" fontId="2" fillId="0" borderId="35" xfId="0" applyFont="1" applyBorder="1" applyAlignment="1">
      <alignment horizontal="center"/>
    </xf>
    <xf numFmtId="0" fontId="2" fillId="0" borderId="18" xfId="0" applyFont="1" applyBorder="1" applyAlignment="1">
      <alignment horizontal="right" vertical="center"/>
    </xf>
    <xf numFmtId="1" fontId="2" fillId="0" borderId="20" xfId="0" applyNumberFormat="1" applyFont="1" applyBorder="1" applyAlignment="1">
      <alignment horizontal="center" vertical="center"/>
    </xf>
    <xf numFmtId="0" fontId="29" fillId="6" borderId="3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178" fontId="2" fillId="0" borderId="16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/>
    <xf numFmtId="0" fontId="2" fillId="0" borderId="22" xfId="0" applyFont="1" applyBorder="1"/>
    <xf numFmtId="1" fontId="2" fillId="10" borderId="14" xfId="0" applyNumberFormat="1" applyFont="1" applyFill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/>
    </xf>
    <xf numFmtId="0" fontId="2" fillId="0" borderId="31" xfId="0" applyFont="1" applyBorder="1"/>
    <xf numFmtId="0" fontId="2" fillId="6" borderId="19" xfId="0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164" fontId="2" fillId="0" borderId="18" xfId="0" applyNumberFormat="1" applyFont="1" applyBorder="1" applyAlignment="1">
      <alignment horizontal="center" vertical="center"/>
    </xf>
    <xf numFmtId="1" fontId="2" fillId="3" borderId="22" xfId="0" applyNumberFormat="1" applyFont="1" applyFill="1" applyBorder="1" applyAlignment="1">
      <alignment horizontal="center" vertical="center"/>
    </xf>
    <xf numFmtId="1" fontId="2" fillId="3" borderId="17" xfId="0" applyNumberFormat="1" applyFont="1" applyFill="1" applyBorder="1" applyAlignment="1">
      <alignment horizontal="center" vertical="center"/>
    </xf>
    <xf numFmtId="0" fontId="57" fillId="7" borderId="14" xfId="0" applyFont="1" applyFill="1" applyBorder="1" applyAlignment="1">
      <alignment vertical="center"/>
    </xf>
    <xf numFmtId="0" fontId="33" fillId="7" borderId="15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/>
    <xf numFmtId="1" fontId="2" fillId="3" borderId="20" xfId="0" applyNumberFormat="1" applyFont="1" applyFill="1" applyBorder="1" applyAlignment="1">
      <alignment horizontal="center" vertical="center"/>
    </xf>
    <xf numFmtId="0" fontId="57" fillId="9" borderId="4" xfId="0" applyFont="1" applyFill="1" applyBorder="1" applyAlignment="1">
      <alignment vertical="center"/>
    </xf>
    <xf numFmtId="0" fontId="33" fillId="9" borderId="1" xfId="0" applyFont="1" applyFill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7" xfId="0" applyFont="1" applyBorder="1"/>
    <xf numFmtId="0" fontId="57" fillId="9" borderId="18" xfId="0" applyFont="1" applyFill="1" applyBorder="1" applyAlignment="1">
      <alignment vertical="center"/>
    </xf>
    <xf numFmtId="0" fontId="33" fillId="9" borderId="19" xfId="0" applyFont="1" applyFill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/>
    </xf>
    <xf numFmtId="0" fontId="33" fillId="0" borderId="19" xfId="0" applyFont="1" applyBorder="1"/>
    <xf numFmtId="0" fontId="33" fillId="0" borderId="20" xfId="0" applyFont="1" applyBorder="1"/>
    <xf numFmtId="0" fontId="57" fillId="0" borderId="38" xfId="0" applyFont="1" applyBorder="1" applyAlignment="1">
      <alignment vertical="center"/>
    </xf>
    <xf numFmtId="0" fontId="33" fillId="0" borderId="38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/>
    </xf>
    <xf numFmtId="0" fontId="33" fillId="0" borderId="38" xfId="0" applyFont="1" applyBorder="1"/>
    <xf numFmtId="0" fontId="57" fillId="41" borderId="14" xfId="0" applyFont="1" applyFill="1" applyBorder="1" applyAlignment="1">
      <alignment horizontal="center" vertical="center"/>
    </xf>
    <xf numFmtId="0" fontId="33" fillId="41" borderId="15" xfId="0" applyFont="1" applyFill="1" applyBorder="1" applyAlignment="1">
      <alignment horizontal="left" vertical="center"/>
    </xf>
    <xf numFmtId="0" fontId="33" fillId="0" borderId="15" xfId="0" applyFont="1" applyBorder="1" applyAlignment="1">
      <alignment horizontal="center" vertical="center"/>
    </xf>
    <xf numFmtId="1" fontId="33" fillId="0" borderId="15" xfId="0" applyNumberFormat="1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22" xfId="0" applyFont="1" applyBorder="1" applyAlignment="1">
      <alignment horizontal="center"/>
    </xf>
    <xf numFmtId="1" fontId="2" fillId="0" borderId="39" xfId="0" applyNumberFormat="1" applyFont="1" applyBorder="1" applyAlignment="1">
      <alignment horizontal="center" vertical="center"/>
    </xf>
    <xf numFmtId="0" fontId="57" fillId="41" borderId="4" xfId="0" applyFont="1" applyFill="1" applyBorder="1" applyAlignment="1">
      <alignment horizontal="center" vertical="center"/>
    </xf>
    <xf numFmtId="0" fontId="33" fillId="41" borderId="1" xfId="0" applyFont="1" applyFill="1" applyBorder="1" applyAlignment="1">
      <alignment horizontal="left" vertical="center"/>
    </xf>
    <xf numFmtId="0" fontId="33" fillId="0" borderId="1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2" fillId="0" borderId="40" xfId="0" applyFont="1" applyBorder="1"/>
    <xf numFmtId="0" fontId="57" fillId="41" borderId="18" xfId="0" applyFont="1" applyFill="1" applyBorder="1" applyAlignment="1">
      <alignment horizontal="center" vertical="center"/>
    </xf>
    <xf numFmtId="0" fontId="33" fillId="41" borderId="19" xfId="0" applyFont="1" applyFill="1" applyBorder="1" applyAlignment="1">
      <alignment horizontal="left" vertical="center"/>
    </xf>
    <xf numFmtId="0" fontId="33" fillId="0" borderId="20" xfId="0" applyFont="1" applyBorder="1" applyAlignment="1">
      <alignment horizontal="center"/>
    </xf>
    <xf numFmtId="0" fontId="2" fillId="0" borderId="41" xfId="0" applyFont="1" applyBorder="1"/>
    <xf numFmtId="0" fontId="2" fillId="0" borderId="20" xfId="0" applyFont="1" applyBorder="1" applyAlignment="1">
      <alignment horizontal="center" vertical="center"/>
    </xf>
    <xf numFmtId="15" fontId="27" fillId="0" borderId="42" xfId="0" applyNumberFormat="1" applyFont="1" applyBorder="1" applyAlignment="1">
      <alignment horizontal="center" vertical="center"/>
    </xf>
    <xf numFmtId="2" fontId="27" fillId="0" borderId="42" xfId="0" applyNumberFormat="1" applyFont="1" applyBorder="1" applyAlignment="1">
      <alignment horizontal="center" vertical="center"/>
    </xf>
    <xf numFmtId="2" fontId="33" fillId="0" borderId="42" xfId="0" applyNumberFormat="1" applyFont="1" applyBorder="1" applyAlignment="1">
      <alignment horizontal="center" vertical="center"/>
    </xf>
    <xf numFmtId="15" fontId="32" fillId="0" borderId="14" xfId="0" applyNumberFormat="1" applyFont="1" applyBorder="1" applyAlignment="1">
      <alignment horizontal="centerContinuous" vertical="center"/>
    </xf>
    <xf numFmtId="15" fontId="32" fillId="0" borderId="15" xfId="0" applyNumberFormat="1" applyFont="1" applyBorder="1" applyAlignment="1">
      <alignment horizontal="centerContinuous" vertical="center"/>
    </xf>
    <xf numFmtId="0" fontId="2" fillId="42" borderId="15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1" fontId="2" fillId="3" borderId="1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/>
    </xf>
    <xf numFmtId="1" fontId="2" fillId="3" borderId="19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" fillId="0" borderId="44" xfId="0" applyFont="1" applyBorder="1"/>
    <xf numFmtId="0" fontId="2" fillId="0" borderId="45" xfId="0" applyFont="1" applyBorder="1"/>
    <xf numFmtId="1" fontId="53" fillId="0" borderId="19" xfId="0" applyNumberFormat="1" applyFont="1" applyBorder="1" applyAlignment="1">
      <alignment horizontal="center"/>
    </xf>
    <xf numFmtId="0" fontId="24" fillId="1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15" fillId="30" borderId="1" xfId="0" applyFont="1" applyFill="1" applyBorder="1" applyAlignment="1">
      <alignment horizontal="center" vertical="center"/>
    </xf>
    <xf numFmtId="0" fontId="58" fillId="3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left" vertical="center"/>
    </xf>
    <xf numFmtId="2" fontId="27" fillId="6" borderId="1" xfId="0" applyNumberFormat="1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1" fontId="27" fillId="6" borderId="1" xfId="0" applyNumberFormat="1" applyFont="1" applyFill="1" applyBorder="1" applyAlignment="1">
      <alignment horizontal="center" vertical="center"/>
    </xf>
    <xf numFmtId="1" fontId="27" fillId="6" borderId="1" xfId="0" applyNumberFormat="1" applyFont="1" applyFill="1" applyBorder="1" applyAlignment="1">
      <alignment horizontal="center"/>
    </xf>
    <xf numFmtId="2" fontId="27" fillId="6" borderId="1" xfId="0" applyNumberFormat="1" applyFont="1" applyFill="1" applyBorder="1" applyAlignment="1">
      <alignment horizontal="center"/>
    </xf>
    <xf numFmtId="0" fontId="27" fillId="6" borderId="9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2" fontId="27" fillId="6" borderId="3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left" vertical="center"/>
    </xf>
    <xf numFmtId="1" fontId="27" fillId="7" borderId="1" xfId="0" applyNumberFormat="1" applyFont="1" applyFill="1" applyBorder="1" applyAlignment="1">
      <alignment horizontal="center"/>
    </xf>
    <xf numFmtId="2" fontId="27" fillId="7" borderId="1" xfId="0" applyNumberFormat="1" applyFont="1" applyFill="1" applyBorder="1" applyAlignment="1">
      <alignment horizontal="center"/>
    </xf>
    <xf numFmtId="0" fontId="27" fillId="7" borderId="3" xfId="0" applyFont="1" applyFill="1" applyBorder="1" applyAlignment="1">
      <alignment horizontal="center" vertical="center"/>
    </xf>
    <xf numFmtId="1" fontId="27" fillId="7" borderId="1" xfId="0" applyNumberFormat="1" applyFont="1" applyFill="1" applyBorder="1" applyAlignment="1">
      <alignment horizontal="center" vertical="center"/>
    </xf>
    <xf numFmtId="2" fontId="27" fillId="7" borderId="1" xfId="0" applyNumberFormat="1" applyFont="1" applyFill="1" applyBorder="1" applyAlignment="1">
      <alignment horizontal="center" vertical="center"/>
    </xf>
    <xf numFmtId="2" fontId="27" fillId="7" borderId="3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/>
    </xf>
    <xf numFmtId="0" fontId="27" fillId="7" borderId="9" xfId="0" applyFont="1" applyFill="1" applyBorder="1" applyAlignment="1">
      <alignment horizontal="center"/>
    </xf>
    <xf numFmtId="0" fontId="27" fillId="43" borderId="1" xfId="0" applyFont="1" applyFill="1" applyBorder="1"/>
    <xf numFmtId="0" fontId="27" fillId="43" borderId="9" xfId="0" applyFont="1" applyFill="1" applyBorder="1" applyAlignment="1">
      <alignment horizontal="center" vertical="center"/>
    </xf>
    <xf numFmtId="0" fontId="27" fillId="43" borderId="1" xfId="0" applyFont="1" applyFill="1" applyBorder="1" applyAlignment="1">
      <alignment horizontal="center" vertical="center"/>
    </xf>
    <xf numFmtId="0" fontId="27" fillId="43" borderId="1" xfId="0" applyFont="1" applyFill="1" applyBorder="1" applyAlignment="1">
      <alignment horizontal="left" vertical="center"/>
    </xf>
    <xf numFmtId="1" fontId="27" fillId="43" borderId="1" xfId="0" applyNumberFormat="1" applyFont="1" applyFill="1" applyBorder="1" applyAlignment="1">
      <alignment horizontal="center" vertical="center"/>
    </xf>
    <xf numFmtId="2" fontId="27" fillId="43" borderId="1" xfId="0" applyNumberFormat="1" applyFont="1" applyFill="1" applyBorder="1" applyAlignment="1">
      <alignment horizontal="center" vertical="center"/>
    </xf>
    <xf numFmtId="0" fontId="27" fillId="43" borderId="3" xfId="0" applyFont="1" applyFill="1" applyBorder="1" applyAlignment="1">
      <alignment horizontal="center" vertical="center"/>
    </xf>
    <xf numFmtId="1" fontId="27" fillId="43" borderId="1" xfId="0" applyNumberFormat="1" applyFont="1" applyFill="1" applyBorder="1" applyAlignment="1">
      <alignment horizontal="center"/>
    </xf>
    <xf numFmtId="2" fontId="27" fillId="43" borderId="1" xfId="0" applyNumberFormat="1" applyFont="1" applyFill="1" applyBorder="1" applyAlignment="1">
      <alignment horizontal="center"/>
    </xf>
    <xf numFmtId="0" fontId="27" fillId="43" borderId="9" xfId="0" applyFont="1" applyFill="1" applyBorder="1" applyAlignment="1">
      <alignment horizontal="center"/>
    </xf>
    <xf numFmtId="0" fontId="27" fillId="43" borderId="1" xfId="0" applyFont="1" applyFill="1" applyBorder="1" applyAlignment="1">
      <alignment horizontal="center"/>
    </xf>
    <xf numFmtId="0" fontId="27" fillId="43" borderId="1" xfId="0" applyFont="1" applyFill="1" applyBorder="1" applyAlignment="1">
      <alignment horizontal="left"/>
    </xf>
    <xf numFmtId="1" fontId="27" fillId="43" borderId="1" xfId="0" applyNumberFormat="1" applyFont="1" applyFill="1" applyBorder="1"/>
    <xf numFmtId="2" fontId="27" fillId="43" borderId="1" xfId="0" applyNumberFormat="1" applyFont="1" applyFill="1" applyBorder="1"/>
    <xf numFmtId="0" fontId="33" fillId="43" borderId="1" xfId="0" applyFont="1" applyFill="1" applyBorder="1" applyAlignment="1">
      <alignment horizontal="left"/>
    </xf>
    <xf numFmtId="0" fontId="27" fillId="43" borderId="3" xfId="0" applyFont="1" applyFill="1" applyBorder="1" applyAlignment="1">
      <alignment horizontal="center"/>
    </xf>
    <xf numFmtId="0" fontId="2" fillId="43" borderId="1" xfId="0" applyFont="1" applyFill="1" applyBorder="1"/>
    <xf numFmtId="0" fontId="59" fillId="43" borderId="9" xfId="0" applyFont="1" applyFill="1" applyBorder="1" applyAlignment="1">
      <alignment horizontal="center"/>
    </xf>
    <xf numFmtId="2" fontId="27" fillId="43" borderId="3" xfId="0" applyNumberFormat="1" applyFont="1" applyFill="1" applyBorder="1" applyAlignment="1">
      <alignment horizontal="center" vertical="center"/>
    </xf>
    <xf numFmtId="0" fontId="33" fillId="43" borderId="1" xfId="0" applyFont="1" applyFill="1" applyBorder="1" applyAlignment="1">
      <alignment horizontal="left" vertical="center"/>
    </xf>
    <xf numFmtId="179" fontId="27" fillId="43" borderId="1" xfId="0" applyNumberFormat="1" applyFont="1" applyFill="1" applyBorder="1" applyAlignment="1">
      <alignment horizontal="center" vertical="center"/>
    </xf>
    <xf numFmtId="0" fontId="33" fillId="43" borderId="0" xfId="0" applyFont="1" applyFill="1"/>
    <xf numFmtId="0" fontId="27" fillId="13" borderId="1" xfId="0" applyFont="1" applyFill="1" applyBorder="1"/>
    <xf numFmtId="0" fontId="27" fillId="13" borderId="9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left" vertical="center"/>
    </xf>
    <xf numFmtId="2" fontId="27" fillId="13" borderId="3" xfId="0" applyNumberFormat="1" applyFont="1" applyFill="1" applyBorder="1" applyAlignment="1">
      <alignment horizontal="center" vertical="center"/>
    </xf>
    <xf numFmtId="2" fontId="27" fillId="13" borderId="1" xfId="0" applyNumberFormat="1" applyFont="1" applyFill="1" applyBorder="1" applyAlignment="1">
      <alignment horizontal="center" vertical="center"/>
    </xf>
    <xf numFmtId="0" fontId="27" fillId="13" borderId="46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left" vertical="center"/>
    </xf>
    <xf numFmtId="2" fontId="27" fillId="13" borderId="47" xfId="0" applyNumberFormat="1" applyFont="1" applyFill="1" applyBorder="1" applyAlignment="1">
      <alignment horizontal="center" vertical="center"/>
    </xf>
    <xf numFmtId="2" fontId="27" fillId="13" borderId="6" xfId="0" applyNumberFormat="1" applyFont="1" applyFill="1" applyBorder="1" applyAlignment="1">
      <alignment horizontal="center" vertical="center"/>
    </xf>
    <xf numFmtId="0" fontId="27" fillId="4" borderId="1" xfId="0" applyFont="1" applyFill="1" applyBorder="1"/>
    <xf numFmtId="0" fontId="27" fillId="4" borderId="46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left" vertical="center"/>
    </xf>
    <xf numFmtId="2" fontId="27" fillId="4" borderId="47" xfId="0" applyNumberFormat="1" applyFont="1" applyFill="1" applyBorder="1" applyAlignment="1">
      <alignment horizontal="center" vertical="center"/>
    </xf>
    <xf numFmtId="2" fontId="27" fillId="4" borderId="6" xfId="0" applyNumberFormat="1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left" vertical="center"/>
    </xf>
    <xf numFmtId="2" fontId="27" fillId="4" borderId="3" xfId="0" applyNumberFormat="1" applyFont="1" applyFill="1" applyBorder="1" applyAlignment="1">
      <alignment horizontal="center" vertical="center"/>
    </xf>
    <xf numFmtId="2" fontId="27" fillId="4" borderId="1" xfId="0" applyNumberFormat="1" applyFont="1" applyFill="1" applyBorder="1" applyAlignment="1">
      <alignment horizontal="center" vertical="center"/>
    </xf>
    <xf numFmtId="0" fontId="60" fillId="45" borderId="48" xfId="0" applyFont="1" applyFill="1" applyBorder="1" applyAlignment="1">
      <alignment horizontal="center" vertical="center"/>
    </xf>
    <xf numFmtId="0" fontId="61" fillId="46" borderId="48" xfId="0" applyFont="1" applyFill="1" applyBorder="1" applyAlignment="1">
      <alignment horizontal="center" vertical="center"/>
    </xf>
    <xf numFmtId="0" fontId="62" fillId="47" borderId="48" xfId="0" applyFont="1" applyFill="1" applyBorder="1" applyAlignment="1">
      <alignment horizontal="left" vertical="center"/>
    </xf>
    <xf numFmtId="20" fontId="62" fillId="47" borderId="48" xfId="0" applyNumberFormat="1" applyFont="1" applyFill="1" applyBorder="1" applyAlignment="1">
      <alignment horizontal="left" vertical="center"/>
    </xf>
    <xf numFmtId="0" fontId="62" fillId="48" borderId="48" xfId="0" applyFont="1" applyFill="1" applyBorder="1" applyAlignment="1">
      <alignment horizontal="left" vertical="center"/>
    </xf>
    <xf numFmtId="20" fontId="62" fillId="48" borderId="48" xfId="0" applyNumberFormat="1" applyFont="1" applyFill="1" applyBorder="1" applyAlignment="1">
      <alignment horizontal="left" vertical="center"/>
    </xf>
    <xf numFmtId="0" fontId="62" fillId="49" borderId="48" xfId="0" applyFont="1" applyFill="1" applyBorder="1" applyAlignment="1">
      <alignment horizontal="left" vertical="center"/>
    </xf>
    <xf numFmtId="1" fontId="62" fillId="47" borderId="48" xfId="0" applyNumberFormat="1" applyFont="1" applyFill="1" applyBorder="1" applyAlignment="1">
      <alignment horizontal="left" vertical="center"/>
    </xf>
    <xf numFmtId="1" fontId="62" fillId="48" borderId="48" xfId="0" applyNumberFormat="1" applyFont="1" applyFill="1" applyBorder="1" applyAlignment="1">
      <alignment horizontal="left" vertical="center"/>
    </xf>
    <xf numFmtId="0" fontId="63" fillId="44" borderId="48" xfId="0" applyFont="1" applyFill="1" applyBorder="1" applyAlignment="1">
      <alignment horizontal="left" vertical="center"/>
    </xf>
    <xf numFmtId="0" fontId="0" fillId="0" borderId="51" xfId="0" applyBorder="1" applyAlignment="1">
      <alignment horizontal="left" vertical="center" wrapText="1"/>
    </xf>
    <xf numFmtId="0" fontId="65" fillId="0" borderId="51" xfId="0" applyFont="1" applyBorder="1" applyAlignment="1">
      <alignment horizontal="left" vertical="center" wrapText="1"/>
    </xf>
    <xf numFmtId="0" fontId="66" fillId="0" borderId="51" xfId="0" applyFont="1" applyBorder="1" applyAlignment="1">
      <alignment horizontal="left" vertical="center" wrapText="1"/>
    </xf>
    <xf numFmtId="0" fontId="67" fillId="51" borderId="51" xfId="0" applyFont="1" applyFill="1" applyBorder="1" applyAlignment="1">
      <alignment horizontal="left" vertical="center" wrapText="1"/>
    </xf>
    <xf numFmtId="0" fontId="68" fillId="0" borderId="51" xfId="0" applyFont="1" applyBorder="1" applyAlignment="1">
      <alignment horizontal="left" vertical="center" wrapText="1"/>
    </xf>
    <xf numFmtId="0" fontId="70" fillId="51" borderId="51" xfId="0" applyFont="1" applyFill="1" applyBorder="1" applyAlignment="1">
      <alignment horizontal="left" vertical="center" wrapText="1"/>
    </xf>
    <xf numFmtId="0" fontId="71" fillId="0" borderId="51" xfId="0" applyFont="1" applyBorder="1" applyAlignment="1">
      <alignment horizontal="left" vertical="center" wrapText="1"/>
    </xf>
    <xf numFmtId="0" fontId="71" fillId="52" borderId="51" xfId="0" applyFont="1" applyFill="1" applyBorder="1" applyAlignment="1">
      <alignment horizontal="left" vertical="center" wrapText="1"/>
    </xf>
    <xf numFmtId="0" fontId="66" fillId="51" borderId="5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/>
    </xf>
    <xf numFmtId="1" fontId="16" fillId="0" borderId="1" xfId="0" applyNumberFormat="1" applyFont="1" applyFill="1" applyBorder="1" applyAlignment="1">
      <alignment horizontal="center" vertical="center"/>
    </xf>
    <xf numFmtId="164" fontId="16" fillId="0" borderId="1" xfId="0" applyNumberFormat="1" applyFont="1" applyFill="1" applyBorder="1" applyAlignment="1">
      <alignment horizontal="center" vertical="center"/>
    </xf>
    <xf numFmtId="0" fontId="74" fillId="49" borderId="48" xfId="0" applyFont="1" applyFill="1" applyBorder="1" applyAlignment="1">
      <alignment horizontal="left" vertical="center"/>
    </xf>
    <xf numFmtId="0" fontId="73" fillId="46" borderId="48" xfId="0" applyFont="1" applyFill="1" applyBorder="1" applyAlignment="1">
      <alignment horizontal="left" vertical="center"/>
    </xf>
    <xf numFmtId="0" fontId="72" fillId="46" borderId="48" xfId="0" applyFont="1" applyFill="1" applyBorder="1" applyAlignment="1">
      <alignment horizontal="left" vertical="center"/>
    </xf>
    <xf numFmtId="20" fontId="72" fillId="46" borderId="48" xfId="0" applyNumberFormat="1" applyFont="1" applyFill="1" applyBorder="1" applyAlignment="1">
      <alignment horizontal="left" vertical="center"/>
    </xf>
    <xf numFmtId="164" fontId="64" fillId="50" borderId="48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62" fillId="0" borderId="0" xfId="0" applyFont="1" applyFill="1" applyBorder="1" applyAlignment="1">
      <alignment horizontal="right" vertical="center" indent="1"/>
    </xf>
    <xf numFmtId="0" fontId="62" fillId="0" borderId="48" xfId="0" applyFont="1" applyFill="1" applyBorder="1" applyAlignment="1">
      <alignment horizontal="left" vertical="center"/>
    </xf>
    <xf numFmtId="0" fontId="62" fillId="0" borderId="0" xfId="0" applyFont="1" applyFill="1" applyBorder="1" applyAlignment="1">
      <alignment horizontal="left" vertical="center"/>
    </xf>
    <xf numFmtId="0" fontId="0" fillId="0" borderId="0" xfId="0" applyFill="1"/>
    <xf numFmtId="0" fontId="25" fillId="46" borderId="48" xfId="0" applyFont="1" applyFill="1" applyBorder="1" applyAlignment="1">
      <alignment horizontal="right" vertical="center" indent="1"/>
    </xf>
    <xf numFmtId="0" fontId="75" fillId="49" borderId="48" xfId="0" applyFont="1" applyFill="1" applyBorder="1" applyAlignment="1">
      <alignment horizontal="right" vertical="center" indent="1"/>
    </xf>
    <xf numFmtId="0" fontId="60" fillId="0" borderId="54" xfId="0" applyFont="1" applyFill="1" applyBorder="1" applyAlignment="1">
      <alignment horizontal="center" vertical="center"/>
    </xf>
    <xf numFmtId="0" fontId="72" fillId="0" borderId="54" xfId="0" applyFont="1" applyFill="1" applyBorder="1" applyAlignment="1">
      <alignment horizontal="right" vertical="center" indent="1"/>
    </xf>
    <xf numFmtId="0" fontId="62" fillId="0" borderId="54" xfId="0" applyFont="1" applyFill="1" applyBorder="1" applyAlignment="1">
      <alignment horizontal="right" vertical="center" indent="1"/>
    </xf>
    <xf numFmtId="0" fontId="62" fillId="0" borderId="54" xfId="0" applyFont="1" applyFill="1" applyBorder="1" applyAlignment="1">
      <alignment horizontal="left" vertical="center"/>
    </xf>
    <xf numFmtId="0" fontId="63" fillId="44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63" fillId="44" borderId="10" xfId="0" applyFont="1" applyFill="1" applyBorder="1" applyAlignment="1">
      <alignment horizontal="left" vertical="center"/>
    </xf>
    <xf numFmtId="164" fontId="64" fillId="50" borderId="10" xfId="0" applyNumberFormat="1" applyFont="1" applyFill="1" applyBorder="1" applyAlignment="1">
      <alignment horizontal="center" vertical="center" wrapText="1"/>
    </xf>
    <xf numFmtId="164" fontId="64" fillId="50" borderId="10" xfId="1" applyNumberFormat="1" applyFont="1" applyFill="1" applyBorder="1" applyAlignment="1">
      <alignment horizontal="center" vertical="center" wrapText="1"/>
    </xf>
    <xf numFmtId="0" fontId="60" fillId="44" borderId="48" xfId="0" applyFont="1" applyFill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69" fillId="51" borderId="51" xfId="0" applyFont="1" applyFill="1" applyBorder="1" applyAlignment="1">
      <alignment horizontal="left" vertical="center" wrapText="1"/>
    </xf>
    <xf numFmtId="0" fontId="0" fillId="0" borderId="52" xfId="0" applyBorder="1"/>
    <xf numFmtId="0" fontId="0" fillId="0" borderId="53" xfId="0" applyBorder="1"/>
  </cellXfs>
  <cellStyles count="2">
    <cellStyle name="Normal" xfId="0" builtinId="0"/>
    <cellStyle name="Percent" xfId="1" builtinId="5"/>
  </cellStyles>
  <dxfs count="1">
    <dxf>
      <font>
        <b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生产完成度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'12_Executive_Dash'!$C$18</c:f>
              <c:strCache>
                <c:ptCount val="1"/>
                <c:pt idx="0">
                  <c:v>已完成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'12_Executive_Dash'!$B$19:$B$21</c:f>
              <c:strCache>
                <c:ptCount val="3"/>
                <c:pt idx="0">
                  <c:v>Tray Pack</c:v>
                </c:pt>
                <c:pt idx="1">
                  <c:v>Cut-Up</c:v>
                </c:pt>
                <c:pt idx="2">
                  <c:v>Bagging</c:v>
                </c:pt>
              </c:strCache>
            </c:strRef>
          </c:cat>
          <c:val>
            <c:numRef>
              <c:f>'12_Executive_Dash'!$C$19:$C$21</c:f>
              <c:numCache>
                <c:formatCode>General</c:formatCode>
                <c:ptCount val="3"/>
                <c:pt idx="0">
                  <c:v>1106</c:v>
                </c:pt>
                <c:pt idx="1">
                  <c:v>203</c:v>
                </c:pt>
                <c:pt idx="2">
                  <c:v>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7-4E1A-B070-8C8735516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部门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数量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客户订单分布</a:t>
            </a:r>
          </a:p>
        </c:rich>
      </c:tx>
      <c:layout>
        <c:manualLayout>
          <c:xMode val="edge"/>
          <c:yMode val="edge"/>
          <c:x val="4.1106666666666666E-2"/>
          <c:y val="0.30574074074074076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'12_Executive_Dash'!$F$8</c:f>
              <c:strCache>
                <c:ptCount val="1"/>
                <c:pt idx="0">
                  <c:v>1106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'12_Executive_Dash'!$E$9:$E$13</c:f>
              <c:strCache>
                <c:ptCount val="5"/>
                <c:pt idx="0">
                  <c:v>FB</c:v>
                </c:pt>
                <c:pt idx="1">
                  <c:v>LCL</c:v>
                </c:pt>
                <c:pt idx="2">
                  <c:v>METRO</c:v>
                </c:pt>
                <c:pt idx="3">
                  <c:v>COSTCO</c:v>
                </c:pt>
                <c:pt idx="4">
                  <c:v>SHP</c:v>
                </c:pt>
              </c:strCache>
            </c:strRef>
          </c:cat>
          <c:val>
            <c:numRef>
              <c:f>'12_Executive_Dash'!$F$9:$F$13</c:f>
              <c:numCache>
                <c:formatCode>General</c:formatCode>
                <c:ptCount val="5"/>
                <c:pt idx="0">
                  <c:v>1508</c:v>
                </c:pt>
                <c:pt idx="1">
                  <c:v>4799</c:v>
                </c:pt>
                <c:pt idx="2">
                  <c:v>1698</c:v>
                </c:pt>
                <c:pt idx="3">
                  <c:v>900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A-4933-923B-4F3C690FFEB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员工计划 </a:t>
            </a:r>
            <a:r>
              <a:rPr lang="en-US"/>
              <a:t>vs </a:t>
            </a:r>
            <a:r>
              <a:rPr lang="zh-CN" altLang="en-US"/>
              <a:t>实际</a:t>
            </a:r>
          </a:p>
        </c:rich>
      </c:tx>
      <c:layout>
        <c:manualLayout>
          <c:xMode val="edge"/>
          <c:yMode val="edge"/>
          <c:x val="0.4065374074074074"/>
          <c:y val="2.82222222222222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8222222222222221E-2"/>
          <c:y val="5.174074074074074E-2"/>
          <c:w val="0.94825925925925925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'12_Executive_Dash'!$L$2</c:f>
              <c:strCache>
                <c:ptCount val="1"/>
                <c:pt idx="0">
                  <c:v>Request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'12_Executive_Dash'!$K$3:$K$8</c:f>
              <c:strCache>
                <c:ptCount val="6"/>
                <c:pt idx="0">
                  <c:v>(001730) Cut Crew Am</c:v>
                </c:pt>
                <c:pt idx="1">
                  <c:v>(001733) Cone Line Am</c:v>
                </c:pt>
                <c:pt idx="2">
                  <c:v>(001740) Tray Pack Am</c:v>
                </c:pt>
                <c:pt idx="3">
                  <c:v>(001743) Bagging</c:v>
                </c:pt>
                <c:pt idx="4">
                  <c:v>(001745) Thigh Deboning Crew</c:v>
                </c:pt>
                <c:pt idx="5">
                  <c:v>(001775) Order Picking</c:v>
                </c:pt>
              </c:strCache>
            </c:strRef>
          </c:cat>
          <c:val>
            <c:numRef>
              <c:f>'12_Executive_Dash'!$L$3:$L$8</c:f>
              <c:numCache>
                <c:formatCode>General</c:formatCode>
                <c:ptCount val="6"/>
                <c:pt idx="0">
                  <c:v>52</c:v>
                </c:pt>
                <c:pt idx="1">
                  <c:v>70</c:v>
                </c:pt>
                <c:pt idx="2">
                  <c:v>122</c:v>
                </c:pt>
                <c:pt idx="3">
                  <c:v>5</c:v>
                </c:pt>
                <c:pt idx="4">
                  <c:v>57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E-4DD3-8807-558D36BA4B60}"/>
            </c:ext>
          </c:extLst>
        </c:ser>
        <c:ser>
          <c:idx val="1"/>
          <c:order val="1"/>
          <c:tx>
            <c:strRef>
              <c:f>'12_Executive_Dash'!$M$2</c:f>
              <c:strCache>
                <c:ptCount val="1"/>
                <c:pt idx="0">
                  <c:v>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'12_Executive_Dash'!$K$3:$K$8</c:f>
              <c:strCache>
                <c:ptCount val="6"/>
                <c:pt idx="0">
                  <c:v>(001730) Cut Crew Am</c:v>
                </c:pt>
                <c:pt idx="1">
                  <c:v>(001733) Cone Line Am</c:v>
                </c:pt>
                <c:pt idx="2">
                  <c:v>(001740) Tray Pack Am</c:v>
                </c:pt>
                <c:pt idx="3">
                  <c:v>(001743) Bagging</c:v>
                </c:pt>
                <c:pt idx="4">
                  <c:v>(001745) Thigh Deboning Crew</c:v>
                </c:pt>
                <c:pt idx="5">
                  <c:v>(001775) Order Picking</c:v>
                </c:pt>
              </c:strCache>
            </c:strRef>
          </c:cat>
          <c:val>
            <c:numRef>
              <c:f>'12_Executive_Dash'!$M$3:$M$8</c:f>
              <c:numCache>
                <c:formatCode>General</c:formatCode>
                <c:ptCount val="6"/>
                <c:pt idx="0">
                  <c:v>42</c:v>
                </c:pt>
                <c:pt idx="1">
                  <c:v>63</c:v>
                </c:pt>
                <c:pt idx="2">
                  <c:v>95</c:v>
                </c:pt>
                <c:pt idx="3">
                  <c:v>4</c:v>
                </c:pt>
                <c:pt idx="4">
                  <c:v>50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EE-4DD3-8807-558D36BA4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人数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123825</xdr:colOff>
      <xdr:row>0</xdr:row>
      <xdr:rowOff>20955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148590</xdr:colOff>
      <xdr:row>10</xdr:row>
      <xdr:rowOff>186690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177165</xdr:colOff>
      <xdr:row>24</xdr:row>
      <xdr:rowOff>144780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B1:P378">
  <autoFilter ref="B1:P378" xr:uid="{00000000-0009-0000-0100-000001000000}"/>
  <tableColumns count="15">
    <tableColumn id="2" xr3:uid="{00000000-0010-0000-0000-000002000000}" name="SKU"/>
    <tableColumn id="3" xr3:uid="{00000000-0010-0000-0000-000003000000}" name="RAW_WIP_CODE"/>
    <tableColumn id="4" xr3:uid="{00000000-0010-0000-0000-000004000000}" name="Customer"/>
    <tableColumn id="5" xr3:uid="{00000000-0010-0000-0000-000005000000}" name="Product_Group"/>
    <tableColumn id="6" xr3:uid="{00000000-0010-0000-0000-000006000000}" name="Avg_Case_Weight"/>
    <tableColumn id="7" xr3:uid="{00000000-0010-0000-0000-000007000000}" name="Trays_Per_Case"/>
    <tableColumn id="8" xr3:uid="{00000000-0010-0000-0000-000008000000}" name="Tray_Type"/>
    <tableColumn id="9" xr3:uid="{00000000-0010-0000-0000-000009000000}" name="Tray_Size"/>
    <tableColumn id="10" xr3:uid="{00000000-0010-0000-0000-00000A000000}" name="SKU_Desc"/>
    <tableColumn id="11" xr3:uid="{00000000-0010-0000-0000-00000B000000}" name="Tray Pack Speed"/>
    <tableColumn id="12" xr3:uid="{00000000-0010-0000-0000-00000C000000}" name="Package_Type"/>
    <tableColumn id="13" xr3:uid="{00000000-0010-0000-0000-00000D000000}" name="STD"/>
    <tableColumn id="14" xr3:uid="{00000000-0010-0000-0000-00000E000000}" name="Class"/>
    <tableColumn id="15" xr3:uid="{00000000-0010-0000-0000-00000F000000}" name="Weight"/>
    <tableColumn id="16" xr3:uid="{00000000-0010-0000-0000-000010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ion_Report" displayName="Production_Report" ref="A1:L108">
  <autoFilter ref="A1:L108" xr:uid="{00000000-0009-0000-0100-000002000000}"/>
  <tableColumns count="12">
    <tableColumn id="1" xr3:uid="{00000000-0010-0000-0100-000001000000}" name="Code"/>
    <tableColumn id="2" xr3:uid="{00000000-0010-0000-0100-000002000000}" name="Description"/>
    <tableColumn id="3" xr3:uid="{00000000-0010-0000-0100-000003000000}" name="Planned"/>
    <tableColumn id="4" xr3:uid="{00000000-0010-0000-0100-000004000000}" name="Require"/>
    <tableColumn id="5" xr3:uid="{00000000-0010-0000-0100-000005000000}" name="Produced"/>
    <tableColumn id="6" xr3:uid="{00000000-0010-0000-0100-000006000000}" name="Diff"/>
    <tableColumn id="7" xr3:uid="{00000000-0010-0000-0100-000007000000}" name="Net WT"/>
    <tableColumn id="8" xr3:uid="{00000000-0010-0000-0100-000008000000}" name="Gross WT"/>
    <tableColumn id="9" xr3:uid="{00000000-0010-0000-0100-000009000000}" name="% Tare"/>
    <tableColumn id="10" xr3:uid="{00000000-0010-0000-0100-00000A000000}" name="Under"/>
    <tableColumn id="11" xr3:uid="{00000000-0010-0000-0100-00000B000000}" name="Over"/>
    <tableColumn id="12" xr3:uid="{00000000-0010-0000-0100-00000C000000}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T378"/>
  <sheetViews>
    <sheetView workbookViewId="0"/>
  </sheetViews>
  <sheetFormatPr defaultRowHeight="14.4"/>
  <cols>
    <col min="1" max="1" width="8.77734375" customWidth="1"/>
    <col min="2" max="2" width="8" customWidth="1"/>
    <col min="3" max="3" width="17.21875" customWidth="1"/>
    <col min="4" max="4" width="11.21875" customWidth="1"/>
    <col min="5" max="5" width="19.109375" customWidth="1"/>
    <col min="6" max="6" width="17.21875" customWidth="1"/>
    <col min="7" max="7" width="16.21875" customWidth="1"/>
    <col min="8" max="8" width="12.21875" customWidth="1"/>
    <col min="9" max="9" width="11.77734375" customWidth="1"/>
    <col min="10" max="10" width="57.21875" customWidth="1"/>
    <col min="11" max="11" width="11.77734375" customWidth="1"/>
    <col min="12" max="12" width="15" customWidth="1"/>
    <col min="13" max="13" width="8" customWidth="1"/>
    <col min="14" max="14" width="8.77734375" customWidth="1"/>
    <col min="15" max="15" width="9.5546875" customWidth="1"/>
    <col min="16" max="16" width="8.5546875" customWidth="1"/>
    <col min="19" max="19" width="14.21875" customWidth="1"/>
    <col min="20" max="20" width="8.5546875" customWidth="1"/>
  </cols>
  <sheetData>
    <row r="1" spans="1:20" ht="25.05" customHeight="1">
      <c r="A1" s="165" t="s">
        <v>0</v>
      </c>
      <c r="B1" s="560" t="s">
        <v>1</v>
      </c>
      <c r="C1" s="561" t="s">
        <v>2</v>
      </c>
      <c r="D1" s="561" t="s">
        <v>3</v>
      </c>
      <c r="E1" s="561" t="s">
        <v>4</v>
      </c>
      <c r="F1" s="562" t="s">
        <v>5</v>
      </c>
      <c r="G1" s="561" t="s">
        <v>6</v>
      </c>
      <c r="H1" s="561" t="s">
        <v>7</v>
      </c>
      <c r="I1" s="561" t="s">
        <v>8</v>
      </c>
      <c r="J1" s="563" t="s">
        <v>9</v>
      </c>
      <c r="K1" s="564" t="s">
        <v>10</v>
      </c>
      <c r="L1" s="564" t="s">
        <v>11</v>
      </c>
      <c r="M1" s="564" t="s">
        <v>12</v>
      </c>
      <c r="N1" s="564" t="s">
        <v>13</v>
      </c>
      <c r="O1" s="561" t="s">
        <v>14</v>
      </c>
      <c r="P1" s="565" t="s">
        <v>15</v>
      </c>
      <c r="R1" s="566" t="s">
        <v>16</v>
      </c>
      <c r="S1" s="566" t="s">
        <v>17</v>
      </c>
      <c r="T1" s="165" t="s">
        <v>18</v>
      </c>
    </row>
    <row r="2" spans="1:20">
      <c r="A2" s="567" t="s">
        <v>19</v>
      </c>
      <c r="B2" s="568">
        <v>64</v>
      </c>
      <c r="C2" s="569"/>
      <c r="D2" s="569" t="s">
        <v>20</v>
      </c>
      <c r="E2" s="569" t="s">
        <v>21</v>
      </c>
      <c r="F2" s="569">
        <v>5</v>
      </c>
      <c r="G2" s="569"/>
      <c r="H2" s="569"/>
      <c r="I2" s="569"/>
      <c r="J2" s="570" t="s">
        <v>22</v>
      </c>
      <c r="K2" s="571"/>
      <c r="L2" s="571"/>
      <c r="M2" s="571"/>
      <c r="N2" s="572" t="s">
        <v>23</v>
      </c>
      <c r="O2" s="569"/>
      <c r="P2" s="144"/>
      <c r="R2" s="566" t="e">
        <f ca="1">_xludf.IFNA(_xlfn.XLOOKUP(Table3[[#This Row],[SKU]],'03_BulkPack_Order'!$A$2:$A$67,'03_BulkPack_Order'!C:C),"")</f>
        <v>#NAME?</v>
      </c>
      <c r="S2" s="566" t="str">
        <f t="shared" ref="S2:S46" ca="1" si="0">IFERROR(R2*1,"")</f>
        <v/>
      </c>
      <c r="T2" s="566" t="e">
        <f ca="1">_xludf.IFNA(_xlfn.XLOOKUP(Table3[[#This Row],[SKU]],'00_Yield_Rates'!$B$2:$B$17,'00_Yield_Rates'!$E$2:$E$17),"")</f>
        <v>#NAME?</v>
      </c>
    </row>
    <row r="3" spans="1:20">
      <c r="A3" s="567" t="s">
        <v>19</v>
      </c>
      <c r="B3" s="568">
        <v>65</v>
      </c>
      <c r="C3" s="569"/>
      <c r="D3" s="569" t="s">
        <v>20</v>
      </c>
      <c r="E3" s="569" t="s">
        <v>24</v>
      </c>
      <c r="F3" s="569">
        <v>5</v>
      </c>
      <c r="G3" s="569"/>
      <c r="H3" s="569"/>
      <c r="I3" s="569"/>
      <c r="J3" s="570" t="s">
        <v>25</v>
      </c>
      <c r="K3" s="571"/>
      <c r="L3" s="571"/>
      <c r="M3" s="571"/>
      <c r="N3" s="572" t="s">
        <v>23</v>
      </c>
      <c r="O3" s="569"/>
      <c r="P3" s="144"/>
      <c r="R3" s="566" t="e">
        <f ca="1">_xludf.IFNA(_xlfn.XLOOKUP(Table3[[#This Row],[SKU]],'03_BulkPack_Order'!$A$2:$A$67,'03_BulkPack_Order'!C:C),"")</f>
        <v>#NAME?</v>
      </c>
      <c r="S3" s="566" t="str">
        <f t="shared" ca="1" si="0"/>
        <v/>
      </c>
      <c r="T3" s="566" t="e">
        <f ca="1">_xludf.IFNA(_xlfn.XLOOKUP(Table3[[#This Row],[SKU]],'00_Yield_Rates'!$B$2:$B$17,'00_Yield_Rates'!$E$2:$E$17),"")</f>
        <v>#NAME?</v>
      </c>
    </row>
    <row r="4" spans="1:20">
      <c r="A4" s="567" t="s">
        <v>19</v>
      </c>
      <c r="B4" s="568">
        <v>159</v>
      </c>
      <c r="C4" s="569"/>
      <c r="D4" s="569" t="s">
        <v>20</v>
      </c>
      <c r="E4" s="569" t="s">
        <v>26</v>
      </c>
      <c r="F4" s="569"/>
      <c r="G4" s="569"/>
      <c r="H4" s="569"/>
      <c r="I4" s="569"/>
      <c r="J4" s="570" t="s">
        <v>27</v>
      </c>
      <c r="K4" s="571"/>
      <c r="L4" s="571"/>
      <c r="M4" s="571"/>
      <c r="N4" s="572" t="s">
        <v>23</v>
      </c>
      <c r="O4" s="569"/>
      <c r="P4" s="144"/>
      <c r="R4" s="566" t="e">
        <f ca="1">_xludf.IFNA(_xlfn.XLOOKUP(Table3[[#This Row],[SKU]],'03_BulkPack_Order'!$A$2:$A$67,'03_BulkPack_Order'!C:C),"")</f>
        <v>#NAME?</v>
      </c>
      <c r="S4" s="566" t="str">
        <f t="shared" ca="1" si="0"/>
        <v/>
      </c>
      <c r="T4" s="566" t="e">
        <f ca="1">_xludf.IFNA(_xlfn.XLOOKUP(Table3[[#This Row],[SKU]],'00_Yield_Rates'!$B$2:$B$17,'00_Yield_Rates'!$E$2:$E$17),"")</f>
        <v>#NAME?</v>
      </c>
    </row>
    <row r="5" spans="1:20">
      <c r="A5" s="567" t="s">
        <v>19</v>
      </c>
      <c r="B5" s="568">
        <v>160</v>
      </c>
      <c r="C5" s="569"/>
      <c r="D5" s="569" t="s">
        <v>20</v>
      </c>
      <c r="E5" s="569" t="s">
        <v>28</v>
      </c>
      <c r="F5" s="569"/>
      <c r="G5" s="569"/>
      <c r="H5" s="569"/>
      <c r="I5" s="569"/>
      <c r="J5" s="570" t="s">
        <v>29</v>
      </c>
      <c r="K5" s="571"/>
      <c r="L5" s="571"/>
      <c r="M5" s="571"/>
      <c r="N5" s="572" t="s">
        <v>23</v>
      </c>
      <c r="O5" s="569"/>
      <c r="P5" s="144"/>
      <c r="R5" s="566" t="e">
        <f ca="1">_xludf.IFNA(_xlfn.XLOOKUP(Table3[[#This Row],[SKU]],'03_BulkPack_Order'!$A$2:$A$67,'03_BulkPack_Order'!C:C),"")</f>
        <v>#NAME?</v>
      </c>
      <c r="S5" s="566" t="str">
        <f t="shared" ca="1" si="0"/>
        <v/>
      </c>
      <c r="T5" s="566" t="e">
        <f ca="1">_xludf.IFNA(_xlfn.XLOOKUP(Table3[[#This Row],[SKU]],'00_Yield_Rates'!$B$2:$B$17,'00_Yield_Rates'!$E$2:$E$17),"")</f>
        <v>#NAME?</v>
      </c>
    </row>
    <row r="6" spans="1:20">
      <c r="A6" s="567" t="s">
        <v>19</v>
      </c>
      <c r="B6" s="568">
        <v>161</v>
      </c>
      <c r="C6" s="569"/>
      <c r="D6" s="569" t="s">
        <v>20</v>
      </c>
      <c r="E6" s="569" t="s">
        <v>30</v>
      </c>
      <c r="F6" s="569"/>
      <c r="G6" s="569"/>
      <c r="H6" s="569"/>
      <c r="I6" s="569"/>
      <c r="J6" s="570" t="s">
        <v>31</v>
      </c>
      <c r="K6" s="571"/>
      <c r="L6" s="571"/>
      <c r="M6" s="571"/>
      <c r="N6" s="572" t="s">
        <v>23</v>
      </c>
      <c r="O6" s="569"/>
      <c r="P6" s="144"/>
      <c r="R6" s="566" t="e">
        <f ca="1">_xludf.IFNA(_xlfn.XLOOKUP(Table3[[#This Row],[SKU]],'03_BulkPack_Order'!$A$2:$A$67,'03_BulkPack_Order'!C:C),"")</f>
        <v>#NAME?</v>
      </c>
      <c r="S6" s="566" t="str">
        <f t="shared" ca="1" si="0"/>
        <v/>
      </c>
      <c r="T6" s="566" t="e">
        <f ca="1">_xludf.IFNA(_xlfn.XLOOKUP(Table3[[#This Row],[SKU]],'00_Yield_Rates'!$B$2:$B$17,'00_Yield_Rates'!$E$2:$E$17),"")</f>
        <v>#NAME?</v>
      </c>
    </row>
    <row r="7" spans="1:20">
      <c r="A7" s="567" t="s">
        <v>19</v>
      </c>
      <c r="B7" s="568">
        <v>165</v>
      </c>
      <c r="C7" s="569"/>
      <c r="D7" s="569" t="s">
        <v>20</v>
      </c>
      <c r="E7" s="569" t="s">
        <v>24</v>
      </c>
      <c r="F7" s="569">
        <v>10</v>
      </c>
      <c r="G7" s="569"/>
      <c r="H7" s="569"/>
      <c r="I7" s="569"/>
      <c r="J7" s="570" t="s">
        <v>32</v>
      </c>
      <c r="K7" s="571"/>
      <c r="L7" s="571"/>
      <c r="M7" s="571"/>
      <c r="N7" s="572" t="s">
        <v>23</v>
      </c>
      <c r="O7" s="569"/>
      <c r="P7" s="144"/>
      <c r="R7" s="566" t="e">
        <f ca="1">_xludf.IFNA(_xlfn.XLOOKUP(Table3[[#This Row],[SKU]],'03_BulkPack_Order'!$A$2:$A$67,'03_BulkPack_Order'!C:C),"")</f>
        <v>#NAME?</v>
      </c>
      <c r="S7" s="566" t="str">
        <f t="shared" ca="1" si="0"/>
        <v/>
      </c>
      <c r="T7" s="566" t="e">
        <f ca="1">_xludf.IFNA(_xlfn.XLOOKUP(Table3[[#This Row],[SKU]],'00_Yield_Rates'!$B$2:$B$17,'00_Yield_Rates'!$E$2:$E$17),"")</f>
        <v>#NAME?</v>
      </c>
    </row>
    <row r="8" spans="1:20">
      <c r="A8" s="567" t="s">
        <v>19</v>
      </c>
      <c r="B8" s="568">
        <v>834</v>
      </c>
      <c r="C8" s="569"/>
      <c r="D8" s="569" t="s">
        <v>20</v>
      </c>
      <c r="E8" s="569" t="s">
        <v>30</v>
      </c>
      <c r="F8" s="569">
        <v>18</v>
      </c>
      <c r="G8" s="569"/>
      <c r="H8" s="569"/>
      <c r="I8" s="569"/>
      <c r="J8" s="570" t="s">
        <v>33</v>
      </c>
      <c r="K8" s="573"/>
      <c r="L8" s="573"/>
      <c r="M8" s="571"/>
      <c r="N8" s="572" t="s">
        <v>23</v>
      </c>
      <c r="O8" s="569"/>
      <c r="P8" s="144"/>
      <c r="R8" s="566" t="e">
        <f ca="1">_xludf.IFNA(_xlfn.XLOOKUP(Table3[[#This Row],[SKU]],'03_BulkPack_Order'!$A$2:$A$67,'03_BulkPack_Order'!C:C),"")</f>
        <v>#NAME?</v>
      </c>
      <c r="S8" s="566" t="str">
        <f t="shared" ca="1" si="0"/>
        <v/>
      </c>
      <c r="T8" s="566" t="e">
        <f ca="1">_xludf.IFNA(_xlfn.XLOOKUP(Table3[[#This Row],[SKU]],'00_Yield_Rates'!$B$2:$B$17,'00_Yield_Rates'!$E$2:$E$17),"")</f>
        <v>#NAME?</v>
      </c>
    </row>
    <row r="9" spans="1:20">
      <c r="A9" s="567" t="s">
        <v>19</v>
      </c>
      <c r="B9" s="568">
        <v>868</v>
      </c>
      <c r="C9" s="569"/>
      <c r="D9" s="569" t="s">
        <v>20</v>
      </c>
      <c r="E9" s="569" t="s">
        <v>34</v>
      </c>
      <c r="F9" s="569">
        <v>18</v>
      </c>
      <c r="G9" s="569"/>
      <c r="H9" s="569"/>
      <c r="I9" s="569"/>
      <c r="J9" s="570" t="s">
        <v>35</v>
      </c>
      <c r="K9" s="574"/>
      <c r="L9" s="574"/>
      <c r="M9" s="575"/>
      <c r="N9" s="572" t="s">
        <v>23</v>
      </c>
      <c r="O9" s="569"/>
      <c r="P9" s="144"/>
      <c r="R9" s="566" t="e">
        <f ca="1">_xludf.IFNA(_xlfn.XLOOKUP(Table3[[#This Row],[SKU]],'03_BulkPack_Order'!$A$2:$A$67,'03_BulkPack_Order'!C:C),"")</f>
        <v>#NAME?</v>
      </c>
      <c r="S9" s="566" t="str">
        <f t="shared" ca="1" si="0"/>
        <v/>
      </c>
      <c r="T9" s="566" t="e">
        <f ca="1">_xludf.IFNA(_xlfn.XLOOKUP(Table3[[#This Row],[SKU]],'00_Yield_Rates'!$B$2:$B$17,'00_Yield_Rates'!$E$2:$E$17),"")</f>
        <v>#NAME?</v>
      </c>
    </row>
    <row r="10" spans="1:20">
      <c r="A10" s="567" t="s">
        <v>19</v>
      </c>
      <c r="B10" s="568">
        <v>895</v>
      </c>
      <c r="C10" s="569"/>
      <c r="D10" s="569" t="s">
        <v>20</v>
      </c>
      <c r="E10" s="569" t="s">
        <v>28</v>
      </c>
      <c r="F10" s="569"/>
      <c r="G10" s="569"/>
      <c r="H10" s="569"/>
      <c r="I10" s="569"/>
      <c r="J10" s="570" t="s">
        <v>36</v>
      </c>
      <c r="K10" s="573"/>
      <c r="L10" s="573"/>
      <c r="M10" s="571"/>
      <c r="N10" s="572" t="s">
        <v>37</v>
      </c>
      <c r="O10" s="569"/>
      <c r="P10" s="144"/>
      <c r="R10" s="566" t="e">
        <f ca="1">_xludf.IFNA(_xlfn.XLOOKUP(Table3[[#This Row],[SKU]],'03_BulkPack_Order'!$A$2:$A$67,'03_BulkPack_Order'!C:C),"")</f>
        <v>#NAME?</v>
      </c>
      <c r="S10" s="566" t="str">
        <f t="shared" ca="1" si="0"/>
        <v/>
      </c>
      <c r="T10" s="566" t="e">
        <f ca="1">_xludf.IFNA(_xlfn.XLOOKUP(Table3[[#This Row],[SKU]],'00_Yield_Rates'!$B$2:$B$17,'00_Yield_Rates'!$E$2:$E$17),"")</f>
        <v>#NAME?</v>
      </c>
    </row>
    <row r="11" spans="1:20">
      <c r="A11" s="567" t="s">
        <v>19</v>
      </c>
      <c r="B11" s="568">
        <v>902</v>
      </c>
      <c r="C11" s="569"/>
      <c r="D11" s="569" t="s">
        <v>20</v>
      </c>
      <c r="E11" s="569" t="s">
        <v>30</v>
      </c>
      <c r="F11" s="569"/>
      <c r="G11" s="569"/>
      <c r="H11" s="569"/>
      <c r="I11" s="569"/>
      <c r="J11" s="570"/>
      <c r="K11" s="573"/>
      <c r="L11" s="573"/>
      <c r="M11" s="571"/>
      <c r="N11" s="572" t="s">
        <v>23</v>
      </c>
      <c r="O11" s="569"/>
      <c r="P11" s="144"/>
      <c r="R11" s="566" t="e">
        <f ca="1">_xludf.IFNA(_xlfn.XLOOKUP(Table3[[#This Row],[SKU]],'03_BulkPack_Order'!$A$2:$A$67,'03_BulkPack_Order'!C:C),"")</f>
        <v>#NAME?</v>
      </c>
      <c r="S11" s="566" t="str">
        <f t="shared" ca="1" si="0"/>
        <v/>
      </c>
      <c r="T11" s="566" t="e">
        <f ca="1">_xludf.IFNA(_xlfn.XLOOKUP(Table3[[#This Row],[SKU]],'00_Yield_Rates'!$B$2:$B$17,'00_Yield_Rates'!$E$2:$E$17),"")</f>
        <v>#NAME?</v>
      </c>
    </row>
    <row r="12" spans="1:20">
      <c r="A12" s="567" t="s">
        <v>19</v>
      </c>
      <c r="B12" s="576">
        <v>904</v>
      </c>
      <c r="C12" s="569"/>
      <c r="D12" s="569" t="s">
        <v>20</v>
      </c>
      <c r="E12" s="569" t="s">
        <v>38</v>
      </c>
      <c r="F12" s="571">
        <v>18</v>
      </c>
      <c r="G12" s="569"/>
      <c r="H12" s="569"/>
      <c r="I12" s="569"/>
      <c r="J12" s="570" t="s">
        <v>39</v>
      </c>
      <c r="K12" s="573"/>
      <c r="L12" s="573"/>
      <c r="M12" s="571"/>
      <c r="N12" s="572" t="s">
        <v>23</v>
      </c>
      <c r="O12" s="569"/>
      <c r="P12" s="144"/>
      <c r="R12" s="566" t="e">
        <f ca="1">_xludf.IFNA(_xlfn.XLOOKUP(Table3[[#This Row],[SKU]],'03_BulkPack_Order'!$A$2:$A$67,'03_BulkPack_Order'!C:C),"")</f>
        <v>#NAME?</v>
      </c>
      <c r="S12" s="566" t="str">
        <f t="shared" ca="1" si="0"/>
        <v/>
      </c>
      <c r="T12" s="566" t="e">
        <f ca="1">_xludf.IFNA(_xlfn.XLOOKUP(Table3[[#This Row],[SKU]],'00_Yield_Rates'!$B$2:$B$17,'00_Yield_Rates'!$E$2:$E$17),"")</f>
        <v>#NAME?</v>
      </c>
    </row>
    <row r="13" spans="1:20">
      <c r="A13" s="567" t="s">
        <v>19</v>
      </c>
      <c r="B13" s="568">
        <v>1026</v>
      </c>
      <c r="C13" s="569"/>
      <c r="D13" s="569" t="s">
        <v>20</v>
      </c>
      <c r="E13" s="569" t="s">
        <v>38</v>
      </c>
      <c r="F13" s="569"/>
      <c r="G13" s="569"/>
      <c r="H13" s="569"/>
      <c r="I13" s="569"/>
      <c r="J13" s="570"/>
      <c r="K13" s="573"/>
      <c r="L13" s="573"/>
      <c r="M13" s="571"/>
      <c r="N13" s="572" t="s">
        <v>23</v>
      </c>
      <c r="O13" s="569"/>
      <c r="P13" s="144"/>
      <c r="R13" s="566" t="e">
        <f ca="1">_xludf.IFNA(_xlfn.XLOOKUP(Table3[[#This Row],[SKU]],'03_BulkPack_Order'!$A$2:$A$67,'03_BulkPack_Order'!C:C),"")</f>
        <v>#NAME?</v>
      </c>
      <c r="S13" s="566" t="str">
        <f t="shared" ca="1" si="0"/>
        <v/>
      </c>
      <c r="T13" s="566" t="e">
        <f ca="1">_xludf.IFNA(_xlfn.XLOOKUP(Table3[[#This Row],[SKU]],'00_Yield_Rates'!$B$2:$B$17,'00_Yield_Rates'!$E$2:$E$17),"")</f>
        <v>#NAME?</v>
      </c>
    </row>
    <row r="14" spans="1:20">
      <c r="A14" s="567" t="s">
        <v>19</v>
      </c>
      <c r="B14" s="568">
        <v>1081</v>
      </c>
      <c r="C14" s="569"/>
      <c r="D14" s="569" t="s">
        <v>20</v>
      </c>
      <c r="E14" s="569" t="s">
        <v>24</v>
      </c>
      <c r="F14" s="569"/>
      <c r="G14" s="569"/>
      <c r="H14" s="569"/>
      <c r="I14" s="569"/>
      <c r="J14" s="570"/>
      <c r="K14" s="573"/>
      <c r="L14" s="573"/>
      <c r="M14" s="571"/>
      <c r="N14" s="572" t="s">
        <v>23</v>
      </c>
      <c r="O14" s="569"/>
      <c r="P14" s="144"/>
      <c r="R14" s="566" t="e">
        <f ca="1">_xludf.IFNA(_xlfn.XLOOKUP(Table3[[#This Row],[SKU]],'03_BulkPack_Order'!$A$2:$A$67,'03_BulkPack_Order'!C:C),"")</f>
        <v>#NAME?</v>
      </c>
      <c r="S14" s="566" t="str">
        <f t="shared" ca="1" si="0"/>
        <v/>
      </c>
      <c r="T14" s="566" t="e">
        <f ca="1">_xludf.IFNA(_xlfn.XLOOKUP(Table3[[#This Row],[SKU]],'00_Yield_Rates'!$B$2:$B$17,'00_Yield_Rates'!$E$2:$E$17),"")</f>
        <v>#NAME?</v>
      </c>
    </row>
    <row r="15" spans="1:20">
      <c r="A15" s="567" t="s">
        <v>19</v>
      </c>
      <c r="B15" s="568">
        <v>1446</v>
      </c>
      <c r="C15" s="569"/>
      <c r="D15" s="569" t="s">
        <v>20</v>
      </c>
      <c r="E15" s="569" t="s">
        <v>24</v>
      </c>
      <c r="F15" s="569"/>
      <c r="G15" s="569"/>
      <c r="H15" s="569"/>
      <c r="I15" s="569"/>
      <c r="J15" s="570"/>
      <c r="K15" s="573"/>
      <c r="L15" s="573"/>
      <c r="M15" s="571"/>
      <c r="N15" s="572" t="s">
        <v>23</v>
      </c>
      <c r="O15" s="569"/>
      <c r="P15" s="144"/>
      <c r="R15" s="566" t="e">
        <f ca="1">_xludf.IFNA(_xlfn.XLOOKUP(Table3[[#This Row],[SKU]],'03_BulkPack_Order'!$A$2:$A$67,'03_BulkPack_Order'!C:C),"")</f>
        <v>#NAME?</v>
      </c>
      <c r="S15" s="566" t="str">
        <f t="shared" ca="1" si="0"/>
        <v/>
      </c>
      <c r="T15" s="566" t="e">
        <f ca="1">_xludf.IFNA(_xlfn.XLOOKUP(Table3[[#This Row],[SKU]],'00_Yield_Rates'!$B$2:$B$17,'00_Yield_Rates'!$E$2:$E$17),"")</f>
        <v>#NAME?</v>
      </c>
    </row>
    <row r="16" spans="1:20">
      <c r="A16" s="567" t="s">
        <v>19</v>
      </c>
      <c r="B16" s="568">
        <v>1887</v>
      </c>
      <c r="C16" s="569"/>
      <c r="D16" s="569" t="s">
        <v>20</v>
      </c>
      <c r="E16" s="569" t="s">
        <v>26</v>
      </c>
      <c r="F16" s="569"/>
      <c r="G16" s="569"/>
      <c r="H16" s="569"/>
      <c r="I16" s="569"/>
      <c r="J16" s="570"/>
      <c r="K16" s="574"/>
      <c r="L16" s="574"/>
      <c r="M16" s="575"/>
      <c r="N16" s="572" t="s">
        <v>37</v>
      </c>
      <c r="O16" s="569"/>
      <c r="P16" s="144"/>
      <c r="R16" s="566" t="e">
        <f ca="1">_xludf.IFNA(_xlfn.XLOOKUP(Table3[[#This Row],[SKU]],'03_BulkPack_Order'!$A$2:$A$67,'03_BulkPack_Order'!C:C),"")</f>
        <v>#NAME?</v>
      </c>
      <c r="S16" s="566" t="str">
        <f t="shared" ca="1" si="0"/>
        <v/>
      </c>
      <c r="T16" s="566" t="e">
        <f ca="1">_xludf.IFNA(_xlfn.XLOOKUP(Table3[[#This Row],[SKU]],'00_Yield_Rates'!$B$2:$B$17,'00_Yield_Rates'!$E$2:$E$17),"")</f>
        <v>#NAME?</v>
      </c>
    </row>
    <row r="17" spans="1:20">
      <c r="A17" s="567" t="s">
        <v>19</v>
      </c>
      <c r="B17" s="568">
        <v>1888</v>
      </c>
      <c r="C17" s="569"/>
      <c r="D17" s="569" t="s">
        <v>20</v>
      </c>
      <c r="E17" s="577" t="s">
        <v>40</v>
      </c>
      <c r="F17" s="569"/>
      <c r="G17" s="569"/>
      <c r="H17" s="569"/>
      <c r="I17" s="569"/>
      <c r="J17" s="570"/>
      <c r="K17" s="573"/>
      <c r="L17" s="573"/>
      <c r="M17" s="571"/>
      <c r="N17" s="572" t="s">
        <v>37</v>
      </c>
      <c r="O17" s="569"/>
      <c r="P17" s="144"/>
      <c r="R17" s="566" t="e">
        <f ca="1">_xludf.IFNA(_xlfn.XLOOKUP(Table3[[#This Row],[SKU]],'03_BulkPack_Order'!$A$2:$A$67,'03_BulkPack_Order'!C:C),"")</f>
        <v>#NAME?</v>
      </c>
      <c r="S17" s="566" t="str">
        <f t="shared" ca="1" si="0"/>
        <v/>
      </c>
      <c r="T17" s="566" t="e">
        <f ca="1">_xludf.IFNA(_xlfn.XLOOKUP(Table3[[#This Row],[SKU]],'00_Yield_Rates'!$B$2:$B$17,'00_Yield_Rates'!$E$2:$E$17),"")</f>
        <v>#NAME?</v>
      </c>
    </row>
    <row r="18" spans="1:20">
      <c r="A18" s="567" t="s">
        <v>19</v>
      </c>
      <c r="B18" s="568">
        <v>1894</v>
      </c>
      <c r="C18" s="569"/>
      <c r="D18" s="569" t="s">
        <v>20</v>
      </c>
      <c r="E18" s="569" t="s">
        <v>24</v>
      </c>
      <c r="F18" s="569"/>
      <c r="G18" s="569"/>
      <c r="H18" s="569"/>
      <c r="I18" s="569"/>
      <c r="J18" s="570" t="s">
        <v>41</v>
      </c>
      <c r="K18" s="573"/>
      <c r="L18" s="573"/>
      <c r="M18" s="571"/>
      <c r="N18" s="572" t="s">
        <v>23</v>
      </c>
      <c r="O18" s="569"/>
      <c r="P18" s="144"/>
      <c r="R18" s="566" t="e">
        <f ca="1">_xludf.IFNA(_xlfn.XLOOKUP(Table3[[#This Row],[SKU]],'03_BulkPack_Order'!$A$2:$A$67,'03_BulkPack_Order'!C:C),"")</f>
        <v>#NAME?</v>
      </c>
      <c r="S18" s="566" t="str">
        <f t="shared" ca="1" si="0"/>
        <v/>
      </c>
      <c r="T18" s="566" t="e">
        <f ca="1">_xludf.IFNA(_xlfn.XLOOKUP(Table3[[#This Row],[SKU]],'00_Yield_Rates'!$B$2:$B$17,'00_Yield_Rates'!$E$2:$E$17),"")</f>
        <v>#NAME?</v>
      </c>
    </row>
    <row r="19" spans="1:20">
      <c r="A19" s="567" t="s">
        <v>19</v>
      </c>
      <c r="B19" s="568">
        <v>2233</v>
      </c>
      <c r="C19" s="569"/>
      <c r="D19" s="569" t="s">
        <v>20</v>
      </c>
      <c r="E19" s="569" t="s">
        <v>34</v>
      </c>
      <c r="F19" s="569"/>
      <c r="G19" s="569"/>
      <c r="H19" s="569"/>
      <c r="I19" s="569"/>
      <c r="J19" s="570" t="s">
        <v>42</v>
      </c>
      <c r="K19" s="574"/>
      <c r="L19" s="574"/>
      <c r="M19" s="575"/>
      <c r="N19" s="572" t="s">
        <v>37</v>
      </c>
      <c r="O19" s="569"/>
      <c r="P19" s="144"/>
      <c r="R19" s="566" t="e">
        <f ca="1">_xludf.IFNA(_xlfn.XLOOKUP(Table3[[#This Row],[SKU]],'03_BulkPack_Order'!$A$2:$A$67,'03_BulkPack_Order'!C:C),"")</f>
        <v>#NAME?</v>
      </c>
      <c r="S19" s="566" t="str">
        <f t="shared" ca="1" si="0"/>
        <v/>
      </c>
      <c r="T19" s="566" t="e">
        <f ca="1">_xludf.IFNA(_xlfn.XLOOKUP(Table3[[#This Row],[SKU]],'00_Yield_Rates'!$B$2:$B$17,'00_Yield_Rates'!$E$2:$E$17),"")</f>
        <v>#NAME?</v>
      </c>
    </row>
    <row r="20" spans="1:20">
      <c r="A20" s="567" t="s">
        <v>19</v>
      </c>
      <c r="B20" s="568">
        <v>2235</v>
      </c>
      <c r="C20" s="569"/>
      <c r="D20" s="569" t="s">
        <v>20</v>
      </c>
      <c r="E20" s="569" t="s">
        <v>28</v>
      </c>
      <c r="F20" s="569"/>
      <c r="G20" s="569"/>
      <c r="H20" s="569"/>
      <c r="I20" s="569"/>
      <c r="J20" s="570"/>
      <c r="K20" s="573"/>
      <c r="L20" s="573"/>
      <c r="M20" s="571"/>
      <c r="N20" s="572" t="s">
        <v>37</v>
      </c>
      <c r="O20" s="569"/>
      <c r="P20" s="144"/>
      <c r="R20" s="566" t="e">
        <f ca="1">_xludf.IFNA(_xlfn.XLOOKUP(Table3[[#This Row],[SKU]],'03_BulkPack_Order'!$A$2:$A$67,'03_BulkPack_Order'!C:C),"")</f>
        <v>#NAME?</v>
      </c>
      <c r="S20" s="566" t="str">
        <f t="shared" ca="1" si="0"/>
        <v/>
      </c>
      <c r="T20" s="566" t="e">
        <f ca="1">_xludf.IFNA(_xlfn.XLOOKUP(Table3[[#This Row],[SKU]],'00_Yield_Rates'!$B$2:$B$17,'00_Yield_Rates'!$E$2:$E$17),"")</f>
        <v>#NAME?</v>
      </c>
    </row>
    <row r="21" spans="1:20">
      <c r="A21" s="567" t="s">
        <v>19</v>
      </c>
      <c r="B21" s="568">
        <v>2236</v>
      </c>
      <c r="C21" s="569"/>
      <c r="D21" s="569" t="s">
        <v>20</v>
      </c>
      <c r="E21" s="569" t="s">
        <v>24</v>
      </c>
      <c r="F21" s="569">
        <v>20</v>
      </c>
      <c r="G21" s="569"/>
      <c r="H21" s="569"/>
      <c r="I21" s="569"/>
      <c r="J21" s="570" t="s">
        <v>43</v>
      </c>
      <c r="K21" s="573"/>
      <c r="L21" s="573"/>
      <c r="M21" s="571"/>
      <c r="N21" s="572" t="s">
        <v>44</v>
      </c>
      <c r="O21" s="569"/>
      <c r="P21" s="144"/>
      <c r="R21" s="566" t="e">
        <f ca="1">_xludf.IFNA(_xlfn.XLOOKUP(Table3[[#This Row],[SKU]],'03_BulkPack_Order'!$A$2:$A$67,'03_BulkPack_Order'!C:C),"")</f>
        <v>#NAME?</v>
      </c>
      <c r="S21" s="566" t="str">
        <f t="shared" ca="1" si="0"/>
        <v/>
      </c>
      <c r="T21" s="566" t="e">
        <f ca="1">_xludf.IFNA(_xlfn.XLOOKUP(Table3[[#This Row],[SKU]],'00_Yield_Rates'!$B$2:$B$17,'00_Yield_Rates'!$E$2:$E$17),"")</f>
        <v>#NAME?</v>
      </c>
    </row>
    <row r="22" spans="1:20">
      <c r="A22" s="567" t="s">
        <v>19</v>
      </c>
      <c r="B22" s="568">
        <v>200064</v>
      </c>
      <c r="C22" s="569"/>
      <c r="D22" s="569" t="s">
        <v>20</v>
      </c>
      <c r="E22" s="569" t="s">
        <v>21</v>
      </c>
      <c r="F22" s="569">
        <v>5</v>
      </c>
      <c r="G22" s="577"/>
      <c r="H22" s="577"/>
      <c r="I22" s="577"/>
      <c r="J22" s="570" t="s">
        <v>45</v>
      </c>
      <c r="K22" s="574"/>
      <c r="L22" s="574"/>
      <c r="M22" s="575"/>
      <c r="N22" s="572" t="s">
        <v>23</v>
      </c>
      <c r="O22" s="569"/>
      <c r="P22" s="144"/>
      <c r="R22" s="566" t="e">
        <f ca="1">_xludf.IFNA(_xlfn.XLOOKUP(Table3[[#This Row],[SKU]],'03_BulkPack_Order'!$A$2:$A$67,'03_BulkPack_Order'!C:C),"")</f>
        <v>#NAME?</v>
      </c>
      <c r="S22" s="566" t="str">
        <f t="shared" ca="1" si="0"/>
        <v/>
      </c>
      <c r="T22" s="566" t="e">
        <f ca="1">_xludf.IFNA(_xlfn.XLOOKUP(Table3[[#This Row],[SKU]],'00_Yield_Rates'!$B$2:$B$17,'00_Yield_Rates'!$E$2:$E$17),"")</f>
        <v>#NAME?</v>
      </c>
    </row>
    <row r="23" spans="1:20">
      <c r="A23" s="567" t="s">
        <v>19</v>
      </c>
      <c r="B23" s="568">
        <v>200083</v>
      </c>
      <c r="C23" s="569"/>
      <c r="D23" s="569" t="s">
        <v>20</v>
      </c>
      <c r="E23" s="569" t="s">
        <v>40</v>
      </c>
      <c r="F23" s="569"/>
      <c r="G23" s="577"/>
      <c r="H23" s="577"/>
      <c r="I23" s="577"/>
      <c r="J23" s="570" t="s">
        <v>46</v>
      </c>
      <c r="K23" s="573"/>
      <c r="L23" s="573"/>
      <c r="M23" s="571"/>
      <c r="N23" s="572" t="s">
        <v>23</v>
      </c>
      <c r="O23" s="569"/>
      <c r="P23" s="144"/>
      <c r="R23" s="566" t="e">
        <f ca="1">_xludf.IFNA(_xlfn.XLOOKUP(Table3[[#This Row],[SKU]],'03_BulkPack_Order'!$A$2:$A$67,'03_BulkPack_Order'!C:C),"")</f>
        <v>#NAME?</v>
      </c>
      <c r="S23" s="566" t="str">
        <f t="shared" ca="1" si="0"/>
        <v/>
      </c>
      <c r="T23" s="566" t="e">
        <f ca="1">_xludf.IFNA(_xlfn.XLOOKUP(Table3[[#This Row],[SKU]],'00_Yield_Rates'!$B$2:$B$17,'00_Yield_Rates'!$E$2:$E$17),"")</f>
        <v>#NAME?</v>
      </c>
    </row>
    <row r="24" spans="1:20">
      <c r="A24" s="567" t="s">
        <v>19</v>
      </c>
      <c r="B24" s="568">
        <v>200089</v>
      </c>
      <c r="C24" s="569"/>
      <c r="D24" s="569" t="s">
        <v>20</v>
      </c>
      <c r="E24" s="577" t="s">
        <v>40</v>
      </c>
      <c r="F24" s="569">
        <v>585</v>
      </c>
      <c r="G24" s="569"/>
      <c r="H24" s="569"/>
      <c r="I24" s="569"/>
      <c r="J24" s="570" t="s">
        <v>47</v>
      </c>
      <c r="K24" s="573"/>
      <c r="L24" s="573"/>
      <c r="M24" s="571"/>
      <c r="N24" s="572" t="s">
        <v>23</v>
      </c>
      <c r="O24" s="569"/>
      <c r="P24" s="144"/>
      <c r="R24" s="566" t="e">
        <f ca="1">_xludf.IFNA(_xlfn.XLOOKUP(Table3[[#This Row],[SKU]],'03_BulkPack_Order'!$A$2:$A$67,'03_BulkPack_Order'!C:C),"")</f>
        <v>#NAME?</v>
      </c>
      <c r="S24" s="566" t="str">
        <f t="shared" ca="1" si="0"/>
        <v/>
      </c>
      <c r="T24" s="566" t="e">
        <f ca="1">_xludf.IFNA(_xlfn.XLOOKUP(Table3[[#This Row],[SKU]],'00_Yield_Rates'!$B$2:$B$17,'00_Yield_Rates'!$E$2:$E$17),"")</f>
        <v>#NAME?</v>
      </c>
    </row>
    <row r="25" spans="1:20">
      <c r="A25" s="567" t="s">
        <v>19</v>
      </c>
      <c r="B25" s="568">
        <v>200095</v>
      </c>
      <c r="C25" s="569"/>
      <c r="D25" s="569" t="s">
        <v>20</v>
      </c>
      <c r="E25" s="569" t="s">
        <v>28</v>
      </c>
      <c r="F25" s="569"/>
      <c r="G25" s="569"/>
      <c r="H25" s="569"/>
      <c r="I25" s="569"/>
      <c r="J25" s="570" t="s">
        <v>48</v>
      </c>
      <c r="K25" s="573"/>
      <c r="L25" s="573"/>
      <c r="M25" s="571"/>
      <c r="N25" s="572" t="s">
        <v>23</v>
      </c>
      <c r="O25" s="569"/>
      <c r="P25" s="144"/>
      <c r="R25" s="566" t="e">
        <f ca="1">_xludf.IFNA(_xlfn.XLOOKUP(Table3[[#This Row],[SKU]],'03_BulkPack_Order'!$A$2:$A$67,'03_BulkPack_Order'!C:C),"")</f>
        <v>#NAME?</v>
      </c>
      <c r="S25" s="566" t="str">
        <f t="shared" ca="1" si="0"/>
        <v/>
      </c>
      <c r="T25" s="566" t="e">
        <f ca="1">_xludf.IFNA(_xlfn.XLOOKUP(Table3[[#This Row],[SKU]],'00_Yield_Rates'!$B$2:$B$17,'00_Yield_Rates'!$E$2:$E$17),"")</f>
        <v>#NAME?</v>
      </c>
    </row>
    <row r="26" spans="1:20">
      <c r="A26" s="567" t="s">
        <v>19</v>
      </c>
      <c r="B26" s="568">
        <v>200159</v>
      </c>
      <c r="C26" s="569"/>
      <c r="D26" s="569" t="s">
        <v>20</v>
      </c>
      <c r="E26" s="569" t="s">
        <v>26</v>
      </c>
      <c r="F26" s="569"/>
      <c r="G26" s="569"/>
      <c r="H26" s="569"/>
      <c r="I26" s="569"/>
      <c r="J26" s="570" t="s">
        <v>49</v>
      </c>
      <c r="K26" s="573"/>
      <c r="L26" s="573"/>
      <c r="M26" s="571"/>
      <c r="N26" s="572" t="s">
        <v>23</v>
      </c>
      <c r="O26" s="569"/>
      <c r="P26" s="144"/>
      <c r="R26" s="566" t="e">
        <f ca="1">_xludf.IFNA(_xlfn.XLOOKUP(Table3[[#This Row],[SKU]],'03_BulkPack_Order'!$A$2:$A$67,'03_BulkPack_Order'!C:C),"")</f>
        <v>#NAME?</v>
      </c>
      <c r="S26" s="566" t="str">
        <f t="shared" ca="1" si="0"/>
        <v/>
      </c>
      <c r="T26" s="566" t="e">
        <f ca="1">_xludf.IFNA(_xlfn.XLOOKUP(Table3[[#This Row],[SKU]],'00_Yield_Rates'!$B$2:$B$17,'00_Yield_Rates'!$E$2:$E$17),"")</f>
        <v>#NAME?</v>
      </c>
    </row>
    <row r="27" spans="1:20">
      <c r="A27" s="567" t="s">
        <v>19</v>
      </c>
      <c r="B27" s="568">
        <v>200902</v>
      </c>
      <c r="C27" s="569"/>
      <c r="D27" s="569" t="s">
        <v>20</v>
      </c>
      <c r="E27" s="569" t="s">
        <v>30</v>
      </c>
      <c r="F27" s="569"/>
      <c r="G27" s="569"/>
      <c r="H27" s="569"/>
      <c r="I27" s="569"/>
      <c r="J27" s="570" t="s">
        <v>50</v>
      </c>
      <c r="K27" s="573"/>
      <c r="L27" s="573"/>
      <c r="M27" s="571"/>
      <c r="N27" s="572" t="s">
        <v>23</v>
      </c>
      <c r="O27" s="569"/>
      <c r="P27" s="144"/>
      <c r="R27" s="566" t="e">
        <f ca="1">_xludf.IFNA(_xlfn.XLOOKUP(Table3[[#This Row],[SKU]],'03_BulkPack_Order'!$A$2:$A$67,'03_BulkPack_Order'!C:C),"")</f>
        <v>#NAME?</v>
      </c>
      <c r="S27" s="566" t="str">
        <f t="shared" ca="1" si="0"/>
        <v/>
      </c>
      <c r="T27" s="566" t="e">
        <f ca="1">_xludf.IFNA(_xlfn.XLOOKUP(Table3[[#This Row],[SKU]],'00_Yield_Rates'!$B$2:$B$17,'00_Yield_Rates'!$E$2:$E$17),"")</f>
        <v>#NAME?</v>
      </c>
    </row>
    <row r="28" spans="1:20">
      <c r="A28" s="567" t="s">
        <v>19</v>
      </c>
      <c r="B28" s="568">
        <v>200903</v>
      </c>
      <c r="C28" s="569"/>
      <c r="D28" s="569" t="s">
        <v>20</v>
      </c>
      <c r="E28" s="569" t="s">
        <v>26</v>
      </c>
      <c r="F28" s="569"/>
      <c r="G28" s="569"/>
      <c r="H28" s="569"/>
      <c r="I28" s="569"/>
      <c r="J28" s="570" t="s">
        <v>51</v>
      </c>
      <c r="K28" s="573"/>
      <c r="L28" s="573"/>
      <c r="M28" s="571"/>
      <c r="N28" s="572" t="s">
        <v>23</v>
      </c>
      <c r="O28" s="569"/>
      <c r="P28" s="144"/>
      <c r="R28" s="566" t="e">
        <f ca="1">_xludf.IFNA(_xlfn.XLOOKUP(Table3[[#This Row],[SKU]],'03_BulkPack_Order'!$A$2:$A$67,'03_BulkPack_Order'!C:C),"")</f>
        <v>#NAME?</v>
      </c>
      <c r="S28" s="566" t="str">
        <f t="shared" ca="1" si="0"/>
        <v/>
      </c>
      <c r="T28" s="566" t="e">
        <f ca="1">_xludf.IFNA(_xlfn.XLOOKUP(Table3[[#This Row],[SKU]],'00_Yield_Rates'!$B$2:$B$17,'00_Yield_Rates'!$E$2:$E$17),"")</f>
        <v>#NAME?</v>
      </c>
    </row>
    <row r="29" spans="1:20">
      <c r="A29" s="567" t="s">
        <v>19</v>
      </c>
      <c r="B29" s="568">
        <v>200904</v>
      </c>
      <c r="C29" s="569"/>
      <c r="D29" s="569" t="s">
        <v>20</v>
      </c>
      <c r="E29" s="569" t="s">
        <v>38</v>
      </c>
      <c r="F29" s="569">
        <v>18</v>
      </c>
      <c r="G29" s="569"/>
      <c r="H29" s="569"/>
      <c r="I29" s="569"/>
      <c r="J29" s="570" t="s">
        <v>52</v>
      </c>
      <c r="K29" s="573"/>
      <c r="L29" s="573"/>
      <c r="M29" s="571"/>
      <c r="N29" s="572" t="s">
        <v>23</v>
      </c>
      <c r="O29" s="569"/>
      <c r="P29" s="144"/>
      <c r="R29" s="566" t="e">
        <f ca="1">_xludf.IFNA(_xlfn.XLOOKUP(Table3[[#This Row],[SKU]],'03_BulkPack_Order'!$A$2:$A$67,'03_BulkPack_Order'!C:C),"")</f>
        <v>#NAME?</v>
      </c>
      <c r="S29" s="566" t="str">
        <f t="shared" ca="1" si="0"/>
        <v/>
      </c>
      <c r="T29" s="566" t="e">
        <f ca="1">_xludf.IFNA(_xlfn.XLOOKUP(Table3[[#This Row],[SKU]],'00_Yield_Rates'!$B$2:$B$17,'00_Yield_Rates'!$E$2:$E$17),"")</f>
        <v>#NAME?</v>
      </c>
    </row>
    <row r="30" spans="1:20">
      <c r="A30" s="567" t="s">
        <v>19</v>
      </c>
      <c r="B30" s="568">
        <v>201894</v>
      </c>
      <c r="C30" s="569"/>
      <c r="D30" s="569" t="s">
        <v>20</v>
      </c>
      <c r="E30" s="569" t="s">
        <v>24</v>
      </c>
      <c r="F30" s="569">
        <v>18</v>
      </c>
      <c r="G30" s="569"/>
      <c r="H30" s="569"/>
      <c r="I30" s="569"/>
      <c r="J30" s="570" t="s">
        <v>53</v>
      </c>
      <c r="K30" s="578"/>
      <c r="L30" s="578"/>
      <c r="M30" s="571"/>
      <c r="N30" s="572" t="s">
        <v>23</v>
      </c>
      <c r="O30" s="569"/>
      <c r="P30" s="144"/>
      <c r="R30" s="566" t="e">
        <f ca="1">_xludf.IFNA(_xlfn.XLOOKUP(Table3[[#This Row],[SKU]],'03_BulkPack_Order'!$A$2:$A$67,'03_BulkPack_Order'!C:C),"")</f>
        <v>#NAME?</v>
      </c>
      <c r="S30" s="566" t="str">
        <f t="shared" ca="1" si="0"/>
        <v/>
      </c>
      <c r="T30" s="566" t="e">
        <f ca="1">_xludf.IFNA(_xlfn.XLOOKUP(Table3[[#This Row],[SKU]],'00_Yield_Rates'!$B$2:$B$17,'00_Yield_Rates'!$E$2:$E$17),"")</f>
        <v>#NAME?</v>
      </c>
    </row>
    <row r="31" spans="1:20">
      <c r="A31" s="567" t="s">
        <v>19</v>
      </c>
      <c r="B31" s="568">
        <v>201895</v>
      </c>
      <c r="C31" s="569"/>
      <c r="D31" s="569" t="s">
        <v>20</v>
      </c>
      <c r="E31" s="569" t="s">
        <v>24</v>
      </c>
      <c r="F31" s="569">
        <v>18</v>
      </c>
      <c r="G31" s="569"/>
      <c r="H31" s="569"/>
      <c r="I31" s="569"/>
      <c r="J31" s="570" t="s">
        <v>54</v>
      </c>
      <c r="K31" s="578"/>
      <c r="L31" s="578"/>
      <c r="M31" s="571"/>
      <c r="N31" s="572" t="s">
        <v>23</v>
      </c>
      <c r="O31" s="569"/>
      <c r="P31" s="144"/>
      <c r="R31" s="566" t="e">
        <f ca="1">_xludf.IFNA(_xlfn.XLOOKUP(Table3[[#This Row],[SKU]],'03_BulkPack_Order'!$A$2:$A$67,'03_BulkPack_Order'!C:C),"")</f>
        <v>#NAME?</v>
      </c>
      <c r="S31" s="566" t="str">
        <f t="shared" ca="1" si="0"/>
        <v/>
      </c>
      <c r="T31" s="566" t="e">
        <f ca="1">_xludf.IFNA(_xlfn.XLOOKUP(Table3[[#This Row],[SKU]],'00_Yield_Rates'!$B$2:$B$17,'00_Yield_Rates'!$E$2:$E$17),"")</f>
        <v>#NAME?</v>
      </c>
    </row>
    <row r="32" spans="1:20">
      <c r="A32" s="567" t="s">
        <v>19</v>
      </c>
      <c r="B32" s="568">
        <v>201899</v>
      </c>
      <c r="C32" s="569"/>
      <c r="D32" s="569" t="s">
        <v>20</v>
      </c>
      <c r="E32" s="569" t="s">
        <v>24</v>
      </c>
      <c r="F32" s="569">
        <v>10</v>
      </c>
      <c r="G32" s="569"/>
      <c r="H32" s="569"/>
      <c r="I32" s="569"/>
      <c r="J32" s="570" t="s">
        <v>55</v>
      </c>
      <c r="K32" s="574"/>
      <c r="L32" s="574"/>
      <c r="M32" s="575"/>
      <c r="N32" s="572" t="s">
        <v>23</v>
      </c>
      <c r="O32" s="569"/>
      <c r="P32" s="144"/>
      <c r="R32" s="566" t="e">
        <f ca="1">_xludf.IFNA(_xlfn.XLOOKUP(Table3[[#This Row],[SKU]],'03_BulkPack_Order'!$A$2:$A$67,'03_BulkPack_Order'!C:C),"")</f>
        <v>#NAME?</v>
      </c>
      <c r="S32" s="566" t="str">
        <f t="shared" ca="1" si="0"/>
        <v/>
      </c>
      <c r="T32" s="566" t="e">
        <f ca="1">_xludf.IFNA(_xlfn.XLOOKUP(Table3[[#This Row],[SKU]],'00_Yield_Rates'!$B$2:$B$17,'00_Yield_Rates'!$E$2:$E$17),"")</f>
        <v>#NAME?</v>
      </c>
    </row>
    <row r="33" spans="1:20">
      <c r="A33" s="567" t="s">
        <v>19</v>
      </c>
      <c r="B33" s="568">
        <v>203033</v>
      </c>
      <c r="C33" s="569"/>
      <c r="D33" s="569" t="s">
        <v>20</v>
      </c>
      <c r="E33" s="569" t="s">
        <v>26</v>
      </c>
      <c r="F33" s="569"/>
      <c r="G33" s="569"/>
      <c r="H33" s="569"/>
      <c r="I33" s="569"/>
      <c r="J33" s="570"/>
      <c r="K33" s="573"/>
      <c r="L33" s="573"/>
      <c r="M33" s="571"/>
      <c r="N33" s="572" t="s">
        <v>23</v>
      </c>
      <c r="O33" s="569"/>
      <c r="P33" s="144"/>
      <c r="R33" s="566" t="e">
        <f ca="1">_xludf.IFNA(_xlfn.XLOOKUP(Table3[[#This Row],[SKU]],'03_BulkPack_Order'!$A$2:$A$67,'03_BulkPack_Order'!C:C),"")</f>
        <v>#NAME?</v>
      </c>
      <c r="S33" s="566" t="str">
        <f t="shared" ca="1" si="0"/>
        <v/>
      </c>
      <c r="T33" s="566" t="e">
        <f ca="1">_xludf.IFNA(_xlfn.XLOOKUP(Table3[[#This Row],[SKU]],'00_Yield_Rates'!$B$2:$B$17,'00_Yield_Rates'!$E$2:$E$17),"")</f>
        <v>#NAME?</v>
      </c>
    </row>
    <row r="34" spans="1:20">
      <c r="A34" s="567" t="s">
        <v>19</v>
      </c>
      <c r="B34" s="568">
        <v>203035</v>
      </c>
      <c r="C34" s="569"/>
      <c r="D34" s="569" t="s">
        <v>20</v>
      </c>
      <c r="E34" s="569" t="s">
        <v>34</v>
      </c>
      <c r="F34" s="569">
        <v>23</v>
      </c>
      <c r="G34" s="569"/>
      <c r="H34" s="569"/>
      <c r="I34" s="569"/>
      <c r="J34" s="570" t="s">
        <v>56</v>
      </c>
      <c r="K34" s="573"/>
      <c r="L34" s="573"/>
      <c r="M34" s="571"/>
      <c r="N34" s="572" t="s">
        <v>44</v>
      </c>
      <c r="O34" s="569"/>
      <c r="P34" s="144"/>
      <c r="R34" s="566" t="e">
        <f ca="1">_xludf.IFNA(_xlfn.XLOOKUP(Table3[[#This Row],[SKU]],'03_BulkPack_Order'!$A$2:$A$67,'03_BulkPack_Order'!C:C),"")</f>
        <v>#NAME?</v>
      </c>
      <c r="S34" s="566" t="str">
        <f t="shared" ca="1" si="0"/>
        <v/>
      </c>
      <c r="T34" s="566" t="e">
        <f ca="1">_xludf.IFNA(_xlfn.XLOOKUP(Table3[[#This Row],[SKU]],'00_Yield_Rates'!$B$2:$B$17,'00_Yield_Rates'!$E$2:$E$17),"")</f>
        <v>#NAME?</v>
      </c>
    </row>
    <row r="35" spans="1:20">
      <c r="A35" s="567" t="s">
        <v>19</v>
      </c>
      <c r="B35" s="568">
        <v>203087</v>
      </c>
      <c r="C35" s="569"/>
      <c r="D35" s="569" t="s">
        <v>20</v>
      </c>
      <c r="E35" s="569" t="s">
        <v>24</v>
      </c>
      <c r="F35" s="569"/>
      <c r="G35" s="569"/>
      <c r="H35" s="569"/>
      <c r="I35" s="569"/>
      <c r="J35" s="570"/>
      <c r="K35" s="573"/>
      <c r="L35" s="573"/>
      <c r="M35" s="571"/>
      <c r="N35" s="572" t="s">
        <v>44</v>
      </c>
      <c r="O35" s="569"/>
      <c r="P35" s="144"/>
      <c r="R35" s="566" t="e">
        <f ca="1">_xludf.IFNA(_xlfn.XLOOKUP(Table3[[#This Row],[SKU]],'03_BulkPack_Order'!$A$2:$A$67,'03_BulkPack_Order'!C:C),"")</f>
        <v>#NAME?</v>
      </c>
      <c r="S35" s="566" t="str">
        <f t="shared" ca="1" si="0"/>
        <v/>
      </c>
      <c r="T35" s="566" t="e">
        <f ca="1">_xludf.IFNA(_xlfn.XLOOKUP(Table3[[#This Row],[SKU]],'00_Yield_Rates'!$B$2:$B$17,'00_Yield_Rates'!$E$2:$E$17),"")</f>
        <v>#NAME?</v>
      </c>
    </row>
    <row r="36" spans="1:20">
      <c r="A36" s="567" t="s">
        <v>19</v>
      </c>
      <c r="B36" s="568">
        <v>203169</v>
      </c>
      <c r="C36" s="569"/>
      <c r="D36" s="569" t="s">
        <v>20</v>
      </c>
      <c r="E36" s="569" t="s">
        <v>24</v>
      </c>
      <c r="F36" s="569"/>
      <c r="G36" s="569"/>
      <c r="H36" s="569"/>
      <c r="I36" s="569"/>
      <c r="J36" s="570"/>
      <c r="K36" s="574"/>
      <c r="L36" s="574"/>
      <c r="M36" s="575"/>
      <c r="N36" s="572" t="s">
        <v>23</v>
      </c>
      <c r="O36" s="569"/>
      <c r="P36" s="144"/>
      <c r="R36" s="566" t="e">
        <f ca="1">_xludf.IFNA(_xlfn.XLOOKUP(Table3[[#This Row],[SKU]],'03_BulkPack_Order'!$A$2:$A$67,'03_BulkPack_Order'!C:C),"")</f>
        <v>#NAME?</v>
      </c>
      <c r="S36" s="566" t="str">
        <f t="shared" ca="1" si="0"/>
        <v/>
      </c>
      <c r="T36" s="566" t="e">
        <f ca="1">_xludf.IFNA(_xlfn.XLOOKUP(Table3[[#This Row],[SKU]],'00_Yield_Rates'!$B$2:$B$17,'00_Yield_Rates'!$E$2:$E$17),"")</f>
        <v>#NAME?</v>
      </c>
    </row>
    <row r="37" spans="1:20">
      <c r="A37" s="567" t="s">
        <v>19</v>
      </c>
      <c r="B37" s="568">
        <v>203171</v>
      </c>
      <c r="C37" s="569"/>
      <c r="D37" s="569" t="s">
        <v>20</v>
      </c>
      <c r="E37" s="569" t="s">
        <v>28</v>
      </c>
      <c r="F37" s="569"/>
      <c r="G37" s="569"/>
      <c r="H37" s="569"/>
      <c r="I37" s="569"/>
      <c r="J37" s="570"/>
      <c r="K37" s="573"/>
      <c r="L37" s="573"/>
      <c r="M37" s="571"/>
      <c r="N37" s="572" t="s">
        <v>23</v>
      </c>
      <c r="O37" s="569"/>
      <c r="P37" s="144"/>
      <c r="R37" s="566" t="e">
        <f ca="1">_xludf.IFNA(_xlfn.XLOOKUP(Table3[[#This Row],[SKU]],'03_BulkPack_Order'!$A$2:$A$67,'03_BulkPack_Order'!C:C),"")</f>
        <v>#NAME?</v>
      </c>
      <c r="S37" s="566" t="str">
        <f t="shared" ca="1" si="0"/>
        <v/>
      </c>
      <c r="T37" s="566" t="e">
        <f ca="1">_xludf.IFNA(_xlfn.XLOOKUP(Table3[[#This Row],[SKU]],'00_Yield_Rates'!$B$2:$B$17,'00_Yield_Rates'!$E$2:$E$17),"")</f>
        <v>#NAME?</v>
      </c>
    </row>
    <row r="38" spans="1:20">
      <c r="A38" s="567" t="s">
        <v>19</v>
      </c>
      <c r="B38" s="568">
        <v>203172</v>
      </c>
      <c r="C38" s="569"/>
      <c r="D38" s="569" t="s">
        <v>20</v>
      </c>
      <c r="E38" s="569" t="s">
        <v>38</v>
      </c>
      <c r="F38" s="569">
        <v>25</v>
      </c>
      <c r="G38" s="569"/>
      <c r="H38" s="569"/>
      <c r="I38" s="569"/>
      <c r="J38" s="570" t="s">
        <v>57</v>
      </c>
      <c r="K38" s="573"/>
      <c r="L38" s="573"/>
      <c r="M38" s="571"/>
      <c r="N38" s="572" t="s">
        <v>23</v>
      </c>
      <c r="O38" s="569"/>
      <c r="P38" s="144"/>
      <c r="R38" s="566" t="e">
        <f ca="1">_xludf.IFNA(_xlfn.XLOOKUP(Table3[[#This Row],[SKU]],'03_BulkPack_Order'!$A$2:$A$67,'03_BulkPack_Order'!C:C),"")</f>
        <v>#NAME?</v>
      </c>
      <c r="S38" s="566" t="str">
        <f t="shared" ca="1" si="0"/>
        <v/>
      </c>
      <c r="T38" s="566" t="e">
        <f ca="1">_xludf.IFNA(_xlfn.XLOOKUP(Table3[[#This Row],[SKU]],'00_Yield_Rates'!$B$2:$B$17,'00_Yield_Rates'!$E$2:$E$17),"")</f>
        <v>#NAME?</v>
      </c>
    </row>
    <row r="39" spans="1:20">
      <c r="A39" s="567" t="s">
        <v>19</v>
      </c>
      <c r="B39" s="568">
        <v>203173</v>
      </c>
      <c r="C39" s="569"/>
      <c r="D39" s="569" t="s">
        <v>20</v>
      </c>
      <c r="E39" s="569" t="s">
        <v>34</v>
      </c>
      <c r="F39" s="569"/>
      <c r="G39" s="569"/>
      <c r="H39" s="569"/>
      <c r="I39" s="569"/>
      <c r="J39" s="570" t="s">
        <v>58</v>
      </c>
      <c r="K39" s="573"/>
      <c r="L39" s="573"/>
      <c r="M39" s="571"/>
      <c r="N39" s="572" t="s">
        <v>23</v>
      </c>
      <c r="O39" s="569"/>
      <c r="P39" s="144"/>
      <c r="R39" s="566" t="e">
        <f ca="1">_xludf.IFNA(_xlfn.XLOOKUP(Table3[[#This Row],[SKU]],'03_BulkPack_Order'!$A$2:$A$67,'03_BulkPack_Order'!C:C),"")</f>
        <v>#NAME?</v>
      </c>
      <c r="S39" s="566" t="str">
        <f t="shared" ca="1" si="0"/>
        <v/>
      </c>
      <c r="T39" s="566" t="e">
        <f ca="1">_xludf.IFNA(_xlfn.XLOOKUP(Table3[[#This Row],[SKU]],'00_Yield_Rates'!$B$2:$B$17,'00_Yield_Rates'!$E$2:$E$17),"")</f>
        <v>#NAME?</v>
      </c>
    </row>
    <row r="40" spans="1:20">
      <c r="A40" s="567" t="s">
        <v>19</v>
      </c>
      <c r="B40" s="568">
        <v>203174</v>
      </c>
      <c r="C40" s="569"/>
      <c r="D40" s="569" t="s">
        <v>20</v>
      </c>
      <c r="E40" s="569" t="s">
        <v>21</v>
      </c>
      <c r="F40" s="569"/>
      <c r="G40" s="569"/>
      <c r="H40" s="569"/>
      <c r="I40" s="569"/>
      <c r="J40" s="570"/>
      <c r="K40" s="573"/>
      <c r="L40" s="573"/>
      <c r="M40" s="571"/>
      <c r="N40" s="572" t="s">
        <v>23</v>
      </c>
      <c r="O40" s="569"/>
      <c r="P40" s="144"/>
      <c r="R40" s="566" t="e">
        <f ca="1">_xludf.IFNA(_xlfn.XLOOKUP(Table3[[#This Row],[SKU]],'03_BulkPack_Order'!$A$2:$A$67,'03_BulkPack_Order'!C:C),"")</f>
        <v>#NAME?</v>
      </c>
      <c r="S40" s="566" t="str">
        <f t="shared" ca="1" si="0"/>
        <v/>
      </c>
      <c r="T40" s="566" t="e">
        <f ca="1">_xludf.IFNA(_xlfn.XLOOKUP(Table3[[#This Row],[SKU]],'00_Yield_Rates'!$B$2:$B$17,'00_Yield_Rates'!$E$2:$E$17),"")</f>
        <v>#NAME?</v>
      </c>
    </row>
    <row r="41" spans="1:20">
      <c r="A41" s="567" t="s">
        <v>19</v>
      </c>
      <c r="B41" s="568">
        <v>203175</v>
      </c>
      <c r="C41" s="569"/>
      <c r="D41" s="569" t="s">
        <v>20</v>
      </c>
      <c r="E41" s="569" t="s">
        <v>30</v>
      </c>
      <c r="F41" s="569"/>
      <c r="G41" s="569"/>
      <c r="H41" s="569"/>
      <c r="I41" s="569"/>
      <c r="J41" s="570"/>
      <c r="K41" s="573"/>
      <c r="L41" s="573"/>
      <c r="M41" s="571"/>
      <c r="N41" s="572" t="s">
        <v>23</v>
      </c>
      <c r="O41" s="569"/>
      <c r="P41" s="144"/>
      <c r="R41" s="566" t="e">
        <f ca="1">_xludf.IFNA(_xlfn.XLOOKUP(Table3[[#This Row],[SKU]],'03_BulkPack_Order'!$A$2:$A$67,'03_BulkPack_Order'!C:C),"")</f>
        <v>#NAME?</v>
      </c>
      <c r="S41" s="566" t="str">
        <f t="shared" ca="1" si="0"/>
        <v/>
      </c>
      <c r="T41" s="566" t="e">
        <f ca="1">_xludf.IFNA(_xlfn.XLOOKUP(Table3[[#This Row],[SKU]],'00_Yield_Rates'!$B$2:$B$17,'00_Yield_Rates'!$E$2:$E$17),"")</f>
        <v>#NAME?</v>
      </c>
    </row>
    <row r="42" spans="1:20">
      <c r="A42" s="567" t="s">
        <v>19</v>
      </c>
      <c r="B42" s="576">
        <v>203193</v>
      </c>
      <c r="C42" s="569"/>
      <c r="D42" s="569" t="s">
        <v>20</v>
      </c>
      <c r="E42" s="569" t="s">
        <v>34</v>
      </c>
      <c r="F42" s="571">
        <v>25</v>
      </c>
      <c r="G42" s="569"/>
      <c r="H42" s="569"/>
      <c r="I42" s="569"/>
      <c r="J42" s="570" t="s">
        <v>59</v>
      </c>
      <c r="K42" s="573"/>
      <c r="L42" s="573"/>
      <c r="M42" s="571"/>
      <c r="N42" s="572" t="s">
        <v>23</v>
      </c>
      <c r="O42" s="569"/>
      <c r="P42" s="144"/>
      <c r="R42" s="566" t="e">
        <f ca="1">_xludf.IFNA(_xlfn.XLOOKUP(Table3[[#This Row],[SKU]],'03_BulkPack_Order'!$A$2:$A$67,'03_BulkPack_Order'!C:C),"")</f>
        <v>#NAME?</v>
      </c>
      <c r="S42" s="566" t="str">
        <f t="shared" ca="1" si="0"/>
        <v/>
      </c>
      <c r="T42" s="566" t="e">
        <f ca="1">_xludf.IFNA(_xlfn.XLOOKUP(Table3[[#This Row],[SKU]],'00_Yield_Rates'!$B$2:$B$17,'00_Yield_Rates'!$E$2:$E$17),"")</f>
        <v>#NAME?</v>
      </c>
    </row>
    <row r="43" spans="1:20">
      <c r="A43" s="567" t="s">
        <v>19</v>
      </c>
      <c r="B43" s="568">
        <v>203194</v>
      </c>
      <c r="C43" s="569"/>
      <c r="D43" s="569" t="s">
        <v>20</v>
      </c>
      <c r="E43" s="569" t="s">
        <v>34</v>
      </c>
      <c r="F43" s="569">
        <v>25</v>
      </c>
      <c r="G43" s="569"/>
      <c r="H43" s="569"/>
      <c r="I43" s="569"/>
      <c r="J43" s="570" t="s">
        <v>60</v>
      </c>
      <c r="K43" s="573"/>
      <c r="L43" s="573"/>
      <c r="M43" s="571"/>
      <c r="N43" s="572" t="s">
        <v>23</v>
      </c>
      <c r="O43" s="569"/>
      <c r="P43" s="144"/>
      <c r="R43" s="566" t="e">
        <f ca="1">_xludf.IFNA(_xlfn.XLOOKUP(Table3[[#This Row],[SKU]],'03_BulkPack_Order'!$A$2:$A$67,'03_BulkPack_Order'!C:C),"")</f>
        <v>#NAME?</v>
      </c>
      <c r="S43" s="566" t="str">
        <f t="shared" ca="1" si="0"/>
        <v/>
      </c>
      <c r="T43" s="566" t="e">
        <f ca="1">_xludf.IFNA(_xlfn.XLOOKUP(Table3[[#This Row],[SKU]],'00_Yield_Rates'!$B$2:$B$17,'00_Yield_Rates'!$E$2:$E$17),"")</f>
        <v>#NAME?</v>
      </c>
    </row>
    <row r="44" spans="1:20">
      <c r="A44" s="567" t="s">
        <v>19</v>
      </c>
      <c r="B44" s="568">
        <v>203624</v>
      </c>
      <c r="C44" s="569"/>
      <c r="D44" s="569" t="s">
        <v>20</v>
      </c>
      <c r="E44" s="577" t="s">
        <v>61</v>
      </c>
      <c r="F44" s="569">
        <v>25</v>
      </c>
      <c r="G44" s="569"/>
      <c r="H44" s="569"/>
      <c r="I44" s="569"/>
      <c r="J44" s="570" t="s">
        <v>62</v>
      </c>
      <c r="K44" s="573"/>
      <c r="L44" s="573"/>
      <c r="M44" s="571"/>
      <c r="N44" s="572" t="s">
        <v>23</v>
      </c>
      <c r="O44" s="569"/>
      <c r="P44" s="144"/>
      <c r="R44" s="566" t="e">
        <f ca="1">_xludf.IFNA(_xlfn.XLOOKUP(Table3[[#This Row],[SKU]],'03_BulkPack_Order'!$A$2:$A$67,'03_BulkPack_Order'!C:C),"")</f>
        <v>#NAME?</v>
      </c>
      <c r="S44" s="566" t="str">
        <f t="shared" ca="1" si="0"/>
        <v/>
      </c>
      <c r="T44" s="566" t="e">
        <f ca="1">_xludf.IFNA(_xlfn.XLOOKUP(Table3[[#This Row],[SKU]],'00_Yield_Rates'!$B$2:$B$17,'00_Yield_Rates'!$E$2:$E$17),"")</f>
        <v>#NAME?</v>
      </c>
    </row>
    <row r="45" spans="1:20">
      <c r="A45" s="567" t="s">
        <v>19</v>
      </c>
      <c r="B45" s="568">
        <v>203839</v>
      </c>
      <c r="C45" s="569"/>
      <c r="D45" s="569" t="s">
        <v>20</v>
      </c>
      <c r="E45" s="569" t="s">
        <v>21</v>
      </c>
      <c r="F45" s="569"/>
      <c r="G45" s="569"/>
      <c r="H45" s="569"/>
      <c r="I45" s="569"/>
      <c r="J45" s="570"/>
      <c r="K45" s="573"/>
      <c r="L45" s="573"/>
      <c r="M45" s="571"/>
      <c r="N45" s="572" t="s">
        <v>23</v>
      </c>
      <c r="O45" s="569"/>
      <c r="P45" s="144"/>
      <c r="R45" s="566" t="e">
        <f ca="1">_xludf.IFNA(_xlfn.XLOOKUP(Table3[[#This Row],[SKU]],'03_BulkPack_Order'!$A$2:$A$67,'03_BulkPack_Order'!C:C),"")</f>
        <v>#NAME?</v>
      </c>
      <c r="S45" s="566" t="str">
        <f t="shared" ca="1" si="0"/>
        <v/>
      </c>
      <c r="T45" s="566" t="e">
        <f ca="1">_xludf.IFNA(_xlfn.XLOOKUP(Table3[[#This Row],[SKU]],'00_Yield_Rates'!$B$2:$B$17,'00_Yield_Rates'!$E$2:$E$17),"")</f>
        <v>#NAME?</v>
      </c>
    </row>
    <row r="46" spans="1:20">
      <c r="A46" s="567" t="s">
        <v>19</v>
      </c>
      <c r="B46" s="568">
        <v>203846</v>
      </c>
      <c r="C46" s="569"/>
      <c r="D46" s="569" t="s">
        <v>20</v>
      </c>
      <c r="E46" s="569" t="s">
        <v>40</v>
      </c>
      <c r="F46" s="569"/>
      <c r="G46" s="569"/>
      <c r="H46" s="569"/>
      <c r="I46" s="569"/>
      <c r="J46" s="570"/>
      <c r="K46" s="573"/>
      <c r="L46" s="573"/>
      <c r="M46" s="571"/>
      <c r="N46" s="572" t="s">
        <v>23</v>
      </c>
      <c r="O46" s="569"/>
      <c r="P46" s="144"/>
      <c r="R46" s="566" t="e">
        <f ca="1">_xludf.IFNA(_xlfn.XLOOKUP(Table3[[#This Row],[SKU]],'03_BulkPack_Order'!$A$2:$A$67,'03_BulkPack_Order'!C:C),"")</f>
        <v>#NAME?</v>
      </c>
      <c r="S46" s="566" t="str">
        <f t="shared" ca="1" si="0"/>
        <v/>
      </c>
      <c r="T46" s="566" t="e">
        <f ca="1">_xludf.IFNA(_xlfn.XLOOKUP(Table3[[#This Row],[SKU]],'00_Yield_Rates'!$B$2:$B$17,'00_Yield_Rates'!$E$2:$E$17),"")</f>
        <v>#NAME?</v>
      </c>
    </row>
    <row r="47" spans="1:20">
      <c r="A47" s="579" t="s">
        <v>19</v>
      </c>
      <c r="B47" s="580">
        <v>61010</v>
      </c>
      <c r="C47" s="581"/>
      <c r="D47" s="581" t="s">
        <v>63</v>
      </c>
      <c r="E47" s="581" t="s">
        <v>38</v>
      </c>
      <c r="F47" s="581"/>
      <c r="G47" s="581"/>
      <c r="H47" s="581"/>
      <c r="I47" s="581"/>
      <c r="J47" s="582" t="s">
        <v>64</v>
      </c>
      <c r="K47" s="583"/>
      <c r="L47" s="583"/>
      <c r="M47" s="584"/>
      <c r="N47" s="585" t="s">
        <v>23</v>
      </c>
      <c r="O47" s="581"/>
      <c r="P47" s="144"/>
      <c r="R47" s="566" t="e">
        <f ca="1">_xludf.IFNA(_xlfn.XLOOKUP(Table3[[#This Row],[SKU]],'03_BulkPack_Order'!$A$2:$A$67,'03_BulkPack_Order'!C:C),"")</f>
        <v>#NAME?</v>
      </c>
      <c r="S47" s="165" t="e">
        <f ca="1">_xludf.IFNA(_xlfn.XLOOKUP(Table3[[#This Row],[SKU]],'06_Resource_Plan'!$C$2:$C$58,'06_Resource_Plan'!F:F),"")</f>
        <v>#NAME?</v>
      </c>
      <c r="T47" s="566" t="e">
        <f ca="1">_xludf.IFNA(_xlfn.XLOOKUP(Table3[[#This Row],[SKU]],'00_Yield_Rates'!$B$2:$B$17,'00_Yield_Rates'!$E$2:$E$17),"")</f>
        <v>#NAME?</v>
      </c>
    </row>
    <row r="48" spans="1:20">
      <c r="A48" s="579" t="s">
        <v>19</v>
      </c>
      <c r="B48" s="580">
        <v>61014</v>
      </c>
      <c r="C48" s="581"/>
      <c r="D48" s="581" t="s">
        <v>63</v>
      </c>
      <c r="E48" s="581" t="s">
        <v>34</v>
      </c>
      <c r="F48" s="581"/>
      <c r="G48" s="581"/>
      <c r="H48" s="581"/>
      <c r="I48" s="581"/>
      <c r="J48" s="582" t="s">
        <v>65</v>
      </c>
      <c r="K48" s="586"/>
      <c r="L48" s="586"/>
      <c r="M48" s="587"/>
      <c r="N48" s="585" t="s">
        <v>44</v>
      </c>
      <c r="O48" s="581"/>
      <c r="P48" s="144"/>
      <c r="R48" s="566" t="e">
        <f ca="1">_xludf.IFNA(_xlfn.XLOOKUP(Table3[[#This Row],[SKU]],'03_BulkPack_Order'!$A$2:$A$67,'03_BulkPack_Order'!C:C),"")</f>
        <v>#NAME?</v>
      </c>
      <c r="S48" s="165" t="e">
        <f ca="1">_xludf.IFNA(_xlfn.XLOOKUP(Table3[[#This Row],[SKU]],'06_Resource_Plan'!$C$2:$C$58,'06_Resource_Plan'!F:F),"")</f>
        <v>#NAME?</v>
      </c>
      <c r="T48" s="566" t="e">
        <f ca="1">_xludf.IFNA(_xlfn.XLOOKUP(Table3[[#This Row],[SKU]],'00_Yield_Rates'!$B$2:$B$17,'00_Yield_Rates'!$E$2:$E$17),"")</f>
        <v>#NAME?</v>
      </c>
    </row>
    <row r="49" spans="1:20">
      <c r="A49" s="579" t="s">
        <v>19</v>
      </c>
      <c r="B49" s="580">
        <v>61016</v>
      </c>
      <c r="C49" s="581"/>
      <c r="D49" s="581" t="s">
        <v>63</v>
      </c>
      <c r="E49" s="581" t="s">
        <v>34</v>
      </c>
      <c r="F49" s="581"/>
      <c r="G49" s="581"/>
      <c r="H49" s="581"/>
      <c r="I49" s="581"/>
      <c r="J49" s="582" t="s">
        <v>66</v>
      </c>
      <c r="K49" s="586"/>
      <c r="L49" s="586"/>
      <c r="M49" s="587"/>
      <c r="N49" s="585" t="s">
        <v>44</v>
      </c>
      <c r="O49" s="581"/>
      <c r="P49" s="144"/>
      <c r="R49" s="566" t="e">
        <f ca="1">_xludf.IFNA(_xlfn.XLOOKUP(Table3[[#This Row],[SKU]],'03_BulkPack_Order'!$A$2:$A$67,'03_BulkPack_Order'!C:C),"")</f>
        <v>#NAME?</v>
      </c>
      <c r="S49" s="165" t="e">
        <f ca="1">_xludf.IFNA(_xlfn.XLOOKUP(Table3[[#This Row],[SKU]],'06_Resource_Plan'!$C$2:$C$58,'06_Resource_Plan'!F:F),"")</f>
        <v>#NAME?</v>
      </c>
      <c r="T49" s="566" t="e">
        <f ca="1">_xludf.IFNA(_xlfn.XLOOKUP(Table3[[#This Row],[SKU]],'00_Yield_Rates'!$B$2:$B$17,'00_Yield_Rates'!$E$2:$E$17),"")</f>
        <v>#NAME?</v>
      </c>
    </row>
    <row r="50" spans="1:20">
      <c r="A50" s="579" t="s">
        <v>19</v>
      </c>
      <c r="B50" s="580">
        <v>61018</v>
      </c>
      <c r="C50" s="581"/>
      <c r="D50" s="581" t="s">
        <v>63</v>
      </c>
      <c r="E50" s="581" t="s">
        <v>38</v>
      </c>
      <c r="F50" s="581"/>
      <c r="G50" s="581"/>
      <c r="H50" s="581"/>
      <c r="I50" s="581"/>
      <c r="J50" s="582" t="s">
        <v>67</v>
      </c>
      <c r="K50" s="588"/>
      <c r="L50" s="588"/>
      <c r="M50" s="587"/>
      <c r="N50" s="581" t="s">
        <v>23</v>
      </c>
      <c r="O50" s="581"/>
      <c r="P50" s="144"/>
      <c r="R50" s="566" t="e">
        <f ca="1">_xludf.IFNA(_xlfn.XLOOKUP(Table3[[#This Row],[SKU]],'03_BulkPack_Order'!$A$2:$A$67,'03_BulkPack_Order'!C:C),"")</f>
        <v>#NAME?</v>
      </c>
      <c r="S50" s="165"/>
      <c r="T50" s="566" t="e">
        <f ca="1">_xludf.IFNA(_xlfn.XLOOKUP(Table3[[#This Row],[SKU]],'00_Yield_Rates'!$B$2:$B$17,'00_Yield_Rates'!$E$2:$E$17),"")</f>
        <v>#NAME?</v>
      </c>
    </row>
    <row r="51" spans="1:20">
      <c r="A51" s="579" t="s">
        <v>19</v>
      </c>
      <c r="B51" s="580">
        <v>61040</v>
      </c>
      <c r="C51" s="581"/>
      <c r="D51" s="581" t="s">
        <v>63</v>
      </c>
      <c r="E51" s="589" t="s">
        <v>40</v>
      </c>
      <c r="F51" s="581"/>
      <c r="G51" s="581"/>
      <c r="H51" s="581"/>
      <c r="I51" s="581"/>
      <c r="J51" s="582" t="s">
        <v>68</v>
      </c>
      <c r="K51" s="586"/>
      <c r="L51" s="586"/>
      <c r="M51" s="587"/>
      <c r="N51" s="585" t="s">
        <v>23</v>
      </c>
      <c r="O51" s="581"/>
      <c r="P51" s="144"/>
      <c r="R51" s="566" t="e">
        <f ca="1">_xludf.IFNA(_xlfn.XLOOKUP(Table3[[#This Row],[SKU]],'03_BulkPack_Order'!$A$2:$A$67,'03_BulkPack_Order'!C:C),"")</f>
        <v>#NAME?</v>
      </c>
      <c r="S51" s="165" t="e">
        <f ca="1">_xludf.IFNA(_xlfn.XLOOKUP(Table3[[#This Row],[SKU]],'06_Resource_Plan'!$C$2:$C$58,'06_Resource_Plan'!F:F),"")</f>
        <v>#NAME?</v>
      </c>
      <c r="T51" s="566" t="e">
        <f ca="1">_xludf.IFNA(_xlfn.XLOOKUP(Table3[[#This Row],[SKU]],'00_Yield_Rates'!$B$2:$B$17,'00_Yield_Rates'!$E$2:$E$17),"")</f>
        <v>#NAME?</v>
      </c>
    </row>
    <row r="52" spans="1:20">
      <c r="A52" s="579" t="s">
        <v>19</v>
      </c>
      <c r="B52" s="580">
        <v>61042</v>
      </c>
      <c r="C52" s="581"/>
      <c r="D52" s="581" t="s">
        <v>63</v>
      </c>
      <c r="E52" s="589" t="s">
        <v>40</v>
      </c>
      <c r="F52" s="581"/>
      <c r="G52" s="581"/>
      <c r="H52" s="581"/>
      <c r="I52" s="581"/>
      <c r="J52" s="582" t="s">
        <v>69</v>
      </c>
      <c r="K52" s="586"/>
      <c r="L52" s="586"/>
      <c r="M52" s="587"/>
      <c r="N52" s="585" t="s">
        <v>44</v>
      </c>
      <c r="O52" s="581"/>
      <c r="P52" s="144"/>
      <c r="R52" s="566" t="e">
        <f ca="1">_xludf.IFNA(_xlfn.XLOOKUP(Table3[[#This Row],[SKU]],'03_BulkPack_Order'!$A$2:$A$67,'03_BulkPack_Order'!C:C),"")</f>
        <v>#NAME?</v>
      </c>
      <c r="S52" s="165" t="e">
        <f ca="1">_xludf.IFNA(_xlfn.XLOOKUP(Table3[[#This Row],[SKU]],'06_Resource_Plan'!$C$2:$C$58,'06_Resource_Plan'!F:F),"")</f>
        <v>#NAME?</v>
      </c>
      <c r="T52" s="566" t="e">
        <f ca="1">_xludf.IFNA(_xlfn.XLOOKUP(Table3[[#This Row],[SKU]],'00_Yield_Rates'!$B$2:$B$17,'00_Yield_Rates'!$E$2:$E$17),"")</f>
        <v>#NAME?</v>
      </c>
    </row>
    <row r="53" spans="1:20">
      <c r="A53" s="579" t="s">
        <v>19</v>
      </c>
      <c r="B53" s="580">
        <v>61048</v>
      </c>
      <c r="C53" s="581"/>
      <c r="D53" s="581" t="s">
        <v>63</v>
      </c>
      <c r="E53" s="581" t="s">
        <v>40</v>
      </c>
      <c r="F53" s="581"/>
      <c r="G53" s="581"/>
      <c r="H53" s="581"/>
      <c r="I53" s="581"/>
      <c r="J53" s="582" t="s">
        <v>70</v>
      </c>
      <c r="K53" s="586"/>
      <c r="L53" s="586"/>
      <c r="M53" s="587"/>
      <c r="N53" s="585" t="s">
        <v>23</v>
      </c>
      <c r="O53" s="581"/>
      <c r="P53" s="144"/>
      <c r="R53" s="566" t="e">
        <f ca="1">_xludf.IFNA(_xlfn.XLOOKUP(Table3[[#This Row],[SKU]],'03_BulkPack_Order'!$A$2:$A$67,'03_BulkPack_Order'!C:C),"")</f>
        <v>#NAME?</v>
      </c>
      <c r="S53" s="165" t="e">
        <f ca="1">_xludf.IFNA(_xlfn.XLOOKUP(Table3[[#This Row],[SKU]],'06_Resource_Plan'!$C$2:$C$58,'06_Resource_Plan'!F:F),"")</f>
        <v>#NAME?</v>
      </c>
      <c r="T53" s="566" t="e">
        <f ca="1">_xludf.IFNA(_xlfn.XLOOKUP(Table3[[#This Row],[SKU]],'00_Yield_Rates'!$B$2:$B$17,'00_Yield_Rates'!$E$2:$E$17),"")</f>
        <v>#NAME?</v>
      </c>
    </row>
    <row r="54" spans="1:20">
      <c r="A54" s="579" t="s">
        <v>19</v>
      </c>
      <c r="B54" s="580">
        <v>61049</v>
      </c>
      <c r="C54" s="581"/>
      <c r="D54" s="581" t="s">
        <v>63</v>
      </c>
      <c r="E54" s="589" t="s">
        <v>40</v>
      </c>
      <c r="F54" s="581"/>
      <c r="G54" s="581"/>
      <c r="H54" s="581"/>
      <c r="I54" s="581"/>
      <c r="J54" s="582" t="s">
        <v>71</v>
      </c>
      <c r="K54" s="583"/>
      <c r="L54" s="583"/>
      <c r="M54" s="584"/>
      <c r="N54" s="585" t="s">
        <v>44</v>
      </c>
      <c r="O54" s="581"/>
      <c r="P54" s="144"/>
      <c r="R54" s="566" t="e">
        <f ca="1">_xludf.IFNA(_xlfn.XLOOKUP(Table3[[#This Row],[SKU]],'03_BulkPack_Order'!$A$2:$A$67,'03_BulkPack_Order'!C:C),"")</f>
        <v>#NAME?</v>
      </c>
      <c r="S54" s="165" t="e">
        <f ca="1">_xludf.IFNA(_xlfn.XLOOKUP(Table3[[#This Row],[SKU]],'06_Resource_Plan'!$C$2:$C$58,'06_Resource_Plan'!F:F),"")</f>
        <v>#NAME?</v>
      </c>
      <c r="T54" s="566" t="e">
        <f ca="1">_xludf.IFNA(_xlfn.XLOOKUP(Table3[[#This Row],[SKU]],'00_Yield_Rates'!$B$2:$B$17,'00_Yield_Rates'!$E$2:$E$17),"")</f>
        <v>#NAME?</v>
      </c>
    </row>
    <row r="55" spans="1:20">
      <c r="A55" s="579" t="s">
        <v>19</v>
      </c>
      <c r="B55" s="580">
        <v>61050</v>
      </c>
      <c r="C55" s="581"/>
      <c r="D55" s="581" t="s">
        <v>63</v>
      </c>
      <c r="E55" s="581" t="s">
        <v>24</v>
      </c>
      <c r="F55" s="581"/>
      <c r="G55" s="581"/>
      <c r="H55" s="581"/>
      <c r="I55" s="581"/>
      <c r="J55" s="582" t="s">
        <v>72</v>
      </c>
      <c r="K55" s="583"/>
      <c r="L55" s="583"/>
      <c r="M55" s="584"/>
      <c r="N55" s="585" t="s">
        <v>44</v>
      </c>
      <c r="O55" s="581"/>
      <c r="P55" s="144"/>
      <c r="R55" s="566" t="e">
        <f ca="1">_xludf.IFNA(_xlfn.XLOOKUP(Table3[[#This Row],[SKU]],'03_BulkPack_Order'!$A$2:$A$67,'03_BulkPack_Order'!C:C),"")</f>
        <v>#NAME?</v>
      </c>
      <c r="S55" s="165" t="e">
        <f ca="1">_xludf.IFNA(_xlfn.XLOOKUP(Table3[[#This Row],[SKU]],'06_Resource_Plan'!$C$2:$C$58,'06_Resource_Plan'!F:F),"")</f>
        <v>#NAME?</v>
      </c>
      <c r="T55" s="566" t="e">
        <f ca="1">_xludf.IFNA(_xlfn.XLOOKUP(Table3[[#This Row],[SKU]],'00_Yield_Rates'!$B$2:$B$17,'00_Yield_Rates'!$E$2:$E$17),"")</f>
        <v>#NAME?</v>
      </c>
    </row>
    <row r="56" spans="1:20">
      <c r="A56" s="579" t="s">
        <v>19</v>
      </c>
      <c r="B56" s="580">
        <v>61051</v>
      </c>
      <c r="C56" s="581"/>
      <c r="D56" s="581" t="s">
        <v>63</v>
      </c>
      <c r="E56" s="581" t="s">
        <v>24</v>
      </c>
      <c r="F56" s="581"/>
      <c r="G56" s="581"/>
      <c r="H56" s="581"/>
      <c r="I56" s="581"/>
      <c r="J56" s="582" t="s">
        <v>73</v>
      </c>
      <c r="K56" s="586"/>
      <c r="L56" s="586"/>
      <c r="M56" s="587"/>
      <c r="N56" s="585" t="s">
        <v>44</v>
      </c>
      <c r="O56" s="581"/>
      <c r="P56" s="144"/>
      <c r="R56" s="566" t="e">
        <f ca="1">_xludf.IFNA(_xlfn.XLOOKUP(Table3[[#This Row],[SKU]],'03_BulkPack_Order'!$A$2:$A$67,'03_BulkPack_Order'!C:C),"")</f>
        <v>#NAME?</v>
      </c>
      <c r="S56" s="165" t="e">
        <f ca="1">_xludf.IFNA(_xlfn.XLOOKUP(Table3[[#This Row],[SKU]],'06_Resource_Plan'!$C$2:$C$58,'06_Resource_Plan'!F:F),"")</f>
        <v>#NAME?</v>
      </c>
      <c r="T56" s="566" t="e">
        <f ca="1">_xludf.IFNA(_xlfn.XLOOKUP(Table3[[#This Row],[SKU]],'00_Yield_Rates'!$B$2:$B$17,'00_Yield_Rates'!$E$2:$E$17),"")</f>
        <v>#NAME?</v>
      </c>
    </row>
    <row r="57" spans="1:20">
      <c r="A57" s="579" t="s">
        <v>19</v>
      </c>
      <c r="B57" s="580">
        <v>61054</v>
      </c>
      <c r="C57" s="581"/>
      <c r="D57" s="581" t="s">
        <v>63</v>
      </c>
      <c r="E57" s="581" t="s">
        <v>74</v>
      </c>
      <c r="F57" s="581"/>
      <c r="G57" s="581"/>
      <c r="H57" s="581"/>
      <c r="I57" s="581"/>
      <c r="J57" s="582" t="s">
        <v>75</v>
      </c>
      <c r="K57" s="586"/>
      <c r="L57" s="586"/>
      <c r="M57" s="587"/>
      <c r="N57" s="585" t="s">
        <v>44</v>
      </c>
      <c r="O57" s="581"/>
      <c r="P57" s="144"/>
      <c r="R57" s="566" t="e">
        <f ca="1">_xludf.IFNA(_xlfn.XLOOKUP(Table3[[#This Row],[SKU]],'03_BulkPack_Order'!$A$2:$A$67,'03_BulkPack_Order'!C:C),"")</f>
        <v>#NAME?</v>
      </c>
      <c r="S57" s="165" t="e">
        <f ca="1">_xludf.IFNA(_xlfn.XLOOKUP(Table3[[#This Row],[SKU]],'06_Resource_Plan'!$C$2:$C$58,'06_Resource_Plan'!F:F),"")</f>
        <v>#NAME?</v>
      </c>
      <c r="T57" s="566" t="e">
        <f ca="1">_xludf.IFNA(_xlfn.XLOOKUP(Table3[[#This Row],[SKU]],'00_Yield_Rates'!$B$2:$B$17,'00_Yield_Rates'!$E$2:$E$17),"")</f>
        <v>#NAME?</v>
      </c>
    </row>
    <row r="58" spans="1:20">
      <c r="A58" s="579" t="s">
        <v>19</v>
      </c>
      <c r="B58" s="580">
        <v>61055</v>
      </c>
      <c r="C58" s="581"/>
      <c r="D58" s="581" t="s">
        <v>63</v>
      </c>
      <c r="E58" s="581" t="s">
        <v>76</v>
      </c>
      <c r="F58" s="581"/>
      <c r="G58" s="581"/>
      <c r="H58" s="581"/>
      <c r="I58" s="581"/>
      <c r="J58" s="582" t="s">
        <v>77</v>
      </c>
      <c r="K58" s="588"/>
      <c r="L58" s="588"/>
      <c r="M58" s="587"/>
      <c r="N58" s="581" t="s">
        <v>23</v>
      </c>
      <c r="O58" s="581"/>
      <c r="P58" s="144"/>
      <c r="R58" s="566" t="e">
        <f ca="1">_xludf.IFNA(_xlfn.XLOOKUP(Table3[[#This Row],[SKU]],'03_BulkPack_Order'!$A$2:$A$67,'03_BulkPack_Order'!C:C),"")</f>
        <v>#NAME?</v>
      </c>
      <c r="S58" s="165" t="e">
        <f ca="1">_xludf.IFNA(_xlfn.XLOOKUP(Table3[[#This Row],[SKU]],'06_Resource_Plan'!$C$2:$C$58,'06_Resource_Plan'!F:F),"")</f>
        <v>#NAME?</v>
      </c>
      <c r="T58" s="566" t="e">
        <f ca="1">_xludf.IFNA(_xlfn.XLOOKUP(Table3[[#This Row],[SKU]],'00_Yield_Rates'!$B$2:$B$17,'00_Yield_Rates'!$E$2:$E$17),"")</f>
        <v>#NAME?</v>
      </c>
    </row>
    <row r="59" spans="1:20">
      <c r="A59" s="579" t="s">
        <v>19</v>
      </c>
      <c r="B59" s="580">
        <v>61061</v>
      </c>
      <c r="C59" s="581"/>
      <c r="D59" s="581" t="s">
        <v>63</v>
      </c>
      <c r="E59" s="581" t="s">
        <v>26</v>
      </c>
      <c r="F59" s="581"/>
      <c r="G59" s="581"/>
      <c r="H59" s="581"/>
      <c r="I59" s="581"/>
      <c r="J59" s="582" t="s">
        <v>78</v>
      </c>
      <c r="K59" s="583"/>
      <c r="L59" s="583"/>
      <c r="M59" s="584"/>
      <c r="N59" s="585" t="s">
        <v>23</v>
      </c>
      <c r="O59" s="581"/>
      <c r="P59" s="144"/>
      <c r="R59" s="165"/>
      <c r="S59" s="165" t="e">
        <f ca="1">_xludf.IFNA(_xlfn.XLOOKUP(Table3[[#This Row],[SKU]],'06_Resource_Plan'!$C$2:$C$58,'06_Resource_Plan'!F:F),"")</f>
        <v>#NAME?</v>
      </c>
      <c r="T59" s="566" t="e">
        <f ca="1">_xludf.IFNA(_xlfn.XLOOKUP(Table3[[#This Row],[SKU]],'00_Yield_Rates'!$B$2:$B$17,'00_Yield_Rates'!$E$2:$E$17),"")</f>
        <v>#NAME?</v>
      </c>
    </row>
    <row r="60" spans="1:20">
      <c r="A60" s="579" t="s">
        <v>19</v>
      </c>
      <c r="B60" s="580">
        <v>61062</v>
      </c>
      <c r="C60" s="581"/>
      <c r="D60" s="581" t="s">
        <v>63</v>
      </c>
      <c r="E60" s="581" t="s">
        <v>26</v>
      </c>
      <c r="F60" s="581"/>
      <c r="G60" s="581"/>
      <c r="H60" s="581"/>
      <c r="I60" s="581"/>
      <c r="J60" s="582" t="s">
        <v>79</v>
      </c>
      <c r="K60" s="586"/>
      <c r="L60" s="586"/>
      <c r="M60" s="587"/>
      <c r="N60" s="585" t="s">
        <v>23</v>
      </c>
      <c r="O60" s="581"/>
      <c r="P60" s="144"/>
      <c r="R60" s="165"/>
      <c r="S60" s="165" t="e">
        <f ca="1">_xludf.IFNA(_xlfn.XLOOKUP(Table3[[#This Row],[SKU]],'06_Resource_Plan'!$C$2:$C$58,'06_Resource_Plan'!F:F),"")</f>
        <v>#NAME?</v>
      </c>
      <c r="T60" s="566" t="e">
        <f ca="1">_xludf.IFNA(_xlfn.XLOOKUP(Table3[[#This Row],[SKU]],'00_Yield_Rates'!$B$2:$B$17,'00_Yield_Rates'!$E$2:$E$17),"")</f>
        <v>#NAME?</v>
      </c>
    </row>
    <row r="61" spans="1:20">
      <c r="A61" s="579" t="s">
        <v>19</v>
      </c>
      <c r="B61" s="580">
        <v>61064</v>
      </c>
      <c r="C61" s="581"/>
      <c r="D61" s="581" t="s">
        <v>63</v>
      </c>
      <c r="E61" s="581" t="s">
        <v>24</v>
      </c>
      <c r="F61" s="581"/>
      <c r="G61" s="581"/>
      <c r="H61" s="581"/>
      <c r="I61" s="581"/>
      <c r="J61" s="582" t="s">
        <v>80</v>
      </c>
      <c r="K61" s="586"/>
      <c r="L61" s="586"/>
      <c r="M61" s="587"/>
      <c r="N61" s="585" t="s">
        <v>44</v>
      </c>
      <c r="O61" s="581"/>
      <c r="P61" s="144"/>
      <c r="R61" s="165"/>
      <c r="S61" s="165" t="e">
        <f ca="1">_xludf.IFNA(_xlfn.XLOOKUP(Table3[[#This Row],[SKU]],'06_Resource_Plan'!$C$2:$C$58,'06_Resource_Plan'!F:F),"")</f>
        <v>#NAME?</v>
      </c>
      <c r="T61" s="566" t="e">
        <f ca="1">_xludf.IFNA(_xlfn.XLOOKUP(Table3[[#This Row],[SKU]],'00_Yield_Rates'!$B$2:$B$17,'00_Yield_Rates'!$E$2:$E$17),"")</f>
        <v>#NAME?</v>
      </c>
    </row>
    <row r="62" spans="1:20">
      <c r="A62" s="579" t="s">
        <v>19</v>
      </c>
      <c r="B62" s="580">
        <v>61069</v>
      </c>
      <c r="C62" s="581"/>
      <c r="D62" s="581" t="s">
        <v>63</v>
      </c>
      <c r="E62" s="581" t="s">
        <v>24</v>
      </c>
      <c r="F62" s="581"/>
      <c r="G62" s="581"/>
      <c r="H62" s="581"/>
      <c r="I62" s="581"/>
      <c r="J62" s="582" t="s">
        <v>81</v>
      </c>
      <c r="K62" s="586"/>
      <c r="L62" s="586"/>
      <c r="M62" s="587"/>
      <c r="N62" s="585" t="s">
        <v>44</v>
      </c>
      <c r="O62" s="581"/>
      <c r="P62" s="144"/>
      <c r="R62" s="165"/>
      <c r="S62" s="165" t="e">
        <f ca="1">_xludf.IFNA(_xlfn.XLOOKUP(Table3[[#This Row],[SKU]],'06_Resource_Plan'!$C$2:$C$58,'06_Resource_Plan'!F:F),"")</f>
        <v>#NAME?</v>
      </c>
      <c r="T62" s="566" t="e">
        <f ca="1">_xludf.IFNA(_xlfn.XLOOKUP(Table3[[#This Row],[SKU]],'00_Yield_Rates'!$B$2:$B$17,'00_Yield_Rates'!$E$2:$E$17),"")</f>
        <v>#NAME?</v>
      </c>
    </row>
    <row r="63" spans="1:20">
      <c r="A63" s="579" t="s">
        <v>19</v>
      </c>
      <c r="B63" s="580">
        <v>61070</v>
      </c>
      <c r="C63" s="581"/>
      <c r="D63" s="581" t="s">
        <v>63</v>
      </c>
      <c r="E63" s="581" t="s">
        <v>24</v>
      </c>
      <c r="F63" s="581"/>
      <c r="G63" s="581"/>
      <c r="H63" s="581"/>
      <c r="I63" s="581"/>
      <c r="J63" s="582"/>
      <c r="K63" s="586"/>
      <c r="L63" s="586"/>
      <c r="M63" s="587"/>
      <c r="N63" s="585" t="s">
        <v>44</v>
      </c>
      <c r="O63" s="581"/>
      <c r="P63" s="144"/>
      <c r="R63" s="165"/>
      <c r="S63" s="165" t="e">
        <f ca="1">_xludf.IFNA(_xlfn.XLOOKUP(Table3[[#This Row],[SKU]],'06_Resource_Plan'!$C$2:$C$58,'06_Resource_Plan'!F:F),"")</f>
        <v>#NAME?</v>
      </c>
      <c r="T63" s="566" t="e">
        <f ca="1">_xludf.IFNA(_xlfn.XLOOKUP(Table3[[#This Row],[SKU]],'00_Yield_Rates'!$B$2:$B$17,'00_Yield_Rates'!$E$2:$E$17),"")</f>
        <v>#NAME?</v>
      </c>
    </row>
    <row r="64" spans="1:20">
      <c r="A64" s="579" t="s">
        <v>19</v>
      </c>
      <c r="B64" s="580">
        <v>61072</v>
      </c>
      <c r="C64" s="581"/>
      <c r="D64" s="581" t="s">
        <v>63</v>
      </c>
      <c r="E64" s="581" t="s">
        <v>28</v>
      </c>
      <c r="F64" s="581"/>
      <c r="G64" s="581"/>
      <c r="H64" s="581"/>
      <c r="I64" s="581"/>
      <c r="J64" s="582" t="s">
        <v>82</v>
      </c>
      <c r="K64" s="586"/>
      <c r="L64" s="586"/>
      <c r="M64" s="587"/>
      <c r="N64" s="585" t="s">
        <v>44</v>
      </c>
      <c r="O64" s="581"/>
      <c r="P64" s="144"/>
      <c r="R64" s="165"/>
      <c r="S64" s="165" t="e">
        <f ca="1">_xludf.IFNA(_xlfn.XLOOKUP(Table3[[#This Row],[SKU]],'06_Resource_Plan'!$C$2:$C$58,'06_Resource_Plan'!F:F),"")</f>
        <v>#NAME?</v>
      </c>
      <c r="T64" s="566" t="e">
        <f ca="1">_xludf.IFNA(_xlfn.XLOOKUP(Table3[[#This Row],[SKU]],'00_Yield_Rates'!$B$2:$B$17,'00_Yield_Rates'!$E$2:$E$17),"")</f>
        <v>#NAME?</v>
      </c>
    </row>
    <row r="65" spans="1:20">
      <c r="A65" s="579" t="s">
        <v>19</v>
      </c>
      <c r="B65" s="580">
        <v>61073</v>
      </c>
      <c r="C65" s="581"/>
      <c r="D65" s="581" t="s">
        <v>63</v>
      </c>
      <c r="E65" s="581" t="s">
        <v>28</v>
      </c>
      <c r="F65" s="581"/>
      <c r="G65" s="581"/>
      <c r="H65" s="581"/>
      <c r="I65" s="581"/>
      <c r="J65" s="582" t="s">
        <v>83</v>
      </c>
      <c r="K65" s="586"/>
      <c r="L65" s="586"/>
      <c r="M65" s="587"/>
      <c r="N65" s="585" t="s">
        <v>23</v>
      </c>
      <c r="O65" s="581"/>
      <c r="P65" s="144"/>
      <c r="R65" s="165"/>
      <c r="S65" s="165" t="e">
        <f ca="1">_xludf.IFNA(_xlfn.XLOOKUP(Table3[[#This Row],[SKU]],'06_Resource_Plan'!$C$2:$C$58,'06_Resource_Plan'!F:F),"")</f>
        <v>#NAME?</v>
      </c>
      <c r="T65" s="566" t="e">
        <f ca="1">_xludf.IFNA(_xlfn.XLOOKUP(Table3[[#This Row],[SKU]],'00_Yield_Rates'!$B$2:$B$17,'00_Yield_Rates'!$E$2:$E$17),"")</f>
        <v>#NAME?</v>
      </c>
    </row>
    <row r="66" spans="1:20">
      <c r="A66" s="579" t="s">
        <v>19</v>
      </c>
      <c r="B66" s="580">
        <v>61074</v>
      </c>
      <c r="C66" s="581"/>
      <c r="D66" s="581" t="s">
        <v>63</v>
      </c>
      <c r="E66" s="581" t="s">
        <v>28</v>
      </c>
      <c r="F66" s="581"/>
      <c r="G66" s="581"/>
      <c r="H66" s="581"/>
      <c r="I66" s="581"/>
      <c r="J66" s="582" t="s">
        <v>84</v>
      </c>
      <c r="K66" s="586"/>
      <c r="L66" s="586"/>
      <c r="M66" s="587"/>
      <c r="N66" s="585" t="s">
        <v>44</v>
      </c>
      <c r="O66" s="581"/>
      <c r="P66" s="144"/>
      <c r="R66" s="165"/>
      <c r="S66" s="165" t="e">
        <f ca="1">_xludf.IFNA(_xlfn.XLOOKUP(Table3[[#This Row],[SKU]],'06_Resource_Plan'!$C$2:$C$58,'06_Resource_Plan'!F:F),"")</f>
        <v>#NAME?</v>
      </c>
      <c r="T66" s="566" t="e">
        <f ca="1">_xludf.IFNA(_xlfn.XLOOKUP(Table3[[#This Row],[SKU]],'00_Yield_Rates'!$B$2:$B$17,'00_Yield_Rates'!$E$2:$E$17),"")</f>
        <v>#NAME?</v>
      </c>
    </row>
    <row r="67" spans="1:20">
      <c r="A67" s="579" t="s">
        <v>19</v>
      </c>
      <c r="B67" s="580">
        <v>61075</v>
      </c>
      <c r="C67" s="581"/>
      <c r="D67" s="581" t="s">
        <v>63</v>
      </c>
      <c r="E67" s="581" t="s">
        <v>28</v>
      </c>
      <c r="F67" s="581"/>
      <c r="G67" s="581"/>
      <c r="H67" s="581"/>
      <c r="I67" s="581"/>
      <c r="J67" s="582" t="s">
        <v>85</v>
      </c>
      <c r="K67" s="586"/>
      <c r="L67" s="586"/>
      <c r="M67" s="587"/>
      <c r="N67" s="585" t="s">
        <v>23</v>
      </c>
      <c r="O67" s="581"/>
      <c r="P67" s="144"/>
      <c r="R67" s="165"/>
      <c r="S67" s="165" t="e">
        <f ca="1">_xludf.IFNA(_xlfn.XLOOKUP(Table3[[#This Row],[SKU]],'06_Resource_Plan'!$C$2:$C$58,'06_Resource_Plan'!F:F),"")</f>
        <v>#NAME?</v>
      </c>
      <c r="T67" s="566" t="e">
        <f ca="1">_xludf.IFNA(_xlfn.XLOOKUP(Table3[[#This Row],[SKU]],'00_Yield_Rates'!$B$2:$B$17,'00_Yield_Rates'!$E$2:$E$17),"")</f>
        <v>#NAME?</v>
      </c>
    </row>
    <row r="68" spans="1:20">
      <c r="A68" s="579" t="s">
        <v>19</v>
      </c>
      <c r="B68" s="580">
        <v>61076</v>
      </c>
      <c r="C68" s="581"/>
      <c r="D68" s="581" t="s">
        <v>63</v>
      </c>
      <c r="E68" s="581" t="s">
        <v>28</v>
      </c>
      <c r="F68" s="581"/>
      <c r="G68" s="581"/>
      <c r="H68" s="581"/>
      <c r="I68" s="581"/>
      <c r="J68" s="582"/>
      <c r="K68" s="586"/>
      <c r="L68" s="586"/>
      <c r="M68" s="587"/>
      <c r="N68" s="585" t="s">
        <v>44</v>
      </c>
      <c r="O68" s="581"/>
      <c r="P68" s="144"/>
      <c r="R68" s="165"/>
      <c r="S68" s="165" t="e">
        <f ca="1">_xludf.IFNA(_xlfn.XLOOKUP(Table3[[#This Row],[SKU]],'06_Resource_Plan'!$C$2:$C$58,'06_Resource_Plan'!F:F),"")</f>
        <v>#NAME?</v>
      </c>
      <c r="T68" s="566" t="e">
        <f ca="1">_xludf.IFNA(_xlfn.XLOOKUP(Table3[[#This Row],[SKU]],'00_Yield_Rates'!$B$2:$B$17,'00_Yield_Rates'!$E$2:$E$17),"")</f>
        <v>#NAME?</v>
      </c>
    </row>
    <row r="69" spans="1:20">
      <c r="A69" s="579" t="s">
        <v>19</v>
      </c>
      <c r="B69" s="580">
        <v>61077</v>
      </c>
      <c r="C69" s="581"/>
      <c r="D69" s="581" t="s">
        <v>63</v>
      </c>
      <c r="E69" s="581" t="s">
        <v>30</v>
      </c>
      <c r="F69" s="581"/>
      <c r="G69" s="581"/>
      <c r="H69" s="581"/>
      <c r="I69" s="581"/>
      <c r="J69" s="582" t="s">
        <v>86</v>
      </c>
      <c r="K69" s="586"/>
      <c r="L69" s="586"/>
      <c r="M69" s="587"/>
      <c r="N69" s="585" t="s">
        <v>44</v>
      </c>
      <c r="O69" s="581"/>
      <c r="P69" s="144"/>
      <c r="R69" s="165"/>
      <c r="S69" s="165" t="e">
        <f ca="1">_xludf.IFNA(_xlfn.XLOOKUP(Table3[[#This Row],[SKU]],'06_Resource_Plan'!$C$2:$C$58,'06_Resource_Plan'!F:F),"")</f>
        <v>#NAME?</v>
      </c>
      <c r="T69" s="566" t="e">
        <f ca="1">_xludf.IFNA(_xlfn.XLOOKUP(Table3[[#This Row],[SKU]],'00_Yield_Rates'!$B$2:$B$17,'00_Yield_Rates'!$E$2:$E$17),"")</f>
        <v>#NAME?</v>
      </c>
    </row>
    <row r="70" spans="1:20">
      <c r="A70" s="579" t="s">
        <v>19</v>
      </c>
      <c r="B70" s="580">
        <v>61078</v>
      </c>
      <c r="C70" s="581"/>
      <c r="D70" s="581" t="s">
        <v>63</v>
      </c>
      <c r="E70" s="581" t="s">
        <v>30</v>
      </c>
      <c r="F70" s="581"/>
      <c r="G70" s="581"/>
      <c r="H70" s="581"/>
      <c r="I70" s="581"/>
      <c r="J70" s="582" t="s">
        <v>87</v>
      </c>
      <c r="K70" s="586"/>
      <c r="L70" s="586"/>
      <c r="M70" s="587"/>
      <c r="N70" s="585" t="s">
        <v>37</v>
      </c>
      <c r="O70" s="581"/>
      <c r="P70" s="144"/>
      <c r="R70" s="165"/>
      <c r="S70" s="165" t="e">
        <f ca="1">_xludf.IFNA(_xlfn.XLOOKUP(Table3[[#This Row],[SKU]],'06_Resource_Plan'!$C$2:$C$58,'06_Resource_Plan'!F:F),"")</f>
        <v>#NAME?</v>
      </c>
      <c r="T70" s="566" t="e">
        <f ca="1">_xludf.IFNA(_xlfn.XLOOKUP(Table3[[#This Row],[SKU]],'00_Yield_Rates'!$B$2:$B$17,'00_Yield_Rates'!$E$2:$E$17),"")</f>
        <v>#NAME?</v>
      </c>
    </row>
    <row r="71" spans="1:20">
      <c r="A71" s="579" t="s">
        <v>19</v>
      </c>
      <c r="B71" s="580">
        <v>61079</v>
      </c>
      <c r="C71" s="581"/>
      <c r="D71" s="581" t="s">
        <v>63</v>
      </c>
      <c r="E71" s="581" t="s">
        <v>30</v>
      </c>
      <c r="F71" s="581"/>
      <c r="G71" s="581"/>
      <c r="H71" s="581"/>
      <c r="I71" s="581"/>
      <c r="J71" s="582" t="s">
        <v>88</v>
      </c>
      <c r="K71" s="586"/>
      <c r="L71" s="586"/>
      <c r="M71" s="587"/>
      <c r="N71" s="585" t="s">
        <v>44</v>
      </c>
      <c r="O71" s="581"/>
      <c r="P71" s="144"/>
      <c r="R71" s="165"/>
      <c r="S71" s="165" t="e">
        <f ca="1">_xludf.IFNA(_xlfn.XLOOKUP(Table3[[#This Row],[SKU]],'06_Resource_Plan'!$C$2:$C$58,'06_Resource_Plan'!F:F),"")</f>
        <v>#NAME?</v>
      </c>
      <c r="T71" s="566" t="e">
        <f ca="1">_xludf.IFNA(_xlfn.XLOOKUP(Table3[[#This Row],[SKU]],'00_Yield_Rates'!$B$2:$B$17,'00_Yield_Rates'!$E$2:$E$17),"")</f>
        <v>#NAME?</v>
      </c>
    </row>
    <row r="72" spans="1:20">
      <c r="A72" s="579" t="s">
        <v>19</v>
      </c>
      <c r="B72" s="580">
        <v>61082</v>
      </c>
      <c r="C72" s="581"/>
      <c r="D72" s="581" t="s">
        <v>63</v>
      </c>
      <c r="E72" s="581" t="s">
        <v>30</v>
      </c>
      <c r="F72" s="581"/>
      <c r="G72" s="581"/>
      <c r="H72" s="581"/>
      <c r="I72" s="581"/>
      <c r="J72" s="582" t="s">
        <v>89</v>
      </c>
      <c r="K72" s="586"/>
      <c r="L72" s="586"/>
      <c r="M72" s="587"/>
      <c r="N72" s="585" t="s">
        <v>23</v>
      </c>
      <c r="O72" s="581"/>
      <c r="P72" s="144"/>
      <c r="R72" s="165"/>
      <c r="S72" s="165" t="e">
        <f ca="1">_xludf.IFNA(_xlfn.XLOOKUP(Table3[[#This Row],[SKU]],'06_Resource_Plan'!$C$2:$C$58,'06_Resource_Plan'!F:F),"")</f>
        <v>#NAME?</v>
      </c>
      <c r="T72" s="566" t="e">
        <f ca="1">_xludf.IFNA(_xlfn.XLOOKUP(Table3[[#This Row],[SKU]],'00_Yield_Rates'!$B$2:$B$17,'00_Yield_Rates'!$E$2:$E$17),"")</f>
        <v>#NAME?</v>
      </c>
    </row>
    <row r="73" spans="1:20">
      <c r="A73" s="579" t="s">
        <v>19</v>
      </c>
      <c r="B73" s="580">
        <v>61086</v>
      </c>
      <c r="C73" s="581"/>
      <c r="D73" s="581" t="s">
        <v>63</v>
      </c>
      <c r="E73" s="581" t="s">
        <v>21</v>
      </c>
      <c r="F73" s="581"/>
      <c r="G73" s="581"/>
      <c r="H73" s="581"/>
      <c r="I73" s="581"/>
      <c r="J73" s="582" t="s">
        <v>90</v>
      </c>
      <c r="K73" s="586"/>
      <c r="L73" s="586"/>
      <c r="M73" s="587"/>
      <c r="N73" s="585" t="s">
        <v>44</v>
      </c>
      <c r="O73" s="581"/>
      <c r="P73" s="144"/>
      <c r="R73" s="165"/>
      <c r="S73" s="165" t="e">
        <f ca="1">_xludf.IFNA(_xlfn.XLOOKUP(Table3[[#This Row],[SKU]],'06_Resource_Plan'!$C$2:$C$58,'06_Resource_Plan'!F:F),"")</f>
        <v>#NAME?</v>
      </c>
      <c r="T73" s="566" t="e">
        <f ca="1">_xludf.IFNA(_xlfn.XLOOKUP(Table3[[#This Row],[SKU]],'00_Yield_Rates'!$B$2:$B$17,'00_Yield_Rates'!$E$2:$E$17),"")</f>
        <v>#NAME?</v>
      </c>
    </row>
    <row r="74" spans="1:20">
      <c r="A74" s="579" t="s">
        <v>19</v>
      </c>
      <c r="B74" s="580">
        <v>61087</v>
      </c>
      <c r="C74" s="581"/>
      <c r="D74" s="581" t="s">
        <v>63</v>
      </c>
      <c r="E74" s="581" t="s">
        <v>21</v>
      </c>
      <c r="F74" s="581"/>
      <c r="G74" s="581"/>
      <c r="H74" s="581"/>
      <c r="I74" s="581"/>
      <c r="J74" s="582" t="s">
        <v>91</v>
      </c>
      <c r="K74" s="586"/>
      <c r="L74" s="586"/>
      <c r="M74" s="587"/>
      <c r="N74" s="585" t="s">
        <v>44</v>
      </c>
      <c r="O74" s="581"/>
      <c r="P74" s="144"/>
      <c r="R74" s="165"/>
      <c r="S74" s="165" t="e">
        <f ca="1">_xludf.IFNA(_xlfn.XLOOKUP(Table3[[#This Row],[SKU]],'06_Resource_Plan'!$C$2:$C$58,'06_Resource_Plan'!F:F),"")</f>
        <v>#NAME?</v>
      </c>
      <c r="T74" s="566" t="e">
        <f ca="1">_xludf.IFNA(_xlfn.XLOOKUP(Table3[[#This Row],[SKU]],'00_Yield_Rates'!$B$2:$B$17,'00_Yield_Rates'!$E$2:$E$17),"")</f>
        <v>#NAME?</v>
      </c>
    </row>
    <row r="75" spans="1:20">
      <c r="A75" s="579" t="s">
        <v>19</v>
      </c>
      <c r="B75" s="580">
        <v>61104</v>
      </c>
      <c r="C75" s="581"/>
      <c r="D75" s="581" t="s">
        <v>63</v>
      </c>
      <c r="E75" s="581" t="s">
        <v>24</v>
      </c>
      <c r="F75" s="581"/>
      <c r="G75" s="581"/>
      <c r="H75" s="581"/>
      <c r="I75" s="581"/>
      <c r="J75" s="582" t="s">
        <v>92</v>
      </c>
      <c r="K75" s="586"/>
      <c r="L75" s="586"/>
      <c r="M75" s="587"/>
      <c r="N75" s="585" t="s">
        <v>23</v>
      </c>
      <c r="O75" s="581"/>
      <c r="P75" s="144"/>
      <c r="R75" s="165"/>
      <c r="S75" s="165" t="e">
        <f ca="1">_xludf.IFNA(_xlfn.XLOOKUP(Table3[[#This Row],[SKU]],'06_Resource_Plan'!$C$2:$C$58,'06_Resource_Plan'!F:F),"")</f>
        <v>#NAME?</v>
      </c>
      <c r="T75" s="566" t="e">
        <f ca="1">_xludf.IFNA(_xlfn.XLOOKUP(Table3[[#This Row],[SKU]],'00_Yield_Rates'!$B$2:$B$17,'00_Yield_Rates'!$E$2:$E$17),"")</f>
        <v>#NAME?</v>
      </c>
    </row>
    <row r="76" spans="1:20">
      <c r="A76" s="579" t="s">
        <v>19</v>
      </c>
      <c r="B76" s="580">
        <v>61121</v>
      </c>
      <c r="C76" s="581"/>
      <c r="D76" s="581" t="s">
        <v>63</v>
      </c>
      <c r="E76" s="581" t="s">
        <v>93</v>
      </c>
      <c r="F76" s="581"/>
      <c r="G76" s="581"/>
      <c r="H76" s="581"/>
      <c r="I76" s="581"/>
      <c r="J76" s="582" t="s">
        <v>94</v>
      </c>
      <c r="K76" s="586"/>
      <c r="L76" s="586"/>
      <c r="M76" s="587"/>
      <c r="N76" s="585" t="s">
        <v>23</v>
      </c>
      <c r="O76" s="581"/>
      <c r="P76" s="144"/>
      <c r="R76" s="165"/>
      <c r="S76" s="165" t="e">
        <f ca="1">_xludf.IFNA(_xlfn.XLOOKUP(Table3[[#This Row],[SKU]],'06_Resource_Plan'!$C$2:$C$58,'06_Resource_Plan'!F:F),"")</f>
        <v>#NAME?</v>
      </c>
      <c r="T76" s="566" t="e">
        <f ca="1">_xludf.IFNA(_xlfn.XLOOKUP(Table3[[#This Row],[SKU]],'00_Yield_Rates'!$B$2:$B$17,'00_Yield_Rates'!$E$2:$E$17),"")</f>
        <v>#NAME?</v>
      </c>
    </row>
    <row r="77" spans="1:20">
      <c r="A77" s="579" t="s">
        <v>19</v>
      </c>
      <c r="B77" s="580" t="s">
        <v>95</v>
      </c>
      <c r="C77" s="581"/>
      <c r="D77" s="581" t="s">
        <v>63</v>
      </c>
      <c r="E77" s="581" t="s">
        <v>34</v>
      </c>
      <c r="F77" s="581"/>
      <c r="G77" s="581"/>
      <c r="H77" s="581"/>
      <c r="I77" s="581"/>
      <c r="J77" s="582" t="s">
        <v>65</v>
      </c>
      <c r="K77" s="586"/>
      <c r="L77" s="586"/>
      <c r="M77" s="587"/>
      <c r="N77" s="585" t="s">
        <v>23</v>
      </c>
      <c r="O77" s="581"/>
      <c r="P77" s="144"/>
      <c r="R77" s="165"/>
      <c r="S77" s="165" t="e">
        <f ca="1">_xludf.IFNA(_xlfn.XLOOKUP(Table3[[#This Row],[SKU]],'06_Resource_Plan'!$C$2:$C$58,'06_Resource_Plan'!F:F),"")</f>
        <v>#NAME?</v>
      </c>
      <c r="T77" s="566" t="e">
        <f ca="1">_xludf.IFNA(_xlfn.XLOOKUP(Table3[[#This Row],[SKU]],'00_Yield_Rates'!$B$2:$B$17,'00_Yield_Rates'!$E$2:$E$17),"")</f>
        <v>#NAME?</v>
      </c>
    </row>
    <row r="78" spans="1:20">
      <c r="A78" s="579" t="s">
        <v>19</v>
      </c>
      <c r="B78" s="580" t="s">
        <v>96</v>
      </c>
      <c r="C78" s="581"/>
      <c r="D78" s="581" t="s">
        <v>63</v>
      </c>
      <c r="E78" s="581" t="s">
        <v>34</v>
      </c>
      <c r="F78" s="581"/>
      <c r="G78" s="581"/>
      <c r="H78" s="581"/>
      <c r="I78" s="581"/>
      <c r="J78" s="582" t="s">
        <v>65</v>
      </c>
      <c r="K78" s="586"/>
      <c r="L78" s="586"/>
      <c r="M78" s="587"/>
      <c r="N78" s="585" t="s">
        <v>37</v>
      </c>
      <c r="O78" s="581"/>
      <c r="P78" s="144"/>
      <c r="R78" s="165"/>
      <c r="S78" s="165" t="e">
        <f ca="1">_xludf.IFNA(_xlfn.XLOOKUP(Table3[[#This Row],[SKU]],'06_Resource_Plan'!$C$2:$C$58,'06_Resource_Plan'!F:F),"")</f>
        <v>#NAME?</v>
      </c>
      <c r="T78" s="566" t="e">
        <f ca="1">_xludf.IFNA(_xlfn.XLOOKUP(Table3[[#This Row],[SKU]],'00_Yield_Rates'!$B$2:$B$17,'00_Yield_Rates'!$E$2:$E$17),"")</f>
        <v>#NAME?</v>
      </c>
    </row>
    <row r="79" spans="1:20">
      <c r="A79" s="579" t="s">
        <v>19</v>
      </c>
      <c r="B79" s="580" t="s">
        <v>97</v>
      </c>
      <c r="C79" s="581"/>
      <c r="D79" s="581" t="s">
        <v>63</v>
      </c>
      <c r="E79" s="581" t="s">
        <v>34</v>
      </c>
      <c r="F79" s="581"/>
      <c r="G79" s="581"/>
      <c r="H79" s="581"/>
      <c r="I79" s="581"/>
      <c r="J79" s="582" t="s">
        <v>98</v>
      </c>
      <c r="K79" s="583"/>
      <c r="L79" s="583"/>
      <c r="M79" s="584"/>
      <c r="N79" s="585" t="s">
        <v>44</v>
      </c>
      <c r="O79" s="581"/>
      <c r="P79" s="144"/>
      <c r="R79" s="165"/>
      <c r="S79" s="165" t="e">
        <f ca="1">_xludf.IFNA(_xlfn.XLOOKUP(Table3[[#This Row],[SKU]],'06_Resource_Plan'!$C$2:$C$58,'06_Resource_Plan'!F:F),"")</f>
        <v>#NAME?</v>
      </c>
      <c r="T79" s="566" t="e">
        <f ca="1">_xludf.IFNA(_xlfn.XLOOKUP(Table3[[#This Row],[SKU]],'00_Yield_Rates'!$B$2:$B$17,'00_Yield_Rates'!$E$2:$E$17),"")</f>
        <v>#NAME?</v>
      </c>
    </row>
    <row r="80" spans="1:20">
      <c r="A80" s="579" t="s">
        <v>19</v>
      </c>
      <c r="B80" s="580" t="s">
        <v>99</v>
      </c>
      <c r="C80" s="581"/>
      <c r="D80" s="581" t="s">
        <v>63</v>
      </c>
      <c r="E80" s="581" t="s">
        <v>34</v>
      </c>
      <c r="F80" s="581"/>
      <c r="G80" s="581"/>
      <c r="H80" s="581"/>
      <c r="I80" s="581"/>
      <c r="J80" s="582" t="s">
        <v>65</v>
      </c>
      <c r="K80" s="588"/>
      <c r="L80" s="588"/>
      <c r="M80" s="587"/>
      <c r="N80" s="581" t="s">
        <v>23</v>
      </c>
      <c r="O80" s="581"/>
      <c r="P80" s="144"/>
      <c r="R80" s="165"/>
      <c r="S80" s="165" t="e">
        <f ca="1">_xludf.IFNA(_xlfn.XLOOKUP(Table3[[#This Row],[SKU]],'06_Resource_Plan'!$C$2:$C$58,'06_Resource_Plan'!F:F),"")</f>
        <v>#NAME?</v>
      </c>
      <c r="T80" s="566" t="e">
        <f ca="1">_xludf.IFNA(_xlfn.XLOOKUP(Table3[[#This Row],[SKU]],'00_Yield_Rates'!$B$2:$B$17,'00_Yield_Rates'!$E$2:$E$17),"")</f>
        <v>#NAME?</v>
      </c>
    </row>
    <row r="81" spans="1:20">
      <c r="A81" s="579" t="s">
        <v>19</v>
      </c>
      <c r="B81" s="580" t="s">
        <v>100</v>
      </c>
      <c r="C81" s="581"/>
      <c r="D81" s="581" t="s">
        <v>63</v>
      </c>
      <c r="E81" s="589" t="s">
        <v>40</v>
      </c>
      <c r="F81" s="581"/>
      <c r="G81" s="581"/>
      <c r="H81" s="581"/>
      <c r="I81" s="581"/>
      <c r="J81" s="582" t="s">
        <v>68</v>
      </c>
      <c r="K81" s="586"/>
      <c r="L81" s="586"/>
      <c r="M81" s="587"/>
      <c r="N81" s="585" t="s">
        <v>23</v>
      </c>
      <c r="O81" s="581"/>
      <c r="P81" s="144"/>
      <c r="R81" s="165"/>
      <c r="S81" s="165" t="e">
        <f ca="1">_xludf.IFNA(_xlfn.XLOOKUP(Table3[[#This Row],[SKU]],'06_Resource_Plan'!$C$2:$C$58,'06_Resource_Plan'!F:F),"")</f>
        <v>#NAME?</v>
      </c>
      <c r="T81" s="566" t="e">
        <f ca="1">_xludf.IFNA(_xlfn.XLOOKUP(Table3[[#This Row],[SKU]],'00_Yield_Rates'!$B$2:$B$17,'00_Yield_Rates'!$E$2:$E$17),"")</f>
        <v>#NAME?</v>
      </c>
    </row>
    <row r="82" spans="1:20">
      <c r="A82" s="579" t="s">
        <v>19</v>
      </c>
      <c r="B82" s="580" t="s">
        <v>101</v>
      </c>
      <c r="C82" s="581"/>
      <c r="D82" s="581" t="s">
        <v>63</v>
      </c>
      <c r="E82" s="581" t="s">
        <v>40</v>
      </c>
      <c r="F82" s="581"/>
      <c r="G82" s="581"/>
      <c r="H82" s="581"/>
      <c r="I82" s="581"/>
      <c r="J82" s="582" t="s">
        <v>70</v>
      </c>
      <c r="K82" s="586"/>
      <c r="L82" s="586"/>
      <c r="M82" s="587"/>
      <c r="N82" s="585" t="s">
        <v>23</v>
      </c>
      <c r="O82" s="581"/>
      <c r="P82" s="144"/>
      <c r="R82" s="165"/>
      <c r="S82" s="165" t="e">
        <f ca="1">_xludf.IFNA(_xlfn.XLOOKUP(Table3[[#This Row],[SKU]],'06_Resource_Plan'!$C$2:$C$58,'06_Resource_Plan'!F:F),"")</f>
        <v>#NAME?</v>
      </c>
      <c r="T82" s="566" t="e">
        <f ca="1">_xludf.IFNA(_xlfn.XLOOKUP(Table3[[#This Row],[SKU]],'00_Yield_Rates'!$B$2:$B$17,'00_Yield_Rates'!$E$2:$E$17),"")</f>
        <v>#NAME?</v>
      </c>
    </row>
    <row r="83" spans="1:20">
      <c r="A83" s="579" t="s">
        <v>19</v>
      </c>
      <c r="B83" s="590" t="s">
        <v>102</v>
      </c>
      <c r="C83" s="581"/>
      <c r="D83" s="581" t="s">
        <v>63</v>
      </c>
      <c r="E83" s="581" t="s">
        <v>24</v>
      </c>
      <c r="F83" s="587"/>
      <c r="G83" s="581"/>
      <c r="H83" s="581"/>
      <c r="I83" s="581"/>
      <c r="J83" s="582" t="s">
        <v>103</v>
      </c>
      <c r="K83" s="586"/>
      <c r="L83" s="586"/>
      <c r="M83" s="587"/>
      <c r="N83" s="585" t="s">
        <v>23</v>
      </c>
      <c r="O83" s="581"/>
      <c r="P83" s="144"/>
      <c r="R83" s="165"/>
      <c r="S83" s="165" t="e">
        <f ca="1">_xludf.IFNA(_xlfn.XLOOKUP(Table3[[#This Row],[SKU]],'06_Resource_Plan'!$C$2:$C$58,'06_Resource_Plan'!F:F),"")</f>
        <v>#NAME?</v>
      </c>
      <c r="T83" s="566" t="e">
        <f ca="1">_xludf.IFNA(_xlfn.XLOOKUP(Table3[[#This Row],[SKU]],'00_Yield_Rates'!$B$2:$B$17,'00_Yield_Rates'!$E$2:$E$17),"")</f>
        <v>#NAME?</v>
      </c>
    </row>
    <row r="84" spans="1:20">
      <c r="A84" s="579" t="s">
        <v>19</v>
      </c>
      <c r="B84" s="580" t="s">
        <v>104</v>
      </c>
      <c r="C84" s="581"/>
      <c r="D84" s="581" t="s">
        <v>63</v>
      </c>
      <c r="E84" s="581" t="s">
        <v>24</v>
      </c>
      <c r="F84" s="581"/>
      <c r="G84" s="581"/>
      <c r="H84" s="581"/>
      <c r="I84" s="581"/>
      <c r="J84" s="582" t="s">
        <v>105</v>
      </c>
      <c r="K84" s="586"/>
      <c r="L84" s="586"/>
      <c r="M84" s="587"/>
      <c r="N84" s="585" t="s">
        <v>44</v>
      </c>
      <c r="O84" s="581"/>
      <c r="P84" s="144"/>
      <c r="R84" s="165"/>
      <c r="S84" s="165" t="e">
        <f ca="1">_xludf.IFNA(_xlfn.XLOOKUP(Table3[[#This Row],[SKU]],'06_Resource_Plan'!$C$2:$C$58,'06_Resource_Plan'!F:F),"")</f>
        <v>#NAME?</v>
      </c>
      <c r="T84" s="566" t="e">
        <f ca="1">_xludf.IFNA(_xlfn.XLOOKUP(Table3[[#This Row],[SKU]],'00_Yield_Rates'!$B$2:$B$17,'00_Yield_Rates'!$E$2:$E$17),"")</f>
        <v>#NAME?</v>
      </c>
    </row>
    <row r="85" spans="1:20">
      <c r="A85" s="579" t="s">
        <v>19</v>
      </c>
      <c r="B85" s="580" t="s">
        <v>106</v>
      </c>
      <c r="C85" s="581"/>
      <c r="D85" s="581" t="s">
        <v>63</v>
      </c>
      <c r="E85" s="581" t="s">
        <v>24</v>
      </c>
      <c r="F85" s="581"/>
      <c r="G85" s="581"/>
      <c r="H85" s="581"/>
      <c r="I85" s="581"/>
      <c r="J85" s="582" t="s">
        <v>107</v>
      </c>
      <c r="K85" s="586"/>
      <c r="L85" s="586"/>
      <c r="M85" s="587"/>
      <c r="N85" s="585" t="s">
        <v>44</v>
      </c>
      <c r="O85" s="581"/>
      <c r="P85" s="144"/>
      <c r="R85" s="165"/>
      <c r="S85" s="165" t="e">
        <f ca="1">_xludf.IFNA(_xlfn.XLOOKUP(Table3[[#This Row],[SKU]],'06_Resource_Plan'!$C$2:$C$58,'06_Resource_Plan'!F:F),"")</f>
        <v>#NAME?</v>
      </c>
      <c r="T85" s="566" t="e">
        <f ca="1">_xludf.IFNA(_xlfn.XLOOKUP(Table3[[#This Row],[SKU]],'00_Yield_Rates'!$B$2:$B$17,'00_Yield_Rates'!$E$2:$E$17),"")</f>
        <v>#NAME?</v>
      </c>
    </row>
    <row r="86" spans="1:20">
      <c r="A86" s="579" t="s">
        <v>19</v>
      </c>
      <c r="B86" s="580" t="s">
        <v>108</v>
      </c>
      <c r="C86" s="581"/>
      <c r="D86" s="581" t="s">
        <v>63</v>
      </c>
      <c r="E86" s="581" t="s">
        <v>26</v>
      </c>
      <c r="F86" s="581"/>
      <c r="G86" s="581"/>
      <c r="H86" s="581"/>
      <c r="I86" s="581"/>
      <c r="J86" s="582" t="s">
        <v>109</v>
      </c>
      <c r="K86" s="581"/>
      <c r="L86" s="581"/>
      <c r="M86" s="587"/>
      <c r="N86" s="585" t="s">
        <v>44</v>
      </c>
      <c r="O86" s="581"/>
      <c r="P86" s="144"/>
      <c r="R86" s="165"/>
      <c r="S86" s="165" t="e">
        <f ca="1">_xludf.IFNA(_xlfn.XLOOKUP(Table3[[#This Row],[SKU]],'06_Resource_Plan'!$C$2:$C$58,'06_Resource_Plan'!F:F),"")</f>
        <v>#NAME?</v>
      </c>
      <c r="T86" s="566" t="e">
        <f ca="1">_xludf.IFNA(_xlfn.XLOOKUP(Table3[[#This Row],[SKU]],'00_Yield_Rates'!$B$2:$B$17,'00_Yield_Rates'!$E$2:$E$17),"")</f>
        <v>#NAME?</v>
      </c>
    </row>
    <row r="87" spans="1:20">
      <c r="A87" s="579" t="s">
        <v>19</v>
      </c>
      <c r="B87" s="580" t="s">
        <v>110</v>
      </c>
      <c r="C87" s="581"/>
      <c r="D87" s="581" t="s">
        <v>63</v>
      </c>
      <c r="E87" s="581" t="s">
        <v>28</v>
      </c>
      <c r="F87" s="581"/>
      <c r="G87" s="581"/>
      <c r="H87" s="581"/>
      <c r="I87" s="581"/>
      <c r="J87" s="582" t="s">
        <v>111</v>
      </c>
      <c r="K87" s="581"/>
      <c r="L87" s="581"/>
      <c r="M87" s="587"/>
      <c r="N87" s="585" t="s">
        <v>23</v>
      </c>
      <c r="O87" s="581"/>
      <c r="P87" s="144"/>
      <c r="R87" s="165"/>
      <c r="S87" s="165" t="e">
        <f ca="1">_xludf.IFNA(_xlfn.XLOOKUP(Table3[[#This Row],[SKU]],'06_Resource_Plan'!$C$2:$C$58,'06_Resource_Plan'!F:F),"")</f>
        <v>#NAME?</v>
      </c>
      <c r="T87" s="566" t="e">
        <f ca="1">_xludf.IFNA(_xlfn.XLOOKUP(Table3[[#This Row],[SKU]],'00_Yield_Rates'!$B$2:$B$17,'00_Yield_Rates'!$E$2:$E$17),"")</f>
        <v>#NAME?</v>
      </c>
    </row>
    <row r="88" spans="1:20">
      <c r="A88" s="579" t="s">
        <v>19</v>
      </c>
      <c r="B88" s="580" t="s">
        <v>112</v>
      </c>
      <c r="C88" s="581"/>
      <c r="D88" s="581" t="s">
        <v>63</v>
      </c>
      <c r="E88" s="581" t="s">
        <v>28</v>
      </c>
      <c r="F88" s="581"/>
      <c r="G88" s="581"/>
      <c r="H88" s="581"/>
      <c r="I88" s="581"/>
      <c r="J88" s="582" t="s">
        <v>113</v>
      </c>
      <c r="K88" s="586"/>
      <c r="L88" s="586"/>
      <c r="M88" s="587"/>
      <c r="N88" s="585" t="s">
        <v>37</v>
      </c>
      <c r="O88" s="581"/>
      <c r="P88" s="144"/>
      <c r="R88" s="165"/>
      <c r="S88" s="165" t="e">
        <f ca="1">_xludf.IFNA(_xlfn.XLOOKUP(Table3[[#This Row],[SKU]],'06_Resource_Plan'!$C$2:$C$58,'06_Resource_Plan'!F:F),"")</f>
        <v>#NAME?</v>
      </c>
      <c r="T88" s="566" t="e">
        <f ca="1">_xludf.IFNA(_xlfn.XLOOKUP(Table3[[#This Row],[SKU]],'00_Yield_Rates'!$B$2:$B$17,'00_Yield_Rates'!$E$2:$E$17),"")</f>
        <v>#NAME?</v>
      </c>
    </row>
    <row r="89" spans="1:20">
      <c r="A89" s="579" t="s">
        <v>19</v>
      </c>
      <c r="B89" s="580" t="s">
        <v>114</v>
      </c>
      <c r="C89" s="581"/>
      <c r="D89" s="581" t="s">
        <v>63</v>
      </c>
      <c r="E89" s="581" t="s">
        <v>28</v>
      </c>
      <c r="F89" s="581"/>
      <c r="G89" s="581"/>
      <c r="H89" s="581"/>
      <c r="I89" s="581"/>
      <c r="J89" s="582" t="s">
        <v>115</v>
      </c>
      <c r="K89" s="586"/>
      <c r="L89" s="586"/>
      <c r="M89" s="587"/>
      <c r="N89" s="585" t="s">
        <v>44</v>
      </c>
      <c r="O89" s="581"/>
      <c r="P89" s="144"/>
      <c r="R89" s="165"/>
      <c r="S89" s="165" t="e">
        <f ca="1">_xludf.IFNA(_xlfn.XLOOKUP(Table3[[#This Row],[SKU]],'06_Resource_Plan'!$C$2:$C$58,'06_Resource_Plan'!F:F),"")</f>
        <v>#NAME?</v>
      </c>
      <c r="T89" s="566" t="e">
        <f ca="1">_xludf.IFNA(_xlfn.XLOOKUP(Table3[[#This Row],[SKU]],'00_Yield_Rates'!$B$2:$B$17,'00_Yield_Rates'!$E$2:$E$17),"")</f>
        <v>#NAME?</v>
      </c>
    </row>
    <row r="90" spans="1:20">
      <c r="A90" s="579" t="s">
        <v>19</v>
      </c>
      <c r="B90" s="580" t="s">
        <v>116</v>
      </c>
      <c r="C90" s="581"/>
      <c r="D90" s="581" t="s">
        <v>63</v>
      </c>
      <c r="E90" s="581" t="s">
        <v>30</v>
      </c>
      <c r="F90" s="581"/>
      <c r="G90" s="581"/>
      <c r="H90" s="581"/>
      <c r="I90" s="581"/>
      <c r="J90" s="582" t="s">
        <v>117</v>
      </c>
      <c r="K90" s="586"/>
      <c r="L90" s="586"/>
      <c r="M90" s="587"/>
      <c r="N90" s="585" t="s">
        <v>44</v>
      </c>
      <c r="O90" s="581"/>
      <c r="P90" s="144"/>
      <c r="R90" s="165"/>
      <c r="S90" s="165" t="e">
        <f ca="1">_xludf.IFNA(_xlfn.XLOOKUP(Table3[[#This Row],[SKU]],'06_Resource_Plan'!$C$2:$C$58,'06_Resource_Plan'!F:F),"")</f>
        <v>#NAME?</v>
      </c>
      <c r="T90" s="566" t="e">
        <f ca="1">_xludf.IFNA(_xlfn.XLOOKUP(Table3[[#This Row],[SKU]],'00_Yield_Rates'!$B$2:$B$17,'00_Yield_Rates'!$E$2:$E$17),"")</f>
        <v>#NAME?</v>
      </c>
    </row>
    <row r="91" spans="1:20">
      <c r="A91" s="579" t="s">
        <v>19</v>
      </c>
      <c r="B91" s="580" t="s">
        <v>118</v>
      </c>
      <c r="C91" s="581"/>
      <c r="D91" s="581" t="s">
        <v>63</v>
      </c>
      <c r="E91" s="581" t="s">
        <v>21</v>
      </c>
      <c r="F91" s="581"/>
      <c r="G91" s="581"/>
      <c r="H91" s="581"/>
      <c r="I91" s="581"/>
      <c r="J91" s="582" t="s">
        <v>119</v>
      </c>
      <c r="K91" s="586"/>
      <c r="L91" s="586"/>
      <c r="M91" s="587"/>
      <c r="N91" s="585" t="s">
        <v>23</v>
      </c>
      <c r="O91" s="581"/>
      <c r="P91" s="144"/>
      <c r="R91" s="165"/>
      <c r="S91" s="165" t="e">
        <f ca="1">_xludf.IFNA(_xlfn.XLOOKUP(Table3[[#This Row],[SKU]],'06_Resource_Plan'!$C$2:$C$58,'06_Resource_Plan'!F:F),"")</f>
        <v>#NAME?</v>
      </c>
      <c r="T91" s="566" t="e">
        <f ca="1">_xludf.IFNA(_xlfn.XLOOKUP(Table3[[#This Row],[SKU]],'00_Yield_Rates'!$B$2:$B$17,'00_Yield_Rates'!$E$2:$E$17),"")</f>
        <v>#NAME?</v>
      </c>
    </row>
    <row r="92" spans="1:20">
      <c r="A92" s="579" t="s">
        <v>19</v>
      </c>
      <c r="B92" s="580" t="s">
        <v>120</v>
      </c>
      <c r="C92" s="581"/>
      <c r="D92" s="581" t="s">
        <v>63</v>
      </c>
      <c r="E92" s="581" t="s">
        <v>21</v>
      </c>
      <c r="F92" s="581"/>
      <c r="G92" s="581"/>
      <c r="H92" s="581"/>
      <c r="I92" s="581"/>
      <c r="J92" s="582" t="s">
        <v>121</v>
      </c>
      <c r="K92" s="583"/>
      <c r="L92" s="583"/>
      <c r="M92" s="584"/>
      <c r="N92" s="585" t="s">
        <v>37</v>
      </c>
      <c r="O92" s="581"/>
      <c r="P92" s="144"/>
      <c r="R92" s="165"/>
      <c r="S92" s="165" t="e">
        <f ca="1">_xludf.IFNA(_xlfn.XLOOKUP(Table3[[#This Row],[SKU]],'06_Resource_Plan'!$C$2:$C$58,'06_Resource_Plan'!F:F),"")</f>
        <v>#NAME?</v>
      </c>
      <c r="T92" s="566" t="e">
        <f ca="1">_xludf.IFNA(_xlfn.XLOOKUP(Table3[[#This Row],[SKU]],'00_Yield_Rates'!$B$2:$B$17,'00_Yield_Rates'!$E$2:$E$17),"")</f>
        <v>#NAME?</v>
      </c>
    </row>
    <row r="93" spans="1:20">
      <c r="A93" s="579" t="s">
        <v>19</v>
      </c>
      <c r="B93" s="590" t="s">
        <v>122</v>
      </c>
      <c r="C93" s="581"/>
      <c r="D93" s="581" t="s">
        <v>63</v>
      </c>
      <c r="E93" s="581" t="s">
        <v>21</v>
      </c>
      <c r="F93" s="587"/>
      <c r="G93" s="581"/>
      <c r="H93" s="581"/>
      <c r="I93" s="581"/>
      <c r="J93" s="582" t="s">
        <v>123</v>
      </c>
      <c r="K93" s="586"/>
      <c r="L93" s="586"/>
      <c r="M93" s="587"/>
      <c r="N93" s="585" t="s">
        <v>44</v>
      </c>
      <c r="O93" s="581"/>
      <c r="P93" s="144"/>
      <c r="R93" s="165"/>
      <c r="S93" s="165"/>
      <c r="T93" s="566" t="e">
        <f ca="1">_xludf.IFNA(_xlfn.XLOOKUP(Table3[[#This Row],[SKU]],'00_Yield_Rates'!$B$2:$B$17,'00_Yield_Rates'!$E$2:$E$17),"")</f>
        <v>#NAME?</v>
      </c>
    </row>
    <row r="94" spans="1:20">
      <c r="A94" s="591" t="s">
        <v>124</v>
      </c>
      <c r="B94" s="592">
        <v>260</v>
      </c>
      <c r="C94" s="593" t="s">
        <v>102</v>
      </c>
      <c r="D94" s="593" t="s">
        <v>125</v>
      </c>
      <c r="E94" s="593" t="s">
        <v>24</v>
      </c>
      <c r="F94" s="593"/>
      <c r="G94" s="593">
        <v>8</v>
      </c>
      <c r="H94" s="593" t="s">
        <v>126</v>
      </c>
      <c r="I94" s="593" t="s">
        <v>127</v>
      </c>
      <c r="J94" s="594" t="s">
        <v>128</v>
      </c>
      <c r="K94" s="595" t="s">
        <v>129</v>
      </c>
      <c r="L94" s="595" t="s">
        <v>130</v>
      </c>
      <c r="M94" s="596">
        <v>109.6</v>
      </c>
      <c r="N94" s="597" t="s">
        <v>23</v>
      </c>
      <c r="O94" s="593">
        <v>25</v>
      </c>
      <c r="P94" s="144" t="s">
        <v>102</v>
      </c>
      <c r="R94" s="165" t="e">
        <f>_xlfn.XLOOKUP(Table3[[#This Row],[SKU]],'05_Daily_Orders'!$B$2:$B$328,'05_Daily_Orders'!G:G)</f>
        <v>#VALUE!</v>
      </c>
      <c r="S94" s="166" t="str">
        <f t="shared" ref="S94:S157" si="1">IFERROR(R94*1,"")</f>
        <v/>
      </c>
      <c r="T94" s="566" t="e">
        <f ca="1">_xludf.IFNA(_xlfn.XLOOKUP(Table3[[#This Row],[SKU]],'00_Yield_Rates'!$B$2:$B$17,'00_Yield_Rates'!$E$2:$E$17),"")</f>
        <v>#NAME?</v>
      </c>
    </row>
    <row r="95" spans="1:20">
      <c r="A95" s="591" t="s">
        <v>124</v>
      </c>
      <c r="B95" s="592">
        <v>331</v>
      </c>
      <c r="C95" s="593">
        <v>61061</v>
      </c>
      <c r="D95" s="593" t="s">
        <v>131</v>
      </c>
      <c r="E95" s="593" t="s">
        <v>26</v>
      </c>
      <c r="F95" s="593">
        <v>10.0088994565217</v>
      </c>
      <c r="G95" s="593">
        <v>16</v>
      </c>
      <c r="H95" s="593" t="s">
        <v>132</v>
      </c>
      <c r="I95" s="593" t="s">
        <v>127</v>
      </c>
      <c r="J95" s="594" t="s">
        <v>133</v>
      </c>
      <c r="K95" s="595" t="s">
        <v>129</v>
      </c>
      <c r="L95" s="595" t="s">
        <v>134</v>
      </c>
      <c r="M95" s="596">
        <v>32.31</v>
      </c>
      <c r="N95" s="597" t="s">
        <v>23</v>
      </c>
      <c r="O95" s="593">
        <v>25</v>
      </c>
      <c r="P95" s="144">
        <v>61061</v>
      </c>
      <c r="R95" s="165" t="e">
        <f>_xlfn.XLOOKUP(Table3[[#This Row],[SKU]],'05_Daily_Orders'!$B$2:$B$328,'05_Daily_Orders'!G:G)</f>
        <v>#VALUE!</v>
      </c>
      <c r="S95" s="166" t="str">
        <f t="shared" si="1"/>
        <v/>
      </c>
      <c r="T95" s="566" t="e">
        <f ca="1">_xludf.IFNA(_xlfn.XLOOKUP(Table3[[#This Row],[SKU]],'00_Yield_Rates'!$B$2:$B$17,'00_Yield_Rates'!$E$2:$E$17),"")</f>
        <v>#NAME?</v>
      </c>
    </row>
    <row r="96" spans="1:20">
      <c r="A96" s="591" t="s">
        <v>124</v>
      </c>
      <c r="B96" s="592">
        <v>349</v>
      </c>
      <c r="C96" s="593" t="s">
        <v>100</v>
      </c>
      <c r="D96" s="593" t="s">
        <v>135</v>
      </c>
      <c r="E96" s="593" t="s">
        <v>40</v>
      </c>
      <c r="F96" s="593"/>
      <c r="G96" s="593">
        <v>16</v>
      </c>
      <c r="H96" s="593" t="s">
        <v>132</v>
      </c>
      <c r="I96" s="593" t="s">
        <v>127</v>
      </c>
      <c r="J96" s="594" t="s">
        <v>136</v>
      </c>
      <c r="K96" s="595" t="s">
        <v>129</v>
      </c>
      <c r="L96" s="595" t="s">
        <v>134</v>
      </c>
      <c r="M96" s="596">
        <v>48.8</v>
      </c>
      <c r="N96" s="597" t="s">
        <v>23</v>
      </c>
      <c r="O96" s="593">
        <v>25</v>
      </c>
      <c r="P96" s="144" t="s">
        <v>100</v>
      </c>
      <c r="R96" s="165" t="e">
        <f>_xlfn.XLOOKUP(Table3[[#This Row],[SKU]],'05_Daily_Orders'!$B$2:$B$328,'05_Daily_Orders'!G:G)</f>
        <v>#VALUE!</v>
      </c>
      <c r="S96" s="166" t="str">
        <f t="shared" si="1"/>
        <v/>
      </c>
      <c r="T96" s="566" t="e">
        <f ca="1">_xludf.IFNA(_xlfn.XLOOKUP(Table3[[#This Row],[SKU]],'00_Yield_Rates'!$B$2:$B$17,'00_Yield_Rates'!$E$2:$E$17),"")</f>
        <v>#NAME?</v>
      </c>
    </row>
    <row r="97" spans="1:20">
      <c r="A97" s="591" t="s">
        <v>124</v>
      </c>
      <c r="B97" s="592">
        <v>484</v>
      </c>
      <c r="C97" s="593">
        <v>61121</v>
      </c>
      <c r="D97" s="593" t="s">
        <v>135</v>
      </c>
      <c r="E97" s="593" t="s">
        <v>137</v>
      </c>
      <c r="F97" s="593">
        <v>9.4150184653262201</v>
      </c>
      <c r="G97" s="593">
        <v>16</v>
      </c>
      <c r="H97" s="593" t="s">
        <v>132</v>
      </c>
      <c r="I97" s="593" t="s">
        <v>127</v>
      </c>
      <c r="J97" s="594" t="s">
        <v>138</v>
      </c>
      <c r="K97" s="598" t="s">
        <v>129</v>
      </c>
      <c r="L97" s="598" t="s">
        <v>134</v>
      </c>
      <c r="M97" s="599">
        <v>47.38</v>
      </c>
      <c r="N97" s="597" t="s">
        <v>23</v>
      </c>
      <c r="O97" s="593">
        <v>25</v>
      </c>
      <c r="P97" s="144">
        <v>61121</v>
      </c>
      <c r="R97" s="165" t="e">
        <f>_xlfn.XLOOKUP(Table3[[#This Row],[SKU]],'05_Daily_Orders'!$B$2:$B$328,'05_Daily_Orders'!G:G)</f>
        <v>#VALUE!</v>
      </c>
      <c r="S97" s="166" t="str">
        <f t="shared" si="1"/>
        <v/>
      </c>
      <c r="T97" s="566" t="e">
        <f ca="1">_xludf.IFNA(_xlfn.XLOOKUP(Table3[[#This Row],[SKU]],'00_Yield_Rates'!$B$2:$B$17,'00_Yield_Rates'!$E$2:$E$17),"")</f>
        <v>#NAME?</v>
      </c>
    </row>
    <row r="98" spans="1:20">
      <c r="A98" s="591" t="s">
        <v>124</v>
      </c>
      <c r="B98" s="592">
        <v>784</v>
      </c>
      <c r="C98" s="593" t="s">
        <v>118</v>
      </c>
      <c r="D98" s="593" t="s">
        <v>135</v>
      </c>
      <c r="E98" s="593" t="s">
        <v>21</v>
      </c>
      <c r="F98" s="593">
        <v>8.2634387451454998</v>
      </c>
      <c r="G98" s="593">
        <v>8</v>
      </c>
      <c r="H98" s="593" t="s">
        <v>139</v>
      </c>
      <c r="I98" s="593" t="s">
        <v>140</v>
      </c>
      <c r="J98" s="594" t="s">
        <v>141</v>
      </c>
      <c r="K98" s="595" t="s">
        <v>142</v>
      </c>
      <c r="L98" s="595" t="s">
        <v>130</v>
      </c>
      <c r="M98" s="596">
        <v>17.920000000000002</v>
      </c>
      <c r="N98" s="597" t="s">
        <v>23</v>
      </c>
      <c r="O98" s="593">
        <v>25</v>
      </c>
      <c r="P98" s="144" t="s">
        <v>118</v>
      </c>
      <c r="R98" s="165" t="e">
        <f>_xlfn.XLOOKUP(Table3[[#This Row],[SKU]],'05_Daily_Orders'!$B$2:$B$328,'05_Daily_Orders'!G:G)</f>
        <v>#VALUE!</v>
      </c>
      <c r="S98" s="166" t="str">
        <f t="shared" si="1"/>
        <v/>
      </c>
      <c r="T98" s="566" t="e">
        <f ca="1">_xludf.IFNA(_xlfn.XLOOKUP(Table3[[#This Row],[SKU]],'00_Yield_Rates'!$B$2:$B$17,'00_Yield_Rates'!$E$2:$E$17),"")</f>
        <v>#NAME?</v>
      </c>
    </row>
    <row r="99" spans="1:20">
      <c r="A99" s="591" t="s">
        <v>124</v>
      </c>
      <c r="B99" s="592">
        <v>946</v>
      </c>
      <c r="C99" s="593" t="s">
        <v>100</v>
      </c>
      <c r="D99" s="593" t="s">
        <v>135</v>
      </c>
      <c r="E99" s="593" t="s">
        <v>40</v>
      </c>
      <c r="F99" s="593"/>
      <c r="G99" s="593">
        <v>6</v>
      </c>
      <c r="H99" s="593" t="s">
        <v>143</v>
      </c>
      <c r="I99" s="593" t="s">
        <v>144</v>
      </c>
      <c r="J99" s="594" t="s">
        <v>145</v>
      </c>
      <c r="K99" s="595" t="s">
        <v>129</v>
      </c>
      <c r="L99" s="595" t="s">
        <v>134</v>
      </c>
      <c r="M99" s="596">
        <v>55.73</v>
      </c>
      <c r="N99" s="597" t="s">
        <v>23</v>
      </c>
      <c r="O99" s="593">
        <v>25</v>
      </c>
      <c r="P99" s="144" t="s">
        <v>100</v>
      </c>
      <c r="R99" s="165" t="e">
        <f>_xlfn.XLOOKUP(Table3[[#This Row],[SKU]],'05_Daily_Orders'!$B$2:$B$328,'05_Daily_Orders'!G:G)</f>
        <v>#VALUE!</v>
      </c>
      <c r="S99" s="166" t="str">
        <f t="shared" si="1"/>
        <v/>
      </c>
      <c r="T99" s="566" t="e">
        <f ca="1">_xludf.IFNA(_xlfn.XLOOKUP(Table3[[#This Row],[SKU]],'00_Yield_Rates'!$B$2:$B$17,'00_Yield_Rates'!$E$2:$E$17),"")</f>
        <v>#NAME?</v>
      </c>
    </row>
    <row r="100" spans="1:20">
      <c r="A100" s="591" t="s">
        <v>124</v>
      </c>
      <c r="B100" s="592">
        <v>956</v>
      </c>
      <c r="C100" s="593" t="s">
        <v>110</v>
      </c>
      <c r="D100" s="593" t="s">
        <v>135</v>
      </c>
      <c r="E100" s="593" t="s">
        <v>146</v>
      </c>
      <c r="F100" s="593"/>
      <c r="G100" s="593">
        <v>6</v>
      </c>
      <c r="H100" s="593" t="s">
        <v>143</v>
      </c>
      <c r="I100" s="593" t="s">
        <v>144</v>
      </c>
      <c r="J100" s="594" t="s">
        <v>147</v>
      </c>
      <c r="K100" s="595" t="s">
        <v>129</v>
      </c>
      <c r="L100" s="595" t="s">
        <v>134</v>
      </c>
      <c r="M100" s="596">
        <v>72.73</v>
      </c>
      <c r="N100" s="597"/>
      <c r="O100" s="593">
        <v>25</v>
      </c>
      <c r="P100" s="144" t="s">
        <v>110</v>
      </c>
      <c r="R100" s="165" t="e">
        <f>_xlfn.XLOOKUP(Table3[[#This Row],[SKU]],'05_Daily_Orders'!$B$2:$B$328,'05_Daily_Orders'!G:G)</f>
        <v>#VALUE!</v>
      </c>
      <c r="S100" s="166" t="str">
        <f t="shared" si="1"/>
        <v/>
      </c>
      <c r="T100" s="566" t="e">
        <f ca="1">_xludf.IFNA(_xlfn.XLOOKUP(Table3[[#This Row],[SKU]],'00_Yield_Rates'!$B$2:$B$17,'00_Yield_Rates'!$E$2:$E$17),"")</f>
        <v>#NAME?</v>
      </c>
    </row>
    <row r="101" spans="1:20">
      <c r="A101" s="591" t="s">
        <v>124</v>
      </c>
      <c r="B101" s="592">
        <v>957</v>
      </c>
      <c r="C101" s="593">
        <v>61082</v>
      </c>
      <c r="D101" s="593" t="s">
        <v>135</v>
      </c>
      <c r="E101" s="593" t="s">
        <v>30</v>
      </c>
      <c r="F101" s="593"/>
      <c r="G101" s="593">
        <v>6</v>
      </c>
      <c r="H101" s="593" t="s">
        <v>143</v>
      </c>
      <c r="I101" s="593" t="s">
        <v>144</v>
      </c>
      <c r="J101" s="594" t="s">
        <v>148</v>
      </c>
      <c r="K101" s="595" t="s">
        <v>129</v>
      </c>
      <c r="L101" s="598" t="s">
        <v>134</v>
      </c>
      <c r="M101" s="599">
        <v>57.23</v>
      </c>
      <c r="N101" s="597"/>
      <c r="O101" s="593">
        <v>25</v>
      </c>
      <c r="P101" s="144">
        <v>61082</v>
      </c>
      <c r="R101" s="165" t="e">
        <f>_xlfn.XLOOKUP(Table3[[#This Row],[SKU]],'05_Daily_Orders'!$B$2:$B$328,'05_Daily_Orders'!G:G)</f>
        <v>#VALUE!</v>
      </c>
      <c r="S101" s="166" t="str">
        <f t="shared" si="1"/>
        <v/>
      </c>
      <c r="T101" s="566" t="e">
        <f ca="1">_xludf.IFNA(_xlfn.XLOOKUP(Table3[[#This Row],[SKU]],'00_Yield_Rates'!$B$2:$B$17,'00_Yield_Rates'!$E$2:$E$17),"")</f>
        <v>#NAME?</v>
      </c>
    </row>
    <row r="102" spans="1:20">
      <c r="A102" s="591" t="s">
        <v>124</v>
      </c>
      <c r="B102" s="592">
        <v>1023</v>
      </c>
      <c r="C102" s="593">
        <v>61121</v>
      </c>
      <c r="D102" s="593" t="s">
        <v>131</v>
      </c>
      <c r="E102" s="593" t="s">
        <v>149</v>
      </c>
      <c r="F102" s="593">
        <v>9.3701255940257901</v>
      </c>
      <c r="G102" s="593">
        <v>16</v>
      </c>
      <c r="H102" s="593" t="s">
        <v>132</v>
      </c>
      <c r="I102" s="593" t="s">
        <v>127</v>
      </c>
      <c r="J102" s="594" t="s">
        <v>150</v>
      </c>
      <c r="K102" s="598" t="s">
        <v>129</v>
      </c>
      <c r="L102" s="598" t="s">
        <v>134</v>
      </c>
      <c r="M102" s="599">
        <v>47.38</v>
      </c>
      <c r="N102" s="597" t="s">
        <v>23</v>
      </c>
      <c r="O102" s="593">
        <v>25</v>
      </c>
      <c r="P102" s="144">
        <v>61121</v>
      </c>
      <c r="R102" s="165" t="e">
        <f>_xlfn.XLOOKUP(Table3[[#This Row],[SKU]],'05_Daily_Orders'!$B$2:$B$328,'05_Daily_Orders'!G:G)</f>
        <v>#VALUE!</v>
      </c>
      <c r="S102" s="166" t="str">
        <f t="shared" si="1"/>
        <v/>
      </c>
      <c r="T102" s="566" t="e">
        <f ca="1">_xludf.IFNA(_xlfn.XLOOKUP(Table3[[#This Row],[SKU]],'00_Yield_Rates'!$B$2:$B$17,'00_Yield_Rates'!$E$2:$E$17),"")</f>
        <v>#NAME?</v>
      </c>
    </row>
    <row r="103" spans="1:20">
      <c r="A103" s="591" t="s">
        <v>124</v>
      </c>
      <c r="B103" s="592">
        <v>1830</v>
      </c>
      <c r="C103" s="593" t="s">
        <v>106</v>
      </c>
      <c r="D103" s="593" t="s">
        <v>135</v>
      </c>
      <c r="E103" s="593" t="s">
        <v>24</v>
      </c>
      <c r="F103" s="593">
        <v>3.5867373511904699</v>
      </c>
      <c r="G103" s="593">
        <v>8</v>
      </c>
      <c r="H103" s="593" t="s">
        <v>151</v>
      </c>
      <c r="I103" s="593" t="s">
        <v>127</v>
      </c>
      <c r="J103" s="594" t="s">
        <v>152</v>
      </c>
      <c r="K103" s="595" t="s">
        <v>129</v>
      </c>
      <c r="L103" s="595" t="s">
        <v>130</v>
      </c>
      <c r="M103" s="596">
        <v>56.51</v>
      </c>
      <c r="N103" s="597" t="s">
        <v>44</v>
      </c>
      <c r="O103" s="593">
        <v>25</v>
      </c>
      <c r="P103" s="144" t="s">
        <v>106</v>
      </c>
      <c r="R103" s="165" t="e">
        <f>_xlfn.XLOOKUP(Table3[[#This Row],[SKU]],'05_Daily_Orders'!$B$2:$B$328,'05_Daily_Orders'!G:G)</f>
        <v>#VALUE!</v>
      </c>
      <c r="S103" s="166" t="str">
        <f t="shared" si="1"/>
        <v/>
      </c>
      <c r="T103" s="566" t="e">
        <f ca="1">_xludf.IFNA(_xlfn.XLOOKUP(Table3[[#This Row],[SKU]],'00_Yield_Rates'!$B$2:$B$17,'00_Yield_Rates'!$E$2:$E$17),"")</f>
        <v>#NAME?</v>
      </c>
    </row>
    <row r="104" spans="1:20">
      <c r="A104" s="591" t="s">
        <v>124</v>
      </c>
      <c r="B104" s="600">
        <v>1831</v>
      </c>
      <c r="C104" s="593">
        <v>203021</v>
      </c>
      <c r="D104" s="593" t="s">
        <v>135</v>
      </c>
      <c r="E104" s="593" t="s">
        <v>153</v>
      </c>
      <c r="F104" s="596">
        <v>7.2381955626574799</v>
      </c>
      <c r="G104" s="593">
        <v>5</v>
      </c>
      <c r="H104" s="593" t="s">
        <v>132</v>
      </c>
      <c r="I104" s="593" t="s">
        <v>127</v>
      </c>
      <c r="J104" s="594" t="s">
        <v>154</v>
      </c>
      <c r="K104" s="598" t="s">
        <v>129</v>
      </c>
      <c r="L104" s="595" t="s">
        <v>130</v>
      </c>
      <c r="M104" s="596">
        <v>131.16999999999999</v>
      </c>
      <c r="N104" s="597"/>
      <c r="O104" s="593">
        <v>25</v>
      </c>
      <c r="P104" s="144">
        <v>203021</v>
      </c>
      <c r="R104" s="165" t="e">
        <f>_xlfn.XLOOKUP(Table3[[#This Row],[SKU]],'05_Daily_Orders'!$B$2:$B$328,'05_Daily_Orders'!G:G)</f>
        <v>#VALUE!</v>
      </c>
      <c r="S104" s="166" t="str">
        <f t="shared" si="1"/>
        <v/>
      </c>
      <c r="T104" s="566" t="e">
        <f ca="1">_xludf.IFNA(_xlfn.XLOOKUP(Table3[[#This Row],[SKU]],'00_Yield_Rates'!$B$2:$B$17,'00_Yield_Rates'!$E$2:$E$17),"")</f>
        <v>#NAME?</v>
      </c>
    </row>
    <row r="105" spans="1:20">
      <c r="A105" s="591" t="s">
        <v>124</v>
      </c>
      <c r="B105" s="592">
        <v>1837</v>
      </c>
      <c r="C105" s="593">
        <v>61010</v>
      </c>
      <c r="D105" s="593" t="s">
        <v>135</v>
      </c>
      <c r="E105" s="593" t="s">
        <v>155</v>
      </c>
      <c r="F105" s="593"/>
      <c r="G105" s="593">
        <v>6</v>
      </c>
      <c r="H105" s="593" t="s">
        <v>139</v>
      </c>
      <c r="I105" s="593" t="s">
        <v>140</v>
      </c>
      <c r="J105" s="594" t="s">
        <v>156</v>
      </c>
      <c r="K105" s="595" t="s">
        <v>129</v>
      </c>
      <c r="L105" s="596" t="s">
        <v>130</v>
      </c>
      <c r="M105" s="596">
        <v>38.69</v>
      </c>
      <c r="N105" s="597" t="s">
        <v>23</v>
      </c>
      <c r="O105" s="593">
        <v>25</v>
      </c>
      <c r="P105" s="144">
        <v>61010</v>
      </c>
      <c r="R105" s="165" t="e">
        <f>_xlfn.XLOOKUP(Table3[[#This Row],[SKU]],'05_Daily_Orders'!$B$2:$B$328,'05_Daily_Orders'!G:G)</f>
        <v>#VALUE!</v>
      </c>
      <c r="S105" s="166" t="str">
        <f t="shared" si="1"/>
        <v/>
      </c>
      <c r="T105" s="566" t="e">
        <f ca="1">_xludf.IFNA(_xlfn.XLOOKUP(Table3[[#This Row],[SKU]],'00_Yield_Rates'!$B$2:$B$17,'00_Yield_Rates'!$E$2:$E$17),"")</f>
        <v>#NAME?</v>
      </c>
    </row>
    <row r="106" spans="1:20">
      <c r="A106" s="591" t="s">
        <v>124</v>
      </c>
      <c r="B106" s="592">
        <v>1838</v>
      </c>
      <c r="C106" s="593" t="s">
        <v>106</v>
      </c>
      <c r="D106" s="593" t="s">
        <v>135</v>
      </c>
      <c r="E106" s="593" t="s">
        <v>24</v>
      </c>
      <c r="F106" s="593"/>
      <c r="G106" s="593">
        <v>8</v>
      </c>
      <c r="H106" s="593" t="s">
        <v>151</v>
      </c>
      <c r="I106" s="593" t="s">
        <v>127</v>
      </c>
      <c r="J106" s="594" t="s">
        <v>157</v>
      </c>
      <c r="K106" s="595" t="s">
        <v>129</v>
      </c>
      <c r="L106" s="596" t="s">
        <v>130</v>
      </c>
      <c r="M106" s="596">
        <v>56.51</v>
      </c>
      <c r="N106" s="597" t="s">
        <v>44</v>
      </c>
      <c r="O106" s="593">
        <v>25</v>
      </c>
      <c r="P106" s="144" t="s">
        <v>106</v>
      </c>
      <c r="R106" s="165" t="e">
        <f>_xlfn.XLOOKUP(Table3[[#This Row],[SKU]],'05_Daily_Orders'!$B$2:$B$328,'05_Daily_Orders'!G:G)</f>
        <v>#VALUE!</v>
      </c>
      <c r="S106" s="166" t="str">
        <f t="shared" si="1"/>
        <v/>
      </c>
      <c r="T106" s="566" t="e">
        <f ca="1">_xludf.IFNA(_xlfn.XLOOKUP(Table3[[#This Row],[SKU]],'00_Yield_Rates'!$B$2:$B$17,'00_Yield_Rates'!$E$2:$E$17),"")</f>
        <v>#NAME?</v>
      </c>
    </row>
    <row r="107" spans="1:20">
      <c r="A107" s="591" t="s">
        <v>124</v>
      </c>
      <c r="B107" s="592">
        <v>1839</v>
      </c>
      <c r="C107" s="593">
        <v>203021</v>
      </c>
      <c r="D107" s="593" t="s">
        <v>135</v>
      </c>
      <c r="E107" s="593" t="s">
        <v>153</v>
      </c>
      <c r="F107" s="593"/>
      <c r="G107" s="593">
        <v>5</v>
      </c>
      <c r="H107" s="593" t="s">
        <v>132</v>
      </c>
      <c r="I107" s="593" t="s">
        <v>127</v>
      </c>
      <c r="J107" s="594" t="s">
        <v>158</v>
      </c>
      <c r="K107" s="598" t="s">
        <v>129</v>
      </c>
      <c r="L107" s="596" t="s">
        <v>130</v>
      </c>
      <c r="M107" s="596">
        <v>131.16999999999999</v>
      </c>
      <c r="N107" s="597"/>
      <c r="O107" s="593">
        <v>20</v>
      </c>
      <c r="P107" s="144">
        <v>203021</v>
      </c>
      <c r="R107" s="165" t="e">
        <f>_xlfn.XLOOKUP(Table3[[#This Row],[SKU]],'05_Daily_Orders'!$B$2:$B$328,'05_Daily_Orders'!G:G)</f>
        <v>#VALUE!</v>
      </c>
      <c r="S107" s="166" t="str">
        <f t="shared" si="1"/>
        <v/>
      </c>
      <c r="T107" s="566" t="e">
        <f ca="1">_xludf.IFNA(_xlfn.XLOOKUP(Table3[[#This Row],[SKU]],'00_Yield_Rates'!$B$2:$B$17,'00_Yield_Rates'!$E$2:$E$17),"")</f>
        <v>#NAME?</v>
      </c>
    </row>
    <row r="108" spans="1:20">
      <c r="A108" s="591" t="s">
        <v>124</v>
      </c>
      <c r="B108" s="592">
        <v>1842</v>
      </c>
      <c r="C108" s="593">
        <v>61040</v>
      </c>
      <c r="D108" s="593" t="s">
        <v>135</v>
      </c>
      <c r="E108" s="593" t="s">
        <v>40</v>
      </c>
      <c r="F108" s="593"/>
      <c r="G108" s="593">
        <v>8</v>
      </c>
      <c r="H108" s="593" t="s">
        <v>151</v>
      </c>
      <c r="I108" s="593" t="s">
        <v>127</v>
      </c>
      <c r="J108" s="594" t="s">
        <v>159</v>
      </c>
      <c r="K108" s="595" t="s">
        <v>129</v>
      </c>
      <c r="L108" s="596" t="s">
        <v>130</v>
      </c>
      <c r="M108" s="596">
        <v>51.65</v>
      </c>
      <c r="N108" s="597" t="s">
        <v>44</v>
      </c>
      <c r="O108" s="593">
        <v>25</v>
      </c>
      <c r="P108" s="144">
        <v>61040</v>
      </c>
      <c r="R108" s="165" t="e">
        <f>_xlfn.XLOOKUP(Table3[[#This Row],[SKU]],'05_Daily_Orders'!$B$2:$B$328,'05_Daily_Orders'!G:G)</f>
        <v>#VALUE!</v>
      </c>
      <c r="S108" s="166" t="str">
        <f t="shared" si="1"/>
        <v/>
      </c>
      <c r="T108" s="566" t="e">
        <f ca="1">_xludf.IFNA(_xlfn.XLOOKUP(Table3[[#This Row],[SKU]],'00_Yield_Rates'!$B$2:$B$17,'00_Yield_Rates'!$E$2:$E$17),"")</f>
        <v>#NAME?</v>
      </c>
    </row>
    <row r="109" spans="1:20">
      <c r="A109" s="591" t="s">
        <v>124</v>
      </c>
      <c r="B109" s="592">
        <v>1843</v>
      </c>
      <c r="C109" s="593">
        <v>61014</v>
      </c>
      <c r="D109" s="593" t="s">
        <v>135</v>
      </c>
      <c r="E109" s="593" t="s">
        <v>34</v>
      </c>
      <c r="F109" s="593"/>
      <c r="G109" s="593">
        <v>8</v>
      </c>
      <c r="H109" s="593" t="s">
        <v>151</v>
      </c>
      <c r="I109" s="593" t="s">
        <v>127</v>
      </c>
      <c r="J109" s="594" t="s">
        <v>160</v>
      </c>
      <c r="K109" s="595" t="s">
        <v>142</v>
      </c>
      <c r="L109" s="596" t="s">
        <v>130</v>
      </c>
      <c r="M109" s="596">
        <v>27.65</v>
      </c>
      <c r="N109" s="597" t="s">
        <v>44</v>
      </c>
      <c r="O109" s="593">
        <v>25</v>
      </c>
      <c r="P109" s="144">
        <v>61014</v>
      </c>
      <c r="R109" s="165" t="e">
        <f>_xlfn.XLOOKUP(Table3[[#This Row],[SKU]],'05_Daily_Orders'!$B$2:$B$328,'05_Daily_Orders'!G:G)</f>
        <v>#VALUE!</v>
      </c>
      <c r="S109" s="166" t="str">
        <f t="shared" si="1"/>
        <v/>
      </c>
      <c r="T109" s="566" t="e">
        <f ca="1">_xludf.IFNA(_xlfn.XLOOKUP(Table3[[#This Row],[SKU]],'00_Yield_Rates'!$B$2:$B$17,'00_Yield_Rates'!$E$2:$E$17),"")</f>
        <v>#NAME?</v>
      </c>
    </row>
    <row r="110" spans="1:20">
      <c r="A110" s="591" t="s">
        <v>124</v>
      </c>
      <c r="B110" s="592">
        <v>1874</v>
      </c>
      <c r="C110" s="593">
        <v>61050</v>
      </c>
      <c r="D110" s="593" t="s">
        <v>135</v>
      </c>
      <c r="E110" s="593" t="s">
        <v>24</v>
      </c>
      <c r="F110" s="593"/>
      <c r="G110" s="593">
        <v>8</v>
      </c>
      <c r="H110" s="593" t="s">
        <v>151</v>
      </c>
      <c r="I110" s="593" t="s">
        <v>127</v>
      </c>
      <c r="J110" s="594" t="s">
        <v>161</v>
      </c>
      <c r="K110" s="595" t="s">
        <v>129</v>
      </c>
      <c r="L110" s="598" t="s">
        <v>130</v>
      </c>
      <c r="M110" s="599">
        <v>74.400000000000006</v>
      </c>
      <c r="N110" s="597" t="s">
        <v>44</v>
      </c>
      <c r="O110" s="593">
        <v>25</v>
      </c>
      <c r="P110" s="144">
        <v>61050</v>
      </c>
      <c r="R110" s="165" t="e">
        <f>_xlfn.XLOOKUP(Table3[[#This Row],[SKU]],'05_Daily_Orders'!$B$2:$B$328,'05_Daily_Orders'!G:G)</f>
        <v>#VALUE!</v>
      </c>
      <c r="S110" s="166" t="str">
        <f t="shared" si="1"/>
        <v/>
      </c>
      <c r="T110" s="566" t="e">
        <f ca="1">_xludf.IFNA(_xlfn.XLOOKUP(Table3[[#This Row],[SKU]],'00_Yield_Rates'!$B$2:$B$17,'00_Yield_Rates'!$E$2:$E$17),"")</f>
        <v>#NAME?</v>
      </c>
    </row>
    <row r="111" spans="1:20">
      <c r="A111" s="591" t="s">
        <v>124</v>
      </c>
      <c r="B111" s="592">
        <v>1876</v>
      </c>
      <c r="C111" s="593" t="s">
        <v>110</v>
      </c>
      <c r="D111" s="593" t="s">
        <v>135</v>
      </c>
      <c r="E111" s="593" t="s">
        <v>146</v>
      </c>
      <c r="F111" s="593">
        <v>10.624118517364799</v>
      </c>
      <c r="G111" s="593">
        <v>6</v>
      </c>
      <c r="H111" s="593" t="s">
        <v>143</v>
      </c>
      <c r="I111" s="593" t="s">
        <v>144</v>
      </c>
      <c r="J111" s="594" t="s">
        <v>162</v>
      </c>
      <c r="K111" s="595" t="s">
        <v>129</v>
      </c>
      <c r="L111" s="598" t="s">
        <v>130</v>
      </c>
      <c r="M111" s="599">
        <v>72.73</v>
      </c>
      <c r="N111" s="597" t="s">
        <v>23</v>
      </c>
      <c r="O111" s="593">
        <v>20</v>
      </c>
      <c r="P111" s="144" t="s">
        <v>110</v>
      </c>
      <c r="R111" s="165" t="e">
        <f>_xlfn.XLOOKUP(Table3[[#This Row],[SKU]],'05_Daily_Orders'!$B$2:$B$328,'05_Daily_Orders'!G:G)</f>
        <v>#VALUE!</v>
      </c>
      <c r="S111" s="166" t="str">
        <f t="shared" si="1"/>
        <v/>
      </c>
      <c r="T111" s="566" t="e">
        <f ca="1">_xludf.IFNA(_xlfn.XLOOKUP(Table3[[#This Row],[SKU]],'00_Yield_Rates'!$B$2:$B$17,'00_Yield_Rates'!$E$2:$E$17),"")</f>
        <v>#NAME?</v>
      </c>
    </row>
    <row r="112" spans="1:20">
      <c r="A112" s="591" t="s">
        <v>124</v>
      </c>
      <c r="B112" s="592">
        <v>1877</v>
      </c>
      <c r="C112" s="593">
        <v>61082</v>
      </c>
      <c r="D112" s="593" t="s">
        <v>135</v>
      </c>
      <c r="E112" s="593" t="s">
        <v>30</v>
      </c>
      <c r="F112" s="593">
        <v>12.432757646172201</v>
      </c>
      <c r="G112" s="593">
        <v>6</v>
      </c>
      <c r="H112" s="593" t="s">
        <v>143</v>
      </c>
      <c r="I112" s="593" t="s">
        <v>144</v>
      </c>
      <c r="J112" s="594" t="s">
        <v>163</v>
      </c>
      <c r="K112" s="595" t="s">
        <v>129</v>
      </c>
      <c r="L112" s="598" t="s">
        <v>130</v>
      </c>
      <c r="M112" s="599">
        <v>57.23</v>
      </c>
      <c r="N112" s="597" t="s">
        <v>23</v>
      </c>
      <c r="O112" s="593">
        <v>25</v>
      </c>
      <c r="P112" s="144">
        <v>61082</v>
      </c>
      <c r="R112" s="165" t="e">
        <f>_xlfn.XLOOKUP(Table3[[#This Row],[SKU]],'05_Daily_Orders'!$B$2:$B$328,'05_Daily_Orders'!G:G)</f>
        <v>#VALUE!</v>
      </c>
      <c r="S112" s="166" t="str">
        <f t="shared" si="1"/>
        <v/>
      </c>
      <c r="T112" s="566" t="e">
        <f ca="1">_xludf.IFNA(_xlfn.XLOOKUP(Table3[[#This Row],[SKU]],'00_Yield_Rates'!$B$2:$B$17,'00_Yield_Rates'!$E$2:$E$17),"")</f>
        <v>#NAME?</v>
      </c>
    </row>
    <row r="113" spans="1:20">
      <c r="A113" s="591" t="s">
        <v>124</v>
      </c>
      <c r="B113" s="592">
        <v>1878</v>
      </c>
      <c r="C113" s="593" t="s">
        <v>100</v>
      </c>
      <c r="D113" s="593" t="s">
        <v>135</v>
      </c>
      <c r="E113" s="593" t="s">
        <v>40</v>
      </c>
      <c r="F113" s="593"/>
      <c r="G113" s="593">
        <v>8</v>
      </c>
      <c r="H113" s="593" t="s">
        <v>143</v>
      </c>
      <c r="I113" s="593" t="s">
        <v>144</v>
      </c>
      <c r="J113" s="594" t="s">
        <v>164</v>
      </c>
      <c r="K113" s="595" t="s">
        <v>129</v>
      </c>
      <c r="L113" s="595" t="s">
        <v>134</v>
      </c>
      <c r="M113" s="596">
        <v>55.73</v>
      </c>
      <c r="N113" s="597" t="s">
        <v>23</v>
      </c>
      <c r="O113" s="593">
        <v>25</v>
      </c>
      <c r="P113" s="144" t="s">
        <v>100</v>
      </c>
      <c r="R113" s="165" t="e">
        <f>_xlfn.XLOOKUP(Table3[[#This Row],[SKU]],'05_Daily_Orders'!$B$2:$B$328,'05_Daily_Orders'!G:G)</f>
        <v>#VALUE!</v>
      </c>
      <c r="S113" s="166" t="str">
        <f t="shared" si="1"/>
        <v/>
      </c>
      <c r="T113" s="566" t="e">
        <f ca="1">_xludf.IFNA(_xlfn.XLOOKUP(Table3[[#This Row],[SKU]],'00_Yield_Rates'!$B$2:$B$17,'00_Yield_Rates'!$E$2:$E$17),"")</f>
        <v>#NAME?</v>
      </c>
    </row>
    <row r="114" spans="1:20">
      <c r="A114" s="591" t="s">
        <v>124</v>
      </c>
      <c r="B114" s="592">
        <v>1881</v>
      </c>
      <c r="C114" s="593" t="s">
        <v>102</v>
      </c>
      <c r="D114" s="593" t="s">
        <v>135</v>
      </c>
      <c r="E114" s="593" t="s">
        <v>24</v>
      </c>
      <c r="F114" s="593"/>
      <c r="G114" s="593">
        <v>16</v>
      </c>
      <c r="H114" s="593" t="s">
        <v>165</v>
      </c>
      <c r="I114" s="593" t="s">
        <v>127</v>
      </c>
      <c r="J114" s="594" t="s">
        <v>166</v>
      </c>
      <c r="K114" s="595" t="s">
        <v>129</v>
      </c>
      <c r="L114" s="595" t="s">
        <v>130</v>
      </c>
      <c r="M114" s="596">
        <v>96.55</v>
      </c>
      <c r="N114" s="597" t="s">
        <v>23</v>
      </c>
      <c r="O114" s="593">
        <v>25</v>
      </c>
      <c r="P114" s="144" t="s">
        <v>102</v>
      </c>
      <c r="R114" s="165" t="e">
        <f>_xlfn.XLOOKUP(Table3[[#This Row],[SKU]],'05_Daily_Orders'!$B$2:$B$328,'05_Daily_Orders'!G:G)</f>
        <v>#VALUE!</v>
      </c>
      <c r="S114" s="166" t="str">
        <f t="shared" si="1"/>
        <v/>
      </c>
      <c r="T114" s="566" t="e">
        <f ca="1">_xludf.IFNA(_xlfn.XLOOKUP(Table3[[#This Row],[SKU]],'00_Yield_Rates'!$B$2:$B$17,'00_Yield_Rates'!$E$2:$E$17),"")</f>
        <v>#NAME?</v>
      </c>
    </row>
    <row r="115" spans="1:20">
      <c r="A115" s="591" t="s">
        <v>124</v>
      </c>
      <c r="B115" s="592">
        <v>2030</v>
      </c>
      <c r="C115" s="593" t="s">
        <v>101</v>
      </c>
      <c r="D115" s="593" t="s">
        <v>135</v>
      </c>
      <c r="E115" s="593" t="s">
        <v>40</v>
      </c>
      <c r="F115" s="593"/>
      <c r="G115" s="593">
        <v>18</v>
      </c>
      <c r="H115" s="593" t="s">
        <v>132</v>
      </c>
      <c r="I115" s="593" t="s">
        <v>127</v>
      </c>
      <c r="J115" s="594" t="s">
        <v>167</v>
      </c>
      <c r="K115" s="595" t="s">
        <v>129</v>
      </c>
      <c r="L115" s="595" t="s">
        <v>134</v>
      </c>
      <c r="M115" s="596">
        <v>45.49</v>
      </c>
      <c r="N115" s="597" t="s">
        <v>23</v>
      </c>
      <c r="O115" s="593">
        <v>25</v>
      </c>
      <c r="P115" s="144" t="s">
        <v>101</v>
      </c>
      <c r="R115" s="165" t="e">
        <f>_xlfn.XLOOKUP(Table3[[#This Row],[SKU]],'05_Daily_Orders'!$B$2:$B$328,'05_Daily_Orders'!G:G)</f>
        <v>#VALUE!</v>
      </c>
      <c r="S115" s="166" t="str">
        <f t="shared" si="1"/>
        <v/>
      </c>
      <c r="T115" s="566" t="e">
        <f ca="1">_xludf.IFNA(_xlfn.XLOOKUP(Table3[[#This Row],[SKU]],'00_Yield_Rates'!$B$2:$B$17,'00_Yield_Rates'!$E$2:$E$17),"")</f>
        <v>#NAME?</v>
      </c>
    </row>
    <row r="116" spans="1:20">
      <c r="A116" s="591" t="s">
        <v>124</v>
      </c>
      <c r="B116" s="592">
        <v>2031</v>
      </c>
      <c r="C116" s="593" t="s">
        <v>101</v>
      </c>
      <c r="D116" s="593" t="s">
        <v>135</v>
      </c>
      <c r="E116" s="593" t="s">
        <v>40</v>
      </c>
      <c r="F116" s="593">
        <v>7.7189243027888397</v>
      </c>
      <c r="G116" s="593">
        <v>6</v>
      </c>
      <c r="H116" s="593" t="s">
        <v>139</v>
      </c>
      <c r="I116" s="593" t="s">
        <v>140</v>
      </c>
      <c r="J116" s="594" t="s">
        <v>168</v>
      </c>
      <c r="K116" s="595" t="s">
        <v>129</v>
      </c>
      <c r="L116" s="595" t="s">
        <v>130</v>
      </c>
      <c r="M116" s="596">
        <v>92.77</v>
      </c>
      <c r="N116" s="597" t="s">
        <v>23</v>
      </c>
      <c r="O116" s="593">
        <v>25</v>
      </c>
      <c r="P116" s="144" t="s">
        <v>101</v>
      </c>
      <c r="R116" s="165" t="e">
        <f>_xlfn.XLOOKUP(Table3[[#This Row],[SKU]],'05_Daily_Orders'!$B$2:$B$328,'05_Daily_Orders'!G:G)</f>
        <v>#VALUE!</v>
      </c>
      <c r="S116" s="166" t="str">
        <f t="shared" si="1"/>
        <v/>
      </c>
      <c r="T116" s="566" t="e">
        <f ca="1">_xludf.IFNA(_xlfn.XLOOKUP(Table3[[#This Row],[SKU]],'00_Yield_Rates'!$B$2:$B$17,'00_Yield_Rates'!$E$2:$E$17),"")</f>
        <v>#NAME?</v>
      </c>
    </row>
    <row r="117" spans="1:20">
      <c r="A117" s="591" t="s">
        <v>124</v>
      </c>
      <c r="B117" s="592">
        <v>2042</v>
      </c>
      <c r="C117" s="593" t="s">
        <v>102</v>
      </c>
      <c r="D117" s="593" t="s">
        <v>135</v>
      </c>
      <c r="E117" s="593" t="s">
        <v>24</v>
      </c>
      <c r="F117" s="593"/>
      <c r="G117" s="593">
        <v>8</v>
      </c>
      <c r="H117" s="593" t="s">
        <v>139</v>
      </c>
      <c r="I117" s="593" t="s">
        <v>140</v>
      </c>
      <c r="J117" s="594" t="s">
        <v>169</v>
      </c>
      <c r="K117" s="595" t="s">
        <v>129</v>
      </c>
      <c r="L117" s="598" t="s">
        <v>130</v>
      </c>
      <c r="M117" s="599">
        <v>0</v>
      </c>
      <c r="N117" s="597" t="s">
        <v>23</v>
      </c>
      <c r="O117" s="593">
        <v>25</v>
      </c>
      <c r="P117" s="144" t="s">
        <v>102</v>
      </c>
      <c r="R117" s="165" t="e">
        <f>_xlfn.XLOOKUP(Table3[[#This Row],[SKU]],'05_Daily_Orders'!$B$2:$B$328,'05_Daily_Orders'!G:G)</f>
        <v>#VALUE!</v>
      </c>
      <c r="S117" s="166" t="str">
        <f t="shared" si="1"/>
        <v/>
      </c>
      <c r="T117" s="566" t="e">
        <f ca="1">_xludf.IFNA(_xlfn.XLOOKUP(Table3[[#This Row],[SKU]],'00_Yield_Rates'!$B$2:$B$17,'00_Yield_Rates'!$E$2:$E$17),"")</f>
        <v>#NAME?</v>
      </c>
    </row>
    <row r="118" spans="1:20">
      <c r="A118" s="591" t="s">
        <v>124</v>
      </c>
      <c r="B118" s="592">
        <v>2043</v>
      </c>
      <c r="C118" s="593" t="s">
        <v>102</v>
      </c>
      <c r="D118" s="593" t="s">
        <v>135</v>
      </c>
      <c r="E118" s="593" t="s">
        <v>24</v>
      </c>
      <c r="F118" s="593">
        <v>9.2752309945413298</v>
      </c>
      <c r="G118" s="593">
        <v>8</v>
      </c>
      <c r="H118" s="593" t="s">
        <v>139</v>
      </c>
      <c r="I118" s="593" t="s">
        <v>140</v>
      </c>
      <c r="J118" s="594" t="s">
        <v>170</v>
      </c>
      <c r="K118" s="595" t="s">
        <v>129</v>
      </c>
      <c r="L118" s="595" t="s">
        <v>130</v>
      </c>
      <c r="M118" s="596">
        <v>134.32</v>
      </c>
      <c r="N118" s="597" t="s">
        <v>23</v>
      </c>
      <c r="O118" s="593">
        <v>25</v>
      </c>
      <c r="P118" s="144" t="s">
        <v>102</v>
      </c>
      <c r="R118" s="165" t="e">
        <f>_xlfn.XLOOKUP(Table3[[#This Row],[SKU]],'05_Daily_Orders'!$B$2:$B$328,'05_Daily_Orders'!G:G)</f>
        <v>#VALUE!</v>
      </c>
      <c r="S118" s="166" t="str">
        <f t="shared" si="1"/>
        <v/>
      </c>
      <c r="T118" s="566" t="e">
        <f ca="1">_xludf.IFNA(_xlfn.XLOOKUP(Table3[[#This Row],[SKU]],'00_Yield_Rates'!$B$2:$B$17,'00_Yield_Rates'!$E$2:$E$17),"")</f>
        <v>#NAME?</v>
      </c>
    </row>
    <row r="119" spans="1:20">
      <c r="A119" s="591" t="s">
        <v>124</v>
      </c>
      <c r="B119" s="592">
        <v>2044</v>
      </c>
      <c r="C119" s="593">
        <v>61104</v>
      </c>
      <c r="D119" s="593" t="s">
        <v>135</v>
      </c>
      <c r="E119" s="593" t="s">
        <v>24</v>
      </c>
      <c r="F119" s="593">
        <v>7.4353913966206804</v>
      </c>
      <c r="G119" s="593">
        <v>8</v>
      </c>
      <c r="H119" s="593" t="s">
        <v>139</v>
      </c>
      <c r="I119" s="593" t="s">
        <v>140</v>
      </c>
      <c r="J119" s="594" t="s">
        <v>171</v>
      </c>
      <c r="K119" s="595" t="s">
        <v>129</v>
      </c>
      <c r="L119" s="595" t="s">
        <v>130</v>
      </c>
      <c r="M119" s="596">
        <v>56.92</v>
      </c>
      <c r="N119" s="597" t="s">
        <v>23</v>
      </c>
      <c r="O119" s="593">
        <v>25</v>
      </c>
      <c r="P119" s="144">
        <v>61104</v>
      </c>
      <c r="R119" s="165" t="e">
        <f>_xlfn.XLOOKUP(Table3[[#This Row],[SKU]],'05_Daily_Orders'!$B$2:$B$328,'05_Daily_Orders'!G:G)</f>
        <v>#VALUE!</v>
      </c>
      <c r="S119" s="166" t="str">
        <f t="shared" si="1"/>
        <v/>
      </c>
      <c r="T119" s="566" t="e">
        <f ca="1">_xludf.IFNA(_xlfn.XLOOKUP(Table3[[#This Row],[SKU]],'00_Yield_Rates'!$B$2:$B$17,'00_Yield_Rates'!$E$2:$E$17),"")</f>
        <v>#NAME?</v>
      </c>
    </row>
    <row r="120" spans="1:20">
      <c r="A120" s="591" t="s">
        <v>124</v>
      </c>
      <c r="B120" s="592">
        <v>2045</v>
      </c>
      <c r="C120" s="593" t="s">
        <v>110</v>
      </c>
      <c r="D120" s="593" t="s">
        <v>135</v>
      </c>
      <c r="E120" s="593" t="s">
        <v>146</v>
      </c>
      <c r="F120" s="593">
        <v>4.8573898916967497</v>
      </c>
      <c r="G120" s="593">
        <v>8</v>
      </c>
      <c r="H120" s="593" t="s">
        <v>132</v>
      </c>
      <c r="I120" s="593" t="s">
        <v>127</v>
      </c>
      <c r="J120" s="594" t="s">
        <v>172</v>
      </c>
      <c r="K120" s="595" t="s">
        <v>129</v>
      </c>
      <c r="L120" s="595" t="s">
        <v>130</v>
      </c>
      <c r="M120" s="596">
        <v>53.8</v>
      </c>
      <c r="N120" s="597" t="s">
        <v>23</v>
      </c>
      <c r="O120" s="593">
        <v>25</v>
      </c>
      <c r="P120" s="144" t="s">
        <v>110</v>
      </c>
      <c r="R120" s="165" t="e">
        <f>_xlfn.XLOOKUP(Table3[[#This Row],[SKU]],'05_Daily_Orders'!$B$2:$B$328,'05_Daily_Orders'!G:G)</f>
        <v>#VALUE!</v>
      </c>
      <c r="S120" s="166" t="str">
        <f t="shared" si="1"/>
        <v/>
      </c>
      <c r="T120" s="566" t="e">
        <f ca="1">_xludf.IFNA(_xlfn.XLOOKUP(Table3[[#This Row],[SKU]],'00_Yield_Rates'!$B$2:$B$17,'00_Yield_Rates'!$E$2:$E$17),"")</f>
        <v>#NAME?</v>
      </c>
    </row>
    <row r="121" spans="1:20">
      <c r="A121" s="591" t="s">
        <v>124</v>
      </c>
      <c r="B121" s="592">
        <v>2046</v>
      </c>
      <c r="C121" s="593">
        <v>61082</v>
      </c>
      <c r="D121" s="593" t="s">
        <v>135</v>
      </c>
      <c r="E121" s="593" t="s">
        <v>30</v>
      </c>
      <c r="F121" s="593">
        <v>4.9940774570697801</v>
      </c>
      <c r="G121" s="593">
        <v>8</v>
      </c>
      <c r="H121" s="593" t="s">
        <v>132</v>
      </c>
      <c r="I121" s="593" t="s">
        <v>127</v>
      </c>
      <c r="J121" s="594" t="s">
        <v>173</v>
      </c>
      <c r="K121" s="598" t="s">
        <v>129</v>
      </c>
      <c r="L121" s="595" t="s">
        <v>130</v>
      </c>
      <c r="M121" s="596">
        <v>37.92</v>
      </c>
      <c r="N121" s="597" t="s">
        <v>23</v>
      </c>
      <c r="O121" s="593">
        <v>25</v>
      </c>
      <c r="P121" s="144">
        <v>61082</v>
      </c>
      <c r="R121" s="165" t="e">
        <f>_xlfn.XLOOKUP(Table3[[#This Row],[SKU]],'05_Daily_Orders'!$B$2:$B$328,'05_Daily_Orders'!G:G)</f>
        <v>#VALUE!</v>
      </c>
      <c r="S121" s="166" t="str">
        <f t="shared" si="1"/>
        <v/>
      </c>
      <c r="T121" s="566" t="e">
        <f ca="1">_xludf.IFNA(_xlfn.XLOOKUP(Table3[[#This Row],[SKU]],'00_Yield_Rates'!$B$2:$B$17,'00_Yield_Rates'!$E$2:$E$17),"")</f>
        <v>#NAME?</v>
      </c>
    </row>
    <row r="122" spans="1:20">
      <c r="A122" s="591" t="s">
        <v>124</v>
      </c>
      <c r="B122" s="592">
        <v>2047</v>
      </c>
      <c r="C122" s="593">
        <v>61010</v>
      </c>
      <c r="D122" s="593" t="s">
        <v>135</v>
      </c>
      <c r="E122" s="593" t="s">
        <v>174</v>
      </c>
      <c r="F122" s="593">
        <v>9.7596119336025104</v>
      </c>
      <c r="G122" s="593">
        <v>6</v>
      </c>
      <c r="H122" s="593" t="s">
        <v>143</v>
      </c>
      <c r="I122" s="593" t="s">
        <v>140</v>
      </c>
      <c r="J122" s="594" t="s">
        <v>175</v>
      </c>
      <c r="K122" s="595" t="s">
        <v>129</v>
      </c>
      <c r="L122" s="595" t="s">
        <v>130</v>
      </c>
      <c r="M122" s="596">
        <v>35.1</v>
      </c>
      <c r="N122" s="597" t="s">
        <v>23</v>
      </c>
      <c r="O122" s="593">
        <v>25</v>
      </c>
      <c r="P122" s="144">
        <v>61010</v>
      </c>
      <c r="R122" s="165" t="e">
        <f>_xlfn.XLOOKUP(Table3[[#This Row],[SKU]],'05_Daily_Orders'!$B$2:$B$328,'05_Daily_Orders'!G:G)</f>
        <v>#VALUE!</v>
      </c>
      <c r="S122" s="166" t="str">
        <f t="shared" si="1"/>
        <v/>
      </c>
      <c r="T122" s="566" t="e">
        <f ca="1">_xludf.IFNA(_xlfn.XLOOKUP(Table3[[#This Row],[SKU]],'00_Yield_Rates'!$B$2:$B$17,'00_Yield_Rates'!$E$2:$E$17),"")</f>
        <v>#NAME?</v>
      </c>
    </row>
    <row r="123" spans="1:20">
      <c r="A123" s="591" t="s">
        <v>124</v>
      </c>
      <c r="B123" s="592">
        <v>2060</v>
      </c>
      <c r="C123" s="593" t="s">
        <v>110</v>
      </c>
      <c r="D123" s="593" t="s">
        <v>131</v>
      </c>
      <c r="E123" s="593" t="s">
        <v>146</v>
      </c>
      <c r="F123" s="593">
        <v>8.0399191303195003</v>
      </c>
      <c r="G123" s="593">
        <v>8</v>
      </c>
      <c r="H123" s="593" t="s">
        <v>139</v>
      </c>
      <c r="I123" s="593" t="s">
        <v>140</v>
      </c>
      <c r="J123" s="594" t="s">
        <v>176</v>
      </c>
      <c r="K123" s="598" t="s">
        <v>129</v>
      </c>
      <c r="L123" s="595" t="s">
        <v>130</v>
      </c>
      <c r="M123" s="596">
        <v>44.6</v>
      </c>
      <c r="N123" s="597" t="s">
        <v>23</v>
      </c>
      <c r="O123" s="593">
        <v>20</v>
      </c>
      <c r="P123" s="144" t="s">
        <v>110</v>
      </c>
      <c r="R123" s="165" t="e">
        <f>_xlfn.XLOOKUP(Table3[[#This Row],[SKU]],'05_Daily_Orders'!$B$2:$B$328,'05_Daily_Orders'!G:G)</f>
        <v>#VALUE!</v>
      </c>
      <c r="S123" s="166" t="str">
        <f t="shared" si="1"/>
        <v/>
      </c>
      <c r="T123" s="566" t="e">
        <f ca="1">_xludf.IFNA(_xlfn.XLOOKUP(Table3[[#This Row],[SKU]],'00_Yield_Rates'!$B$2:$B$17,'00_Yield_Rates'!$E$2:$E$17),"")</f>
        <v>#NAME?</v>
      </c>
    </row>
    <row r="124" spans="1:20">
      <c r="A124" s="591" t="s">
        <v>124</v>
      </c>
      <c r="B124" s="592">
        <v>2061</v>
      </c>
      <c r="C124" s="593">
        <v>61082</v>
      </c>
      <c r="D124" s="593" t="s">
        <v>131</v>
      </c>
      <c r="E124" s="593" t="s">
        <v>30</v>
      </c>
      <c r="F124" s="593">
        <v>9.9633748355096596</v>
      </c>
      <c r="G124" s="593">
        <v>8</v>
      </c>
      <c r="H124" s="593" t="s">
        <v>139</v>
      </c>
      <c r="I124" s="593" t="s">
        <v>140</v>
      </c>
      <c r="J124" s="594" t="s">
        <v>177</v>
      </c>
      <c r="K124" s="598" t="s">
        <v>129</v>
      </c>
      <c r="L124" s="595" t="s">
        <v>130</v>
      </c>
      <c r="M124" s="596">
        <v>52.81</v>
      </c>
      <c r="N124" s="597" t="s">
        <v>23</v>
      </c>
      <c r="O124" s="593">
        <v>25</v>
      </c>
      <c r="P124" s="144">
        <v>61082</v>
      </c>
      <c r="R124" s="165" t="e">
        <f>_xlfn.XLOOKUP(Table3[[#This Row],[SKU]],'05_Daily_Orders'!$B$2:$B$328,'05_Daily_Orders'!G:G)</f>
        <v>#VALUE!</v>
      </c>
      <c r="S124" s="166" t="str">
        <f t="shared" si="1"/>
        <v/>
      </c>
      <c r="T124" s="566" t="e">
        <f ca="1">_xludf.IFNA(_xlfn.XLOOKUP(Table3[[#This Row],[SKU]],'00_Yield_Rates'!$B$2:$B$17,'00_Yield_Rates'!$E$2:$E$17),"")</f>
        <v>#NAME?</v>
      </c>
    </row>
    <row r="125" spans="1:20">
      <c r="A125" s="591" t="s">
        <v>124</v>
      </c>
      <c r="B125" s="592">
        <v>2062</v>
      </c>
      <c r="C125" s="593" t="s">
        <v>101</v>
      </c>
      <c r="D125" s="593" t="s">
        <v>131</v>
      </c>
      <c r="E125" s="593" t="s">
        <v>40</v>
      </c>
      <c r="F125" s="593">
        <v>7.8332457786116301</v>
      </c>
      <c r="G125" s="593">
        <v>6</v>
      </c>
      <c r="H125" s="593" t="s">
        <v>139</v>
      </c>
      <c r="I125" s="593" t="s">
        <v>140</v>
      </c>
      <c r="J125" s="594" t="s">
        <v>178</v>
      </c>
      <c r="K125" s="595" t="s">
        <v>129</v>
      </c>
      <c r="L125" s="595" t="s">
        <v>130</v>
      </c>
      <c r="M125" s="596">
        <v>92.66</v>
      </c>
      <c r="N125" s="597" t="s">
        <v>23</v>
      </c>
      <c r="O125" s="593">
        <v>25</v>
      </c>
      <c r="P125" s="144" t="s">
        <v>101</v>
      </c>
      <c r="R125" s="165" t="e">
        <f>_xlfn.XLOOKUP(Table3[[#This Row],[SKU]],'05_Daily_Orders'!$B$2:$B$328,'05_Daily_Orders'!G:G)</f>
        <v>#VALUE!</v>
      </c>
      <c r="S125" s="166" t="str">
        <f t="shared" si="1"/>
        <v/>
      </c>
      <c r="T125" s="566" t="e">
        <f ca="1">_xludf.IFNA(_xlfn.XLOOKUP(Table3[[#This Row],[SKU]],'00_Yield_Rates'!$B$2:$B$17,'00_Yield_Rates'!$E$2:$E$17),"")</f>
        <v>#NAME?</v>
      </c>
    </row>
    <row r="126" spans="1:20">
      <c r="A126" s="591" t="s">
        <v>124</v>
      </c>
      <c r="B126" s="592">
        <v>2063</v>
      </c>
      <c r="C126" s="593">
        <v>203891</v>
      </c>
      <c r="D126" s="593" t="s">
        <v>131</v>
      </c>
      <c r="E126" s="593" t="s">
        <v>153</v>
      </c>
      <c r="F126" s="593">
        <v>8.9851691445808992</v>
      </c>
      <c r="G126" s="593">
        <v>6</v>
      </c>
      <c r="H126" s="593" t="s">
        <v>132</v>
      </c>
      <c r="I126" s="593" t="s">
        <v>127</v>
      </c>
      <c r="J126" s="594" t="s">
        <v>179</v>
      </c>
      <c r="K126" s="598" t="s">
        <v>129</v>
      </c>
      <c r="L126" s="598" t="s">
        <v>130</v>
      </c>
      <c r="M126" s="599">
        <v>131.02000000000001</v>
      </c>
      <c r="N126" s="597" t="s">
        <v>23</v>
      </c>
      <c r="O126" s="593">
        <v>25</v>
      </c>
      <c r="P126" s="144">
        <v>203891</v>
      </c>
      <c r="R126" s="165" t="e">
        <f>_xlfn.XLOOKUP(Table3[[#This Row],[SKU]],'05_Daily_Orders'!$B$2:$B$328,'05_Daily_Orders'!G:G)</f>
        <v>#VALUE!</v>
      </c>
      <c r="S126" s="166" t="str">
        <f t="shared" si="1"/>
        <v/>
      </c>
      <c r="T126" s="566" t="e">
        <f ca="1">_xludf.IFNA(_xlfn.XLOOKUP(Table3[[#This Row],[SKU]],'00_Yield_Rates'!$B$2:$B$17,'00_Yield_Rates'!$E$2:$E$17),"")</f>
        <v>#NAME?</v>
      </c>
    </row>
    <row r="127" spans="1:20">
      <c r="A127" s="591" t="s">
        <v>124</v>
      </c>
      <c r="B127" s="592">
        <v>2064</v>
      </c>
      <c r="C127" s="593">
        <v>61061</v>
      </c>
      <c r="D127" s="593" t="s">
        <v>131</v>
      </c>
      <c r="E127" s="593" t="s">
        <v>26</v>
      </c>
      <c r="F127" s="593">
        <v>9.9259971035481502</v>
      </c>
      <c r="G127" s="593">
        <v>8</v>
      </c>
      <c r="H127" s="593" t="s">
        <v>139</v>
      </c>
      <c r="I127" s="593" t="s">
        <v>140</v>
      </c>
      <c r="J127" s="594" t="s">
        <v>180</v>
      </c>
      <c r="K127" s="598" t="s">
        <v>129</v>
      </c>
      <c r="L127" s="595" t="s">
        <v>130</v>
      </c>
      <c r="M127" s="596">
        <v>61.57</v>
      </c>
      <c r="N127" s="597" t="s">
        <v>23</v>
      </c>
      <c r="O127" s="593">
        <v>25</v>
      </c>
      <c r="P127" s="144">
        <v>61061</v>
      </c>
      <c r="R127" s="165" t="e">
        <f>_xlfn.XLOOKUP(Table3[[#This Row],[SKU]],'05_Daily_Orders'!$B$2:$B$328,'05_Daily_Orders'!G:G)</f>
        <v>#VALUE!</v>
      </c>
      <c r="S127" s="166" t="str">
        <f t="shared" si="1"/>
        <v/>
      </c>
      <c r="T127" s="566" t="e">
        <f ca="1">_xludf.IFNA(_xlfn.XLOOKUP(Table3[[#This Row],[SKU]],'00_Yield_Rates'!$B$2:$B$17,'00_Yield_Rates'!$E$2:$E$17),"")</f>
        <v>#NAME?</v>
      </c>
    </row>
    <row r="128" spans="1:20">
      <c r="A128" s="591" t="s">
        <v>124</v>
      </c>
      <c r="B128" s="592">
        <v>2065</v>
      </c>
      <c r="C128" s="593">
        <v>61010</v>
      </c>
      <c r="D128" s="593" t="s">
        <v>131</v>
      </c>
      <c r="E128" s="593" t="s">
        <v>155</v>
      </c>
      <c r="F128" s="593"/>
      <c r="G128" s="593">
        <v>8</v>
      </c>
      <c r="H128" s="593" t="s">
        <v>139</v>
      </c>
      <c r="I128" s="593" t="s">
        <v>140</v>
      </c>
      <c r="J128" s="594" t="s">
        <v>181</v>
      </c>
      <c r="K128" s="595" t="s">
        <v>129</v>
      </c>
      <c r="L128" s="595" t="s">
        <v>130</v>
      </c>
      <c r="M128" s="596">
        <v>26.74</v>
      </c>
      <c r="N128" s="597" t="s">
        <v>23</v>
      </c>
      <c r="O128" s="593">
        <v>25</v>
      </c>
      <c r="P128" s="144">
        <v>61010</v>
      </c>
      <c r="R128" s="165" t="e">
        <f>_xlfn.XLOOKUP(Table3[[#This Row],[SKU]],'05_Daily_Orders'!$B$2:$B$328,'05_Daily_Orders'!G:G)</f>
        <v>#VALUE!</v>
      </c>
      <c r="S128" s="166" t="str">
        <f t="shared" si="1"/>
        <v/>
      </c>
      <c r="T128" s="566" t="e">
        <f ca="1">_xludf.IFNA(_xlfn.XLOOKUP(Table3[[#This Row],[SKU]],'00_Yield_Rates'!$B$2:$B$17,'00_Yield_Rates'!$E$2:$E$17),"")</f>
        <v>#NAME?</v>
      </c>
    </row>
    <row r="129" spans="1:20">
      <c r="A129" s="591" t="s">
        <v>124</v>
      </c>
      <c r="B129" s="592">
        <v>2066</v>
      </c>
      <c r="C129" s="593" t="s">
        <v>100</v>
      </c>
      <c r="D129" s="593" t="s">
        <v>131</v>
      </c>
      <c r="E129" s="593" t="s">
        <v>40</v>
      </c>
      <c r="F129" s="593">
        <v>7.6016657922350399</v>
      </c>
      <c r="G129" s="593">
        <v>6</v>
      </c>
      <c r="H129" s="593" t="s">
        <v>139</v>
      </c>
      <c r="I129" s="593" t="s">
        <v>140</v>
      </c>
      <c r="J129" s="594" t="s">
        <v>182</v>
      </c>
      <c r="K129" s="595" t="s">
        <v>129</v>
      </c>
      <c r="L129" s="595" t="s">
        <v>130</v>
      </c>
      <c r="M129" s="596">
        <v>87.06</v>
      </c>
      <c r="N129" s="597" t="s">
        <v>23</v>
      </c>
      <c r="O129" s="593">
        <v>25</v>
      </c>
      <c r="P129" s="144" t="s">
        <v>100</v>
      </c>
      <c r="R129" s="165" t="e">
        <f>_xlfn.XLOOKUP(Table3[[#This Row],[SKU]],'05_Daily_Orders'!$B$2:$B$328,'05_Daily_Orders'!G:G)</f>
        <v>#VALUE!</v>
      </c>
      <c r="S129" s="166" t="str">
        <f t="shared" si="1"/>
        <v/>
      </c>
      <c r="T129" s="566" t="e">
        <f ca="1">_xludf.IFNA(_xlfn.XLOOKUP(Table3[[#This Row],[SKU]],'00_Yield_Rates'!$B$2:$B$17,'00_Yield_Rates'!$E$2:$E$17),"")</f>
        <v>#NAME?</v>
      </c>
    </row>
    <row r="130" spans="1:20">
      <c r="A130" s="591" t="s">
        <v>124</v>
      </c>
      <c r="B130" s="592">
        <v>2067</v>
      </c>
      <c r="C130" s="593" t="s">
        <v>118</v>
      </c>
      <c r="D130" s="593" t="s">
        <v>131</v>
      </c>
      <c r="E130" s="593" t="s">
        <v>21</v>
      </c>
      <c r="F130" s="593">
        <v>7.2794202898550697</v>
      </c>
      <c r="G130" s="593">
        <v>8</v>
      </c>
      <c r="H130" s="593" t="s">
        <v>139</v>
      </c>
      <c r="I130" s="593" t="s">
        <v>140</v>
      </c>
      <c r="J130" s="594" t="s">
        <v>183</v>
      </c>
      <c r="K130" s="595" t="s">
        <v>142</v>
      </c>
      <c r="L130" s="595" t="s">
        <v>130</v>
      </c>
      <c r="M130" s="596">
        <v>16.82</v>
      </c>
      <c r="N130" s="597" t="s">
        <v>23</v>
      </c>
      <c r="O130" s="593">
        <v>25</v>
      </c>
      <c r="P130" s="144" t="s">
        <v>118</v>
      </c>
      <c r="R130" s="165" t="e">
        <f>_xlfn.XLOOKUP(Table3[[#This Row],[SKU]],'05_Daily_Orders'!$B$2:$B$328,'05_Daily_Orders'!G:G)</f>
        <v>#VALUE!</v>
      </c>
      <c r="S130" s="166" t="str">
        <f t="shared" si="1"/>
        <v/>
      </c>
      <c r="T130" s="566" t="e">
        <f ca="1">_xludf.IFNA(_xlfn.XLOOKUP(Table3[[#This Row],[SKU]],'00_Yield_Rates'!$B$2:$B$17,'00_Yield_Rates'!$E$2:$E$17),"")</f>
        <v>#NAME?</v>
      </c>
    </row>
    <row r="131" spans="1:20">
      <c r="A131" s="591" t="s">
        <v>124</v>
      </c>
      <c r="B131" s="592">
        <v>2068</v>
      </c>
      <c r="C131" s="593" t="s">
        <v>102</v>
      </c>
      <c r="D131" s="593" t="s">
        <v>131</v>
      </c>
      <c r="E131" s="593" t="s">
        <v>24</v>
      </c>
      <c r="F131" s="593"/>
      <c r="G131" s="593">
        <v>12</v>
      </c>
      <c r="H131" s="593" t="s">
        <v>151</v>
      </c>
      <c r="I131" s="593" t="s">
        <v>127</v>
      </c>
      <c r="J131" s="594" t="s">
        <v>184</v>
      </c>
      <c r="K131" s="595" t="s">
        <v>129</v>
      </c>
      <c r="L131" s="595" t="s">
        <v>130</v>
      </c>
      <c r="M131" s="596">
        <v>121.26</v>
      </c>
      <c r="N131" s="597" t="s">
        <v>23</v>
      </c>
      <c r="O131" s="593">
        <v>25</v>
      </c>
      <c r="P131" s="144" t="s">
        <v>102</v>
      </c>
      <c r="R131" s="165" t="e">
        <f>_xlfn.XLOOKUP(Table3[[#This Row],[SKU]],'05_Daily_Orders'!$B$2:$B$328,'05_Daily_Orders'!G:G)</f>
        <v>#VALUE!</v>
      </c>
      <c r="S131" s="166" t="str">
        <f t="shared" si="1"/>
        <v/>
      </c>
      <c r="T131" s="566" t="e">
        <f ca="1">_xludf.IFNA(_xlfn.XLOOKUP(Table3[[#This Row],[SKU]],'00_Yield_Rates'!$B$2:$B$17,'00_Yield_Rates'!$E$2:$E$17),"")</f>
        <v>#NAME?</v>
      </c>
    </row>
    <row r="132" spans="1:20">
      <c r="A132" s="591" t="s">
        <v>124</v>
      </c>
      <c r="B132" s="592">
        <v>2069</v>
      </c>
      <c r="C132" s="593" t="s">
        <v>100</v>
      </c>
      <c r="D132" s="593" t="s">
        <v>135</v>
      </c>
      <c r="E132" s="593" t="s">
        <v>40</v>
      </c>
      <c r="F132" s="593">
        <v>9.0616734693877508</v>
      </c>
      <c r="G132" s="593">
        <v>12</v>
      </c>
      <c r="H132" s="593" t="s">
        <v>132</v>
      </c>
      <c r="I132" s="593" t="s">
        <v>127</v>
      </c>
      <c r="J132" s="594" t="s">
        <v>185</v>
      </c>
      <c r="K132" s="595" t="s">
        <v>129</v>
      </c>
      <c r="L132" s="598" t="s">
        <v>130</v>
      </c>
      <c r="M132" s="599">
        <v>16.71</v>
      </c>
      <c r="N132" s="597" t="s">
        <v>23</v>
      </c>
      <c r="O132" s="593">
        <v>25</v>
      </c>
      <c r="P132" s="144" t="s">
        <v>100</v>
      </c>
      <c r="R132" s="165" t="e">
        <f>_xlfn.XLOOKUP(Table3[[#This Row],[SKU]],'05_Daily_Orders'!$B$2:$B$328,'05_Daily_Orders'!G:G)</f>
        <v>#VALUE!</v>
      </c>
      <c r="S132" s="166" t="str">
        <f t="shared" si="1"/>
        <v/>
      </c>
      <c r="T132" s="566" t="e">
        <f ca="1">_xludf.IFNA(_xlfn.XLOOKUP(Table3[[#This Row],[SKU]],'00_Yield_Rates'!$B$2:$B$17,'00_Yield_Rates'!$E$2:$E$17),"")</f>
        <v>#NAME?</v>
      </c>
    </row>
    <row r="133" spans="1:20">
      <c r="A133" s="591" t="s">
        <v>124</v>
      </c>
      <c r="B133" s="600">
        <v>2070</v>
      </c>
      <c r="C133" s="593" t="s">
        <v>101</v>
      </c>
      <c r="D133" s="593" t="s">
        <v>135</v>
      </c>
      <c r="E133" s="593" t="s">
        <v>40</v>
      </c>
      <c r="F133" s="596">
        <v>9.2275391600453993</v>
      </c>
      <c r="G133" s="593">
        <v>12</v>
      </c>
      <c r="H133" s="593" t="s">
        <v>132</v>
      </c>
      <c r="I133" s="593" t="s">
        <v>127</v>
      </c>
      <c r="J133" s="594" t="s">
        <v>186</v>
      </c>
      <c r="K133" s="595" t="s">
        <v>129</v>
      </c>
      <c r="L133" s="595" t="s">
        <v>130</v>
      </c>
      <c r="M133" s="596">
        <v>116.71</v>
      </c>
      <c r="N133" s="597" t="s">
        <v>23</v>
      </c>
      <c r="O133" s="593">
        <v>25</v>
      </c>
      <c r="P133" s="144" t="s">
        <v>101</v>
      </c>
      <c r="R133" s="165" t="e">
        <f>_xlfn.XLOOKUP(Table3[[#This Row],[SKU]],'05_Daily_Orders'!$B$2:$B$328,'05_Daily_Orders'!G:G)</f>
        <v>#VALUE!</v>
      </c>
      <c r="S133" s="166" t="str">
        <f t="shared" si="1"/>
        <v/>
      </c>
      <c r="T133" s="566" t="e">
        <f ca="1">_xludf.IFNA(_xlfn.XLOOKUP(Table3[[#This Row],[SKU]],'00_Yield_Rates'!$B$2:$B$17,'00_Yield_Rates'!$E$2:$E$17),"")</f>
        <v>#NAME?</v>
      </c>
    </row>
    <row r="134" spans="1:20">
      <c r="A134" s="591" t="s">
        <v>124</v>
      </c>
      <c r="B134" s="592">
        <v>2071</v>
      </c>
      <c r="C134" s="593" t="s">
        <v>101</v>
      </c>
      <c r="D134" s="593" t="s">
        <v>135</v>
      </c>
      <c r="E134" s="593" t="s">
        <v>40</v>
      </c>
      <c r="F134" s="593">
        <v>8.2634039829302992</v>
      </c>
      <c r="G134" s="593">
        <v>6</v>
      </c>
      <c r="H134" s="593" t="s">
        <v>139</v>
      </c>
      <c r="I134" s="593" t="s">
        <v>140</v>
      </c>
      <c r="J134" s="594" t="s">
        <v>168</v>
      </c>
      <c r="K134" s="598" t="s">
        <v>129</v>
      </c>
      <c r="L134" s="595" t="s">
        <v>130</v>
      </c>
      <c r="M134" s="596">
        <v>105.01</v>
      </c>
      <c r="N134" s="597" t="s">
        <v>23</v>
      </c>
      <c r="O134" s="593">
        <v>25</v>
      </c>
      <c r="P134" s="144" t="s">
        <v>101</v>
      </c>
      <c r="R134" s="165" t="e">
        <f>_xlfn.XLOOKUP(Table3[[#This Row],[SKU]],'05_Daily_Orders'!$B$2:$B$328,'05_Daily_Orders'!G:G)</f>
        <v>#VALUE!</v>
      </c>
      <c r="S134" s="166" t="str">
        <f t="shared" si="1"/>
        <v/>
      </c>
      <c r="T134" s="566" t="e">
        <f ca="1">_xludf.IFNA(_xlfn.XLOOKUP(Table3[[#This Row],[SKU]],'00_Yield_Rates'!$B$2:$B$17,'00_Yield_Rates'!$E$2:$E$17),"")</f>
        <v>#NAME?</v>
      </c>
    </row>
    <row r="135" spans="1:20">
      <c r="A135" s="591" t="s">
        <v>124</v>
      </c>
      <c r="B135" s="600">
        <v>2072</v>
      </c>
      <c r="C135" s="593" t="s">
        <v>110</v>
      </c>
      <c r="D135" s="593" t="s">
        <v>135</v>
      </c>
      <c r="E135" s="593" t="s">
        <v>146</v>
      </c>
      <c r="F135" s="596"/>
      <c r="G135" s="593">
        <v>12</v>
      </c>
      <c r="H135" s="593" t="s">
        <v>132</v>
      </c>
      <c r="I135" s="593" t="s">
        <v>127</v>
      </c>
      <c r="J135" s="594" t="s">
        <v>172</v>
      </c>
      <c r="K135" s="595" t="s">
        <v>129</v>
      </c>
      <c r="L135" s="595" t="s">
        <v>130</v>
      </c>
      <c r="M135" s="596">
        <v>63.93</v>
      </c>
      <c r="N135" s="597" t="s">
        <v>23</v>
      </c>
      <c r="O135" s="593">
        <v>25</v>
      </c>
      <c r="P135" s="144" t="s">
        <v>110</v>
      </c>
      <c r="R135" s="165" t="e">
        <f>_xlfn.XLOOKUP(Table3[[#This Row],[SKU]],'05_Daily_Orders'!$B$2:$B$328,'05_Daily_Orders'!G:G)</f>
        <v>#VALUE!</v>
      </c>
      <c r="S135" s="166" t="str">
        <f t="shared" si="1"/>
        <v/>
      </c>
      <c r="T135" s="566" t="e">
        <f ca="1">_xludf.IFNA(_xlfn.XLOOKUP(Table3[[#This Row],[SKU]],'00_Yield_Rates'!$B$2:$B$17,'00_Yield_Rates'!$E$2:$E$17),"")</f>
        <v>#NAME?</v>
      </c>
    </row>
    <row r="136" spans="1:20">
      <c r="A136" s="591" t="s">
        <v>124</v>
      </c>
      <c r="B136" s="600">
        <v>2073</v>
      </c>
      <c r="C136" s="593">
        <v>61082</v>
      </c>
      <c r="D136" s="593" t="s">
        <v>135</v>
      </c>
      <c r="E136" s="593" t="s">
        <v>30</v>
      </c>
      <c r="F136" s="596"/>
      <c r="G136" s="593">
        <v>12</v>
      </c>
      <c r="H136" s="593" t="s">
        <v>132</v>
      </c>
      <c r="I136" s="593" t="s">
        <v>127</v>
      </c>
      <c r="J136" s="594" t="s">
        <v>173</v>
      </c>
      <c r="K136" s="595" t="s">
        <v>129</v>
      </c>
      <c r="L136" s="595" t="s">
        <v>130</v>
      </c>
      <c r="M136" s="596">
        <v>26.79</v>
      </c>
      <c r="N136" s="597" t="s">
        <v>23</v>
      </c>
      <c r="O136" s="593">
        <v>25</v>
      </c>
      <c r="P136" s="144">
        <v>61082</v>
      </c>
      <c r="R136" s="165" t="e">
        <f>_xlfn.XLOOKUP(Table3[[#This Row],[SKU]],'05_Daily_Orders'!$B$2:$B$328,'05_Daily_Orders'!G:G)</f>
        <v>#VALUE!</v>
      </c>
      <c r="S136" s="166" t="str">
        <f t="shared" si="1"/>
        <v/>
      </c>
      <c r="T136" s="566" t="e">
        <f ca="1">_xludf.IFNA(_xlfn.XLOOKUP(Table3[[#This Row],[SKU]],'00_Yield_Rates'!$B$2:$B$17,'00_Yield_Rates'!$E$2:$E$17),"")</f>
        <v>#NAME?</v>
      </c>
    </row>
    <row r="137" spans="1:20">
      <c r="A137" s="591" t="s">
        <v>124</v>
      </c>
      <c r="B137" s="592">
        <v>2074</v>
      </c>
      <c r="C137" s="593" t="s">
        <v>118</v>
      </c>
      <c r="D137" s="593" t="s">
        <v>135</v>
      </c>
      <c r="E137" s="593" t="s">
        <v>21</v>
      </c>
      <c r="F137" s="593">
        <v>7.3256159703240904</v>
      </c>
      <c r="G137" s="593">
        <v>12</v>
      </c>
      <c r="H137" s="593" t="s">
        <v>132</v>
      </c>
      <c r="I137" s="593" t="s">
        <v>127</v>
      </c>
      <c r="J137" s="594" t="s">
        <v>187</v>
      </c>
      <c r="K137" s="598" t="s">
        <v>142</v>
      </c>
      <c r="L137" s="595" t="s">
        <v>130</v>
      </c>
      <c r="M137" s="596">
        <v>33.61</v>
      </c>
      <c r="N137" s="597" t="s">
        <v>23</v>
      </c>
      <c r="O137" s="593">
        <v>25</v>
      </c>
      <c r="P137" s="144" t="s">
        <v>118</v>
      </c>
      <c r="R137" s="165" t="e">
        <f>_xlfn.XLOOKUP(Table3[[#This Row],[SKU]],'05_Daily_Orders'!$B$2:$B$328,'05_Daily_Orders'!G:G)</f>
        <v>#VALUE!</v>
      </c>
      <c r="S137" s="166" t="str">
        <f t="shared" si="1"/>
        <v/>
      </c>
      <c r="T137" s="566" t="e">
        <f ca="1">_xludf.IFNA(_xlfn.XLOOKUP(Table3[[#This Row],[SKU]],'00_Yield_Rates'!$B$2:$B$17,'00_Yield_Rates'!$E$2:$E$17),"")</f>
        <v>#NAME?</v>
      </c>
    </row>
    <row r="138" spans="1:20">
      <c r="A138" s="591" t="s">
        <v>124</v>
      </c>
      <c r="B138" s="592">
        <v>2075</v>
      </c>
      <c r="C138" s="593" t="s">
        <v>102</v>
      </c>
      <c r="D138" s="593" t="s">
        <v>135</v>
      </c>
      <c r="E138" s="593" t="s">
        <v>24</v>
      </c>
      <c r="F138" s="593">
        <v>7.8209931170108096</v>
      </c>
      <c r="G138" s="601">
        <v>12</v>
      </c>
      <c r="H138" s="601" t="s">
        <v>132</v>
      </c>
      <c r="I138" s="601" t="s">
        <v>127</v>
      </c>
      <c r="J138" s="602" t="s">
        <v>188</v>
      </c>
      <c r="K138" s="595" t="s">
        <v>129</v>
      </c>
      <c r="L138" s="595" t="s">
        <v>130</v>
      </c>
      <c r="M138" s="596">
        <v>113.84</v>
      </c>
      <c r="N138" s="597" t="s">
        <v>23</v>
      </c>
      <c r="O138" s="593">
        <v>25</v>
      </c>
      <c r="P138" s="144" t="s">
        <v>102</v>
      </c>
      <c r="R138" s="165" t="e">
        <f>_xlfn.XLOOKUP(Table3[[#This Row],[SKU]],'05_Daily_Orders'!$B$2:$B$328,'05_Daily_Orders'!G:G)</f>
        <v>#VALUE!</v>
      </c>
      <c r="S138" s="166" t="str">
        <f t="shared" si="1"/>
        <v/>
      </c>
      <c r="T138" s="566" t="e">
        <f ca="1">_xludf.IFNA(_xlfn.XLOOKUP(Table3[[#This Row],[SKU]],'00_Yield_Rates'!$B$2:$B$17,'00_Yield_Rates'!$E$2:$E$17),"")</f>
        <v>#NAME?</v>
      </c>
    </row>
    <row r="139" spans="1:20">
      <c r="A139" s="591" t="s">
        <v>124</v>
      </c>
      <c r="B139" s="592">
        <v>2076</v>
      </c>
      <c r="C139" s="593">
        <v>61010</v>
      </c>
      <c r="D139" s="593" t="s">
        <v>135</v>
      </c>
      <c r="E139" s="593" t="s">
        <v>189</v>
      </c>
      <c r="F139" s="593">
        <v>0</v>
      </c>
      <c r="G139" s="601">
        <v>12</v>
      </c>
      <c r="H139" s="601" t="s">
        <v>132</v>
      </c>
      <c r="I139" s="601" t="s">
        <v>127</v>
      </c>
      <c r="J139" s="602" t="s">
        <v>190</v>
      </c>
      <c r="K139" s="598" t="s">
        <v>129</v>
      </c>
      <c r="L139" s="598" t="s">
        <v>130</v>
      </c>
      <c r="M139" s="599">
        <v>25.87</v>
      </c>
      <c r="N139" s="597" t="s">
        <v>23</v>
      </c>
      <c r="O139" s="593">
        <v>25</v>
      </c>
      <c r="P139" s="144">
        <v>61010</v>
      </c>
      <c r="R139" s="165" t="e">
        <f>_xlfn.XLOOKUP(Table3[[#This Row],[SKU]],'05_Daily_Orders'!$B$2:$B$328,'05_Daily_Orders'!G:G)</f>
        <v>#VALUE!</v>
      </c>
      <c r="S139" s="166" t="str">
        <f t="shared" si="1"/>
        <v/>
      </c>
      <c r="T139" s="566" t="e">
        <f ca="1">_xludf.IFNA(_xlfn.XLOOKUP(Table3[[#This Row],[SKU]],'00_Yield_Rates'!$B$2:$B$17,'00_Yield_Rates'!$E$2:$E$17),"")</f>
        <v>#NAME?</v>
      </c>
    </row>
    <row r="140" spans="1:20">
      <c r="A140" s="591" t="s">
        <v>124</v>
      </c>
      <c r="B140" s="592">
        <v>2077</v>
      </c>
      <c r="C140" s="593">
        <v>61061</v>
      </c>
      <c r="D140" s="593" t="s">
        <v>135</v>
      </c>
      <c r="E140" s="593" t="s">
        <v>26</v>
      </c>
      <c r="F140" s="593">
        <v>9.7515820734341201</v>
      </c>
      <c r="G140" s="601">
        <v>6</v>
      </c>
      <c r="H140" s="601" t="s">
        <v>143</v>
      </c>
      <c r="I140" s="601" t="s">
        <v>140</v>
      </c>
      <c r="J140" s="602" t="s">
        <v>191</v>
      </c>
      <c r="K140" s="598" t="s">
        <v>129</v>
      </c>
      <c r="L140" s="598" t="s">
        <v>130</v>
      </c>
      <c r="M140" s="599">
        <v>77.92</v>
      </c>
      <c r="N140" s="597" t="s">
        <v>23</v>
      </c>
      <c r="O140" s="593">
        <v>25</v>
      </c>
      <c r="P140" s="144">
        <v>61061</v>
      </c>
      <c r="R140" s="165" t="e">
        <f>_xlfn.XLOOKUP(Table3[[#This Row],[SKU]],'05_Daily_Orders'!$B$2:$B$328,'05_Daily_Orders'!G:G)</f>
        <v>#VALUE!</v>
      </c>
      <c r="S140" s="166" t="str">
        <f t="shared" si="1"/>
        <v/>
      </c>
      <c r="T140" s="566" t="e">
        <f ca="1">_xludf.IFNA(_xlfn.XLOOKUP(Table3[[#This Row],[SKU]],'00_Yield_Rates'!$B$2:$B$17,'00_Yield_Rates'!$E$2:$E$17),"")</f>
        <v>#NAME?</v>
      </c>
    </row>
    <row r="141" spans="1:20">
      <c r="A141" s="591" t="s">
        <v>124</v>
      </c>
      <c r="B141" s="592">
        <v>2078</v>
      </c>
      <c r="C141" s="593">
        <v>203891</v>
      </c>
      <c r="D141" s="593" t="s">
        <v>135</v>
      </c>
      <c r="E141" s="593" t="s">
        <v>153</v>
      </c>
      <c r="F141" s="593">
        <v>8.9391652470187299</v>
      </c>
      <c r="G141" s="601">
        <v>6</v>
      </c>
      <c r="H141" s="601" t="s">
        <v>132</v>
      </c>
      <c r="I141" s="601" t="s">
        <v>127</v>
      </c>
      <c r="J141" s="602" t="s">
        <v>192</v>
      </c>
      <c r="K141" s="595" t="s">
        <v>129</v>
      </c>
      <c r="L141" s="598" t="s">
        <v>130</v>
      </c>
      <c r="M141" s="599">
        <v>160.44999999999999</v>
      </c>
      <c r="N141" s="597" t="s">
        <v>23</v>
      </c>
      <c r="O141" s="593">
        <v>25</v>
      </c>
      <c r="P141" s="144">
        <v>203891</v>
      </c>
      <c r="R141" s="165" t="e">
        <f>_xlfn.XLOOKUP(Table3[[#This Row],[SKU]],'05_Daily_Orders'!$B$2:$B$328,'05_Daily_Orders'!G:G)</f>
        <v>#VALUE!</v>
      </c>
      <c r="S141" s="166" t="str">
        <f t="shared" si="1"/>
        <v/>
      </c>
      <c r="T141" s="566" t="e">
        <f ca="1">_xludf.IFNA(_xlfn.XLOOKUP(Table3[[#This Row],[SKU]],'00_Yield_Rates'!$B$2:$B$17,'00_Yield_Rates'!$E$2:$E$17),"")</f>
        <v>#NAME?</v>
      </c>
    </row>
    <row r="142" spans="1:20">
      <c r="A142" s="591" t="s">
        <v>124</v>
      </c>
      <c r="B142" s="592">
        <v>2082</v>
      </c>
      <c r="C142" s="593" t="s">
        <v>102</v>
      </c>
      <c r="D142" s="593" t="s">
        <v>135</v>
      </c>
      <c r="E142" s="593" t="s">
        <v>24</v>
      </c>
      <c r="F142" s="593">
        <v>8.5800315075133202</v>
      </c>
      <c r="G142" s="601">
        <v>8</v>
      </c>
      <c r="H142" s="601" t="s">
        <v>139</v>
      </c>
      <c r="I142" s="601" t="s">
        <v>140</v>
      </c>
      <c r="J142" s="602" t="s">
        <v>193</v>
      </c>
      <c r="K142" s="595" t="s">
        <v>129</v>
      </c>
      <c r="L142" s="598" t="s">
        <v>130</v>
      </c>
      <c r="M142" s="599">
        <v>107.06</v>
      </c>
      <c r="N142" s="597" t="s">
        <v>23</v>
      </c>
      <c r="O142" s="593">
        <v>25</v>
      </c>
      <c r="P142" s="144" t="s">
        <v>102</v>
      </c>
      <c r="R142" s="165" t="e">
        <f>_xlfn.XLOOKUP(Table3[[#This Row],[SKU]],'05_Daily_Orders'!$B$2:$B$328,'05_Daily_Orders'!G:G)</f>
        <v>#VALUE!</v>
      </c>
      <c r="S142" s="166" t="str">
        <f t="shared" si="1"/>
        <v/>
      </c>
      <c r="T142" s="566" t="e">
        <f ca="1">_xludf.IFNA(_xlfn.XLOOKUP(Table3[[#This Row],[SKU]],'00_Yield_Rates'!$B$2:$B$17,'00_Yield_Rates'!$E$2:$E$17),"")</f>
        <v>#NAME?</v>
      </c>
    </row>
    <row r="143" spans="1:20">
      <c r="A143" s="591" t="s">
        <v>124</v>
      </c>
      <c r="B143" s="592">
        <v>2084</v>
      </c>
      <c r="C143" s="593" t="s">
        <v>106</v>
      </c>
      <c r="D143" s="593" t="s">
        <v>131</v>
      </c>
      <c r="E143" s="593" t="s">
        <v>24</v>
      </c>
      <c r="F143" s="593">
        <v>5.9302396021699799</v>
      </c>
      <c r="G143" s="601">
        <v>8</v>
      </c>
      <c r="H143" s="601" t="s">
        <v>151</v>
      </c>
      <c r="I143" s="601" t="s">
        <v>127</v>
      </c>
      <c r="J143" s="602" t="s">
        <v>194</v>
      </c>
      <c r="K143" s="595" t="s">
        <v>129</v>
      </c>
      <c r="L143" s="598" t="s">
        <v>130</v>
      </c>
      <c r="M143" s="599">
        <v>91.74</v>
      </c>
      <c r="N143" s="597" t="s">
        <v>44</v>
      </c>
      <c r="O143" s="593">
        <v>25</v>
      </c>
      <c r="P143" s="144" t="s">
        <v>106</v>
      </c>
      <c r="R143" s="165" t="e">
        <f>_xlfn.XLOOKUP(Table3[[#This Row],[SKU]],'05_Daily_Orders'!$B$2:$B$328,'05_Daily_Orders'!G:G)</f>
        <v>#VALUE!</v>
      </c>
      <c r="S143" s="166" t="str">
        <f t="shared" si="1"/>
        <v/>
      </c>
      <c r="T143" s="566" t="e">
        <f ca="1">_xludf.IFNA(_xlfn.XLOOKUP(Table3[[#This Row],[SKU]],'00_Yield_Rates'!$B$2:$B$17,'00_Yield_Rates'!$E$2:$E$17),"")</f>
        <v>#NAME?</v>
      </c>
    </row>
    <row r="144" spans="1:20">
      <c r="A144" s="591" t="s">
        <v>124</v>
      </c>
      <c r="B144" s="592">
        <v>2085</v>
      </c>
      <c r="C144" s="593" t="s">
        <v>118</v>
      </c>
      <c r="D144" s="593" t="s">
        <v>131</v>
      </c>
      <c r="E144" s="593" t="s">
        <v>21</v>
      </c>
      <c r="F144" s="593">
        <v>4.8638857522417798</v>
      </c>
      <c r="G144" s="601"/>
      <c r="H144" s="601" t="s">
        <v>151</v>
      </c>
      <c r="I144" s="601" t="s">
        <v>127</v>
      </c>
      <c r="J144" s="602" t="s">
        <v>195</v>
      </c>
      <c r="K144" s="598" t="s">
        <v>142</v>
      </c>
      <c r="L144" s="598" t="s">
        <v>130</v>
      </c>
      <c r="M144" s="599">
        <v>37.380000000000003</v>
      </c>
      <c r="N144" s="597" t="s">
        <v>23</v>
      </c>
      <c r="O144" s="593">
        <v>25</v>
      </c>
      <c r="P144" s="144" t="s">
        <v>118</v>
      </c>
      <c r="R144" s="165" t="e">
        <f>_xlfn.XLOOKUP(Table3[[#This Row],[SKU]],'05_Daily_Orders'!$B$2:$B$328,'05_Daily_Orders'!G:G)</f>
        <v>#VALUE!</v>
      </c>
      <c r="S144" s="166" t="str">
        <f t="shared" si="1"/>
        <v/>
      </c>
      <c r="T144" s="566" t="e">
        <f ca="1">_xludf.IFNA(_xlfn.XLOOKUP(Table3[[#This Row],[SKU]],'00_Yield_Rates'!$B$2:$B$17,'00_Yield_Rates'!$E$2:$E$17),"")</f>
        <v>#NAME?</v>
      </c>
    </row>
    <row r="145" spans="1:20">
      <c r="A145" s="591" t="s">
        <v>124</v>
      </c>
      <c r="B145" s="592">
        <v>2086</v>
      </c>
      <c r="C145" s="593">
        <v>61050</v>
      </c>
      <c r="D145" s="593" t="s">
        <v>196</v>
      </c>
      <c r="E145" s="593" t="s">
        <v>24</v>
      </c>
      <c r="F145" s="593"/>
      <c r="G145" s="601">
        <v>12</v>
      </c>
      <c r="H145" s="601" t="s">
        <v>132</v>
      </c>
      <c r="I145" s="601" t="s">
        <v>127</v>
      </c>
      <c r="J145" s="602" t="s">
        <v>197</v>
      </c>
      <c r="K145" s="595" t="s">
        <v>129</v>
      </c>
      <c r="L145" s="598" t="s">
        <v>130</v>
      </c>
      <c r="M145" s="599">
        <v>85.37</v>
      </c>
      <c r="N145" s="597" t="s">
        <v>37</v>
      </c>
      <c r="O145" s="593">
        <v>25</v>
      </c>
      <c r="P145" s="144">
        <v>61050</v>
      </c>
      <c r="R145" s="165" t="e">
        <f>_xlfn.XLOOKUP(Table3[[#This Row],[SKU]],'05_Daily_Orders'!$B$2:$B$328,'05_Daily_Orders'!G:G)</f>
        <v>#VALUE!</v>
      </c>
      <c r="S145" s="166" t="str">
        <f t="shared" si="1"/>
        <v/>
      </c>
      <c r="T145" s="566" t="e">
        <f ca="1">_xludf.IFNA(_xlfn.XLOOKUP(Table3[[#This Row],[SKU]],'00_Yield_Rates'!$B$2:$B$17,'00_Yield_Rates'!$E$2:$E$17),"")</f>
        <v>#NAME?</v>
      </c>
    </row>
    <row r="146" spans="1:20">
      <c r="A146" s="591" t="s">
        <v>124</v>
      </c>
      <c r="B146" s="592">
        <v>2087</v>
      </c>
      <c r="C146" s="593">
        <v>61050</v>
      </c>
      <c r="D146" s="593" t="s">
        <v>196</v>
      </c>
      <c r="E146" s="601" t="s">
        <v>24</v>
      </c>
      <c r="F146" s="593"/>
      <c r="G146" s="601">
        <v>8</v>
      </c>
      <c r="H146" s="601" t="s">
        <v>198</v>
      </c>
      <c r="I146" s="601" t="s">
        <v>127</v>
      </c>
      <c r="J146" s="602" t="s">
        <v>199</v>
      </c>
      <c r="K146" s="595" t="s">
        <v>129</v>
      </c>
      <c r="L146" s="598" t="s">
        <v>130</v>
      </c>
      <c r="M146" s="599">
        <v>142.94</v>
      </c>
      <c r="N146" s="597" t="s">
        <v>37</v>
      </c>
      <c r="O146" s="593">
        <v>25</v>
      </c>
      <c r="P146" s="144">
        <v>61050</v>
      </c>
      <c r="R146" s="165" t="e">
        <f>_xlfn.XLOOKUP(Table3[[#This Row],[SKU]],'05_Daily_Orders'!$B$2:$B$328,'05_Daily_Orders'!G:G)</f>
        <v>#VALUE!</v>
      </c>
      <c r="S146" s="166" t="str">
        <f t="shared" si="1"/>
        <v/>
      </c>
      <c r="T146" s="566" t="e">
        <f ca="1">_xludf.IFNA(_xlfn.XLOOKUP(Table3[[#This Row],[SKU]],'00_Yield_Rates'!$B$2:$B$17,'00_Yield_Rates'!$E$2:$E$17),"")</f>
        <v>#NAME?</v>
      </c>
    </row>
    <row r="147" spans="1:20">
      <c r="A147" s="591" t="s">
        <v>124</v>
      </c>
      <c r="B147" s="592">
        <v>2088</v>
      </c>
      <c r="C147" s="593">
        <v>61054</v>
      </c>
      <c r="D147" s="593" t="s">
        <v>196</v>
      </c>
      <c r="E147" s="601" t="s">
        <v>200</v>
      </c>
      <c r="F147" s="593"/>
      <c r="G147" s="601">
        <v>12</v>
      </c>
      <c r="H147" s="601" t="s">
        <v>132</v>
      </c>
      <c r="I147" s="601" t="s">
        <v>127</v>
      </c>
      <c r="J147" s="602" t="s">
        <v>201</v>
      </c>
      <c r="K147" s="595" t="s">
        <v>142</v>
      </c>
      <c r="L147" s="603" t="s">
        <v>130</v>
      </c>
      <c r="M147" s="604">
        <v>36.86</v>
      </c>
      <c r="N147" s="597" t="s">
        <v>37</v>
      </c>
      <c r="O147" s="593">
        <v>25</v>
      </c>
      <c r="P147" s="144">
        <v>61054</v>
      </c>
      <c r="R147" s="165" t="e">
        <f>_xlfn.XLOOKUP(Table3[[#This Row],[SKU]],'05_Daily_Orders'!$B$2:$B$328,'05_Daily_Orders'!G:G)</f>
        <v>#VALUE!</v>
      </c>
      <c r="S147" s="166" t="str">
        <f t="shared" si="1"/>
        <v/>
      </c>
      <c r="T147" s="566" t="e">
        <f ca="1">_xludf.IFNA(_xlfn.XLOOKUP(Table3[[#This Row],[SKU]],'00_Yield_Rates'!$B$2:$B$17,'00_Yield_Rates'!$E$2:$E$17),"")</f>
        <v>#NAME?</v>
      </c>
    </row>
    <row r="148" spans="1:20">
      <c r="A148" s="591" t="s">
        <v>124</v>
      </c>
      <c r="B148" s="592">
        <v>2089</v>
      </c>
      <c r="C148" s="593">
        <v>61040</v>
      </c>
      <c r="D148" s="593" t="s">
        <v>196</v>
      </c>
      <c r="E148" s="593" t="s">
        <v>40</v>
      </c>
      <c r="F148" s="593"/>
      <c r="G148" s="601">
        <v>12</v>
      </c>
      <c r="H148" s="601" t="s">
        <v>132</v>
      </c>
      <c r="I148" s="601" t="s">
        <v>127</v>
      </c>
      <c r="J148" s="602" t="s">
        <v>202</v>
      </c>
      <c r="K148" s="595" t="s">
        <v>129</v>
      </c>
      <c r="L148" s="598" t="s">
        <v>130</v>
      </c>
      <c r="M148" s="599">
        <v>97.33</v>
      </c>
      <c r="N148" s="597" t="s">
        <v>37</v>
      </c>
      <c r="O148" s="593">
        <v>25</v>
      </c>
      <c r="P148" s="144">
        <v>61040</v>
      </c>
      <c r="R148" s="165" t="e">
        <f>_xlfn.XLOOKUP(Table3[[#This Row],[SKU]],'05_Daily_Orders'!$B$2:$B$328,'05_Daily_Orders'!G:G)</f>
        <v>#VALUE!</v>
      </c>
      <c r="S148" s="166" t="str">
        <f t="shared" si="1"/>
        <v/>
      </c>
      <c r="T148" s="566" t="e">
        <f ca="1">_xludf.IFNA(_xlfn.XLOOKUP(Table3[[#This Row],[SKU]],'00_Yield_Rates'!$B$2:$B$17,'00_Yield_Rates'!$E$2:$E$17),"")</f>
        <v>#NAME?</v>
      </c>
    </row>
    <row r="149" spans="1:20">
      <c r="A149" s="591" t="s">
        <v>124</v>
      </c>
      <c r="B149" s="592">
        <v>2090</v>
      </c>
      <c r="C149" s="593">
        <v>61040</v>
      </c>
      <c r="D149" s="593" t="s">
        <v>196</v>
      </c>
      <c r="E149" s="593" t="s">
        <v>40</v>
      </c>
      <c r="F149" s="593"/>
      <c r="G149" s="601">
        <v>8</v>
      </c>
      <c r="H149" s="601" t="s">
        <v>139</v>
      </c>
      <c r="I149" s="601" t="s">
        <v>140</v>
      </c>
      <c r="J149" s="602" t="s">
        <v>203</v>
      </c>
      <c r="K149" s="595" t="s">
        <v>129</v>
      </c>
      <c r="L149" s="598" t="s">
        <v>130</v>
      </c>
      <c r="M149" s="599">
        <v>150.72</v>
      </c>
      <c r="N149" s="597" t="s">
        <v>37</v>
      </c>
      <c r="O149" s="593">
        <v>25</v>
      </c>
      <c r="P149" s="144">
        <v>61040</v>
      </c>
      <c r="R149" s="165" t="e">
        <f>_xlfn.XLOOKUP(Table3[[#This Row],[SKU]],'05_Daily_Orders'!$B$2:$B$328,'05_Daily_Orders'!G:G)</f>
        <v>#VALUE!</v>
      </c>
      <c r="S149" s="166" t="str">
        <f t="shared" si="1"/>
        <v/>
      </c>
      <c r="T149" s="566" t="e">
        <f ca="1">_xludf.IFNA(_xlfn.XLOOKUP(Table3[[#This Row],[SKU]],'00_Yield_Rates'!$B$2:$B$17,'00_Yield_Rates'!$E$2:$E$17),"")</f>
        <v>#NAME?</v>
      </c>
    </row>
    <row r="150" spans="1:20">
      <c r="A150" s="591" t="s">
        <v>124</v>
      </c>
      <c r="B150" s="592">
        <v>2091</v>
      </c>
      <c r="C150" s="593">
        <v>61061</v>
      </c>
      <c r="D150" s="593" t="s">
        <v>196</v>
      </c>
      <c r="E150" s="593" t="s">
        <v>26</v>
      </c>
      <c r="F150" s="593"/>
      <c r="G150" s="593">
        <v>8</v>
      </c>
      <c r="H150" s="593" t="s">
        <v>139</v>
      </c>
      <c r="I150" s="593" t="s">
        <v>140</v>
      </c>
      <c r="J150" s="594" t="s">
        <v>204</v>
      </c>
      <c r="K150" s="598" t="s">
        <v>129</v>
      </c>
      <c r="L150" s="595" t="s">
        <v>130</v>
      </c>
      <c r="M150" s="596">
        <v>79.64</v>
      </c>
      <c r="N150" s="597" t="s">
        <v>37</v>
      </c>
      <c r="O150" s="593">
        <v>25</v>
      </c>
      <c r="P150" s="144">
        <v>61061</v>
      </c>
      <c r="R150" s="165" t="e">
        <f>_xlfn.XLOOKUP(Table3[[#This Row],[SKU]],'05_Daily_Orders'!$B$2:$B$328,'05_Daily_Orders'!G:G)</f>
        <v>#VALUE!</v>
      </c>
      <c r="S150" s="166" t="str">
        <f t="shared" si="1"/>
        <v/>
      </c>
      <c r="T150" s="566" t="e">
        <f ca="1">_xludf.IFNA(_xlfn.XLOOKUP(Table3[[#This Row],[SKU]],'00_Yield_Rates'!$B$2:$B$17,'00_Yield_Rates'!$E$2:$E$17),"")</f>
        <v>#NAME?</v>
      </c>
    </row>
    <row r="151" spans="1:20">
      <c r="A151" s="591" t="s">
        <v>124</v>
      </c>
      <c r="B151" s="592">
        <v>2092</v>
      </c>
      <c r="C151" s="593">
        <v>61072</v>
      </c>
      <c r="D151" s="593" t="s">
        <v>196</v>
      </c>
      <c r="E151" s="593" t="s">
        <v>146</v>
      </c>
      <c r="F151" s="593"/>
      <c r="G151" s="593">
        <v>12</v>
      </c>
      <c r="H151" s="593" t="s">
        <v>132</v>
      </c>
      <c r="I151" s="593" t="s">
        <v>127</v>
      </c>
      <c r="J151" s="594" t="s">
        <v>205</v>
      </c>
      <c r="K151" s="595" t="s">
        <v>129</v>
      </c>
      <c r="L151" s="595" t="s">
        <v>130</v>
      </c>
      <c r="M151" s="596">
        <v>87.67</v>
      </c>
      <c r="N151" s="597" t="s">
        <v>37</v>
      </c>
      <c r="O151" s="593">
        <v>25</v>
      </c>
      <c r="P151" s="144">
        <v>61072</v>
      </c>
      <c r="R151" s="165" t="e">
        <f>_xlfn.XLOOKUP(Table3[[#This Row],[SKU]],'05_Daily_Orders'!$B$2:$B$328,'05_Daily_Orders'!G:G)</f>
        <v>#VALUE!</v>
      </c>
      <c r="S151" s="166" t="str">
        <f t="shared" si="1"/>
        <v/>
      </c>
      <c r="T151" s="566" t="e">
        <f ca="1">_xludf.IFNA(_xlfn.XLOOKUP(Table3[[#This Row],[SKU]],'00_Yield_Rates'!$B$2:$B$17,'00_Yield_Rates'!$E$2:$E$17),"")</f>
        <v>#NAME?</v>
      </c>
    </row>
    <row r="152" spans="1:20">
      <c r="A152" s="591" t="s">
        <v>124</v>
      </c>
      <c r="B152" s="592">
        <v>2093</v>
      </c>
      <c r="C152" s="593">
        <v>61072</v>
      </c>
      <c r="D152" s="593" t="s">
        <v>196</v>
      </c>
      <c r="E152" s="593" t="s">
        <v>146</v>
      </c>
      <c r="F152" s="593"/>
      <c r="G152" s="593">
        <v>8</v>
      </c>
      <c r="H152" s="593" t="s">
        <v>139</v>
      </c>
      <c r="I152" s="593" t="s">
        <v>140</v>
      </c>
      <c r="J152" s="594" t="s">
        <v>206</v>
      </c>
      <c r="K152" s="598" t="s">
        <v>129</v>
      </c>
      <c r="L152" s="595" t="s">
        <v>130</v>
      </c>
      <c r="M152" s="596">
        <v>70.47</v>
      </c>
      <c r="N152" s="597" t="s">
        <v>37</v>
      </c>
      <c r="O152" s="593">
        <v>25</v>
      </c>
      <c r="P152" s="144">
        <v>61072</v>
      </c>
      <c r="R152" s="165" t="e">
        <f>_xlfn.XLOOKUP(Table3[[#This Row],[SKU]],'05_Daily_Orders'!$B$2:$B$328,'05_Daily_Orders'!G:G)</f>
        <v>#VALUE!</v>
      </c>
      <c r="S152" s="166" t="str">
        <f t="shared" si="1"/>
        <v/>
      </c>
      <c r="T152" s="566" t="e">
        <f ca="1">_xludf.IFNA(_xlfn.XLOOKUP(Table3[[#This Row],[SKU]],'00_Yield_Rates'!$B$2:$B$17,'00_Yield_Rates'!$E$2:$E$17),"")</f>
        <v>#NAME?</v>
      </c>
    </row>
    <row r="153" spans="1:20">
      <c r="A153" s="591" t="s">
        <v>124</v>
      </c>
      <c r="B153" s="592">
        <v>2094</v>
      </c>
      <c r="C153" s="593">
        <v>61077</v>
      </c>
      <c r="D153" s="593" t="s">
        <v>196</v>
      </c>
      <c r="E153" s="593" t="s">
        <v>30</v>
      </c>
      <c r="F153" s="593"/>
      <c r="G153" s="593">
        <v>12</v>
      </c>
      <c r="H153" s="593" t="s">
        <v>132</v>
      </c>
      <c r="I153" s="593" t="s">
        <v>127</v>
      </c>
      <c r="J153" s="594" t="s">
        <v>207</v>
      </c>
      <c r="K153" s="598" t="s">
        <v>129</v>
      </c>
      <c r="L153" s="595" t="s">
        <v>130</v>
      </c>
      <c r="M153" s="596">
        <v>30.44</v>
      </c>
      <c r="N153" s="597" t="s">
        <v>37</v>
      </c>
      <c r="O153" s="593">
        <v>25</v>
      </c>
      <c r="P153" s="144">
        <v>61077</v>
      </c>
      <c r="R153" s="165" t="e">
        <f>_xlfn.XLOOKUP(Table3[[#This Row],[SKU]],'05_Daily_Orders'!$B$2:$B$328,'05_Daily_Orders'!G:G)</f>
        <v>#VALUE!</v>
      </c>
      <c r="S153" s="166" t="str">
        <f t="shared" si="1"/>
        <v/>
      </c>
      <c r="T153" s="566" t="e">
        <f ca="1">_xludf.IFNA(_xlfn.XLOOKUP(Table3[[#This Row],[SKU]],'00_Yield_Rates'!$B$2:$B$17,'00_Yield_Rates'!$E$2:$E$17),"")</f>
        <v>#NAME?</v>
      </c>
    </row>
    <row r="154" spans="1:20">
      <c r="A154" s="591" t="s">
        <v>124</v>
      </c>
      <c r="B154" s="592">
        <v>2095</v>
      </c>
      <c r="C154" s="593">
        <v>61077</v>
      </c>
      <c r="D154" s="593" t="s">
        <v>196</v>
      </c>
      <c r="E154" s="593" t="s">
        <v>30</v>
      </c>
      <c r="F154" s="593"/>
      <c r="G154" s="593">
        <v>8</v>
      </c>
      <c r="H154" s="593" t="s">
        <v>139</v>
      </c>
      <c r="I154" s="593" t="s">
        <v>140</v>
      </c>
      <c r="J154" s="594" t="s">
        <v>208</v>
      </c>
      <c r="K154" s="598" t="s">
        <v>129</v>
      </c>
      <c r="L154" s="595" t="s">
        <v>130</v>
      </c>
      <c r="M154" s="596">
        <v>68.760000000000005</v>
      </c>
      <c r="N154" s="597" t="s">
        <v>37</v>
      </c>
      <c r="O154" s="593">
        <v>25</v>
      </c>
      <c r="P154" s="144">
        <v>61077</v>
      </c>
      <c r="R154" s="165" t="e">
        <f>_xlfn.XLOOKUP(Table3[[#This Row],[SKU]],'05_Daily_Orders'!$B$2:$B$328,'05_Daily_Orders'!G:G)</f>
        <v>#VALUE!</v>
      </c>
      <c r="S154" s="166" t="str">
        <f t="shared" si="1"/>
        <v/>
      </c>
      <c r="T154" s="566" t="e">
        <f ca="1">_xludf.IFNA(_xlfn.XLOOKUP(Table3[[#This Row],[SKU]],'00_Yield_Rates'!$B$2:$B$17,'00_Yield_Rates'!$E$2:$E$17),"")</f>
        <v>#NAME?</v>
      </c>
    </row>
    <row r="155" spans="1:20">
      <c r="A155" s="591" t="s">
        <v>124</v>
      </c>
      <c r="B155" s="592">
        <v>2096</v>
      </c>
      <c r="C155" s="593">
        <v>61086</v>
      </c>
      <c r="D155" s="593" t="s">
        <v>196</v>
      </c>
      <c r="E155" s="593" t="s">
        <v>21</v>
      </c>
      <c r="F155" s="593"/>
      <c r="G155" s="593">
        <v>12</v>
      </c>
      <c r="H155" s="593" t="s">
        <v>132</v>
      </c>
      <c r="I155" s="593" t="s">
        <v>127</v>
      </c>
      <c r="J155" s="594" t="s">
        <v>209</v>
      </c>
      <c r="K155" s="598" t="s">
        <v>142</v>
      </c>
      <c r="L155" s="595" t="s">
        <v>130</v>
      </c>
      <c r="M155" s="596">
        <v>42.29</v>
      </c>
      <c r="N155" s="597" t="s">
        <v>37</v>
      </c>
      <c r="O155" s="593">
        <v>25</v>
      </c>
      <c r="P155" s="144">
        <v>61086</v>
      </c>
      <c r="R155" s="165" t="e">
        <f>_xlfn.XLOOKUP(Table3[[#This Row],[SKU]],'05_Daily_Orders'!$B$2:$B$328,'05_Daily_Orders'!G:G)</f>
        <v>#VALUE!</v>
      </c>
      <c r="S155" s="166" t="str">
        <f t="shared" si="1"/>
        <v/>
      </c>
      <c r="T155" s="566" t="e">
        <f ca="1">_xludf.IFNA(_xlfn.XLOOKUP(Table3[[#This Row],[SKU]],'00_Yield_Rates'!$B$2:$B$17,'00_Yield_Rates'!$E$2:$E$17),"")</f>
        <v>#NAME?</v>
      </c>
    </row>
    <row r="156" spans="1:20">
      <c r="A156" s="591" t="s">
        <v>124</v>
      </c>
      <c r="B156" s="592">
        <v>2097</v>
      </c>
      <c r="C156" s="593">
        <v>61086</v>
      </c>
      <c r="D156" s="593" t="s">
        <v>196</v>
      </c>
      <c r="E156" s="593" t="s">
        <v>21</v>
      </c>
      <c r="F156" s="593"/>
      <c r="G156" s="593">
        <v>8</v>
      </c>
      <c r="H156" s="593" t="s">
        <v>198</v>
      </c>
      <c r="I156" s="593" t="s">
        <v>140</v>
      </c>
      <c r="J156" s="594" t="s">
        <v>210</v>
      </c>
      <c r="K156" s="595" t="s">
        <v>142</v>
      </c>
      <c r="L156" s="595" t="s">
        <v>130</v>
      </c>
      <c r="M156" s="596">
        <v>50.41</v>
      </c>
      <c r="N156" s="597" t="s">
        <v>37</v>
      </c>
      <c r="O156" s="593">
        <v>25</v>
      </c>
      <c r="P156" s="144">
        <v>61086</v>
      </c>
      <c r="R156" s="165" t="e">
        <f>_xlfn.XLOOKUP(Table3[[#This Row],[SKU]],'05_Daily_Orders'!$B$2:$B$328,'05_Daily_Orders'!G:G)</f>
        <v>#VALUE!</v>
      </c>
      <c r="S156" s="166" t="str">
        <f t="shared" si="1"/>
        <v/>
      </c>
      <c r="T156" s="566" t="e">
        <f ca="1">_xludf.IFNA(_xlfn.XLOOKUP(Table3[[#This Row],[SKU]],'00_Yield_Rates'!$B$2:$B$17,'00_Yield_Rates'!$E$2:$E$17),"")</f>
        <v>#NAME?</v>
      </c>
    </row>
    <row r="157" spans="1:20">
      <c r="A157" s="591" t="s">
        <v>124</v>
      </c>
      <c r="B157" s="592">
        <v>2098</v>
      </c>
      <c r="C157" s="593">
        <v>61014</v>
      </c>
      <c r="D157" s="593" t="s">
        <v>196</v>
      </c>
      <c r="E157" s="593" t="s">
        <v>34</v>
      </c>
      <c r="F157" s="593"/>
      <c r="G157" s="593">
        <v>8</v>
      </c>
      <c r="H157" s="593" t="s">
        <v>139</v>
      </c>
      <c r="I157" s="593" t="s">
        <v>127</v>
      </c>
      <c r="J157" s="594" t="s">
        <v>211</v>
      </c>
      <c r="K157" s="595" t="s">
        <v>142</v>
      </c>
      <c r="L157" s="595" t="s">
        <v>130</v>
      </c>
      <c r="M157" s="596">
        <v>35.950000000000003</v>
      </c>
      <c r="N157" s="597" t="s">
        <v>37</v>
      </c>
      <c r="O157" s="593">
        <v>25</v>
      </c>
      <c r="P157" s="144">
        <v>61014</v>
      </c>
      <c r="R157" s="165" t="e">
        <f>_xlfn.XLOOKUP(Table3[[#This Row],[SKU]],'05_Daily_Orders'!$B$2:$B$328,'05_Daily_Orders'!G:G)</f>
        <v>#VALUE!</v>
      </c>
      <c r="S157" s="166" t="str">
        <f t="shared" si="1"/>
        <v/>
      </c>
      <c r="T157" s="566" t="e">
        <f ca="1">_xludf.IFNA(_xlfn.XLOOKUP(Table3[[#This Row],[SKU]],'00_Yield_Rates'!$B$2:$B$17,'00_Yield_Rates'!$E$2:$E$17),"")</f>
        <v>#NAME?</v>
      </c>
    </row>
    <row r="158" spans="1:20">
      <c r="A158" s="591" t="s">
        <v>124</v>
      </c>
      <c r="B158" s="600">
        <v>2099</v>
      </c>
      <c r="C158" s="593">
        <v>61014</v>
      </c>
      <c r="D158" s="593" t="s">
        <v>196</v>
      </c>
      <c r="E158" s="593" t="s">
        <v>34</v>
      </c>
      <c r="F158" s="596"/>
      <c r="G158" s="593">
        <v>12</v>
      </c>
      <c r="H158" s="593" t="s">
        <v>132</v>
      </c>
      <c r="I158" s="593" t="s">
        <v>140</v>
      </c>
      <c r="J158" s="594" t="s">
        <v>212</v>
      </c>
      <c r="K158" s="595" t="s">
        <v>142</v>
      </c>
      <c r="L158" s="595" t="s">
        <v>130</v>
      </c>
      <c r="M158" s="596">
        <v>40.89</v>
      </c>
      <c r="N158" s="597" t="s">
        <v>37</v>
      </c>
      <c r="O158" s="593">
        <v>25</v>
      </c>
      <c r="P158" s="144">
        <v>61014</v>
      </c>
      <c r="R158" s="165" t="e">
        <f>_xlfn.XLOOKUP(Table3[[#This Row],[SKU]],'05_Daily_Orders'!$B$2:$B$328,'05_Daily_Orders'!G:G)</f>
        <v>#VALUE!</v>
      </c>
      <c r="S158" s="166" t="str">
        <f t="shared" ref="S158:S221" si="2">IFERROR(R158*1,"")</f>
        <v/>
      </c>
      <c r="T158" s="566" t="e">
        <f ca="1">_xludf.IFNA(_xlfn.XLOOKUP(Table3[[#This Row],[SKU]],'00_Yield_Rates'!$B$2:$B$17,'00_Yield_Rates'!$E$2:$E$17),"")</f>
        <v>#NAME?</v>
      </c>
    </row>
    <row r="159" spans="1:20">
      <c r="A159" s="591" t="s">
        <v>124</v>
      </c>
      <c r="B159" s="592">
        <v>2102</v>
      </c>
      <c r="C159" s="593" t="s">
        <v>116</v>
      </c>
      <c r="D159" s="593" t="s">
        <v>135</v>
      </c>
      <c r="E159" s="593" t="s">
        <v>30</v>
      </c>
      <c r="F159" s="593"/>
      <c r="G159" s="593">
        <v>8</v>
      </c>
      <c r="H159" s="593" t="s">
        <v>151</v>
      </c>
      <c r="I159" s="593" t="s">
        <v>127</v>
      </c>
      <c r="J159" s="594" t="s">
        <v>213</v>
      </c>
      <c r="K159" s="598" t="s">
        <v>129</v>
      </c>
      <c r="L159" s="598" t="s">
        <v>130</v>
      </c>
      <c r="M159" s="599">
        <v>56.62</v>
      </c>
      <c r="N159" s="597" t="s">
        <v>44</v>
      </c>
      <c r="O159" s="593">
        <v>25</v>
      </c>
      <c r="P159" s="144" t="s">
        <v>116</v>
      </c>
      <c r="R159" s="165" t="e">
        <f>_xlfn.XLOOKUP(Table3[[#This Row],[SKU]],'05_Daily_Orders'!$B$2:$B$328,'05_Daily_Orders'!G:G)</f>
        <v>#VALUE!</v>
      </c>
      <c r="S159" s="166" t="str">
        <f t="shared" si="2"/>
        <v/>
      </c>
      <c r="T159" s="566" t="e">
        <f ca="1">_xludf.IFNA(_xlfn.XLOOKUP(Table3[[#This Row],[SKU]],'00_Yield_Rates'!$B$2:$B$17,'00_Yield_Rates'!$E$2:$E$17),"")</f>
        <v>#NAME?</v>
      </c>
    </row>
    <row r="160" spans="1:20">
      <c r="A160" s="591" t="s">
        <v>124</v>
      </c>
      <c r="B160" s="592">
        <v>2121</v>
      </c>
      <c r="C160" s="593">
        <v>203021</v>
      </c>
      <c r="D160" s="593" t="s">
        <v>135</v>
      </c>
      <c r="E160" s="593" t="s">
        <v>153</v>
      </c>
      <c r="F160" s="593"/>
      <c r="G160" s="601">
        <v>5</v>
      </c>
      <c r="H160" s="601" t="s">
        <v>151</v>
      </c>
      <c r="I160" s="601" t="s">
        <v>127</v>
      </c>
      <c r="J160" s="602" t="s">
        <v>158</v>
      </c>
      <c r="K160" s="598" t="s">
        <v>129</v>
      </c>
      <c r="L160" s="598" t="s">
        <v>130</v>
      </c>
      <c r="M160" s="599">
        <v>0</v>
      </c>
      <c r="N160" s="597"/>
      <c r="O160" s="593">
        <v>25</v>
      </c>
      <c r="P160" s="144">
        <v>203021</v>
      </c>
      <c r="R160" s="165" t="e">
        <f>_xlfn.XLOOKUP(Table3[[#This Row],[SKU]],'05_Daily_Orders'!$B$2:$B$328,'05_Daily_Orders'!G:G)</f>
        <v>#VALUE!</v>
      </c>
      <c r="S160" s="166" t="str">
        <f t="shared" si="2"/>
        <v/>
      </c>
      <c r="T160" s="566" t="e">
        <f ca="1">_xludf.IFNA(_xlfn.XLOOKUP(Table3[[#This Row],[SKU]],'00_Yield_Rates'!$B$2:$B$17,'00_Yield_Rates'!$E$2:$E$17),"")</f>
        <v>#NAME?</v>
      </c>
    </row>
    <row r="161" spans="1:20">
      <c r="A161" s="591" t="s">
        <v>124</v>
      </c>
      <c r="B161" s="592">
        <v>2124</v>
      </c>
      <c r="C161" s="593" t="s">
        <v>110</v>
      </c>
      <c r="D161" s="593" t="s">
        <v>135</v>
      </c>
      <c r="E161" s="593" t="s">
        <v>146</v>
      </c>
      <c r="F161" s="593">
        <v>10.547740092823901</v>
      </c>
      <c r="G161" s="593">
        <v>6</v>
      </c>
      <c r="H161" s="593" t="s">
        <v>143</v>
      </c>
      <c r="I161" s="593" t="s">
        <v>144</v>
      </c>
      <c r="J161" s="594" t="s">
        <v>214</v>
      </c>
      <c r="K161" s="595" t="s">
        <v>129</v>
      </c>
      <c r="L161" s="596" t="s">
        <v>130</v>
      </c>
      <c r="M161" s="596">
        <v>72.73</v>
      </c>
      <c r="N161" s="597" t="s">
        <v>23</v>
      </c>
      <c r="O161" s="593">
        <v>25</v>
      </c>
      <c r="P161" s="144" t="s">
        <v>110</v>
      </c>
      <c r="R161" s="165" t="e">
        <f>_xlfn.XLOOKUP(Table3[[#This Row],[SKU]],'05_Daily_Orders'!$B$2:$B$328,'05_Daily_Orders'!G:G)</f>
        <v>#VALUE!</v>
      </c>
      <c r="S161" s="166" t="str">
        <f t="shared" si="2"/>
        <v/>
      </c>
      <c r="T161" s="566" t="e">
        <f ca="1">_xludf.IFNA(_xlfn.XLOOKUP(Table3[[#This Row],[SKU]],'00_Yield_Rates'!$B$2:$B$17,'00_Yield_Rates'!$E$2:$E$17),"")</f>
        <v>#NAME?</v>
      </c>
    </row>
    <row r="162" spans="1:20">
      <c r="A162" s="591" t="s">
        <v>124</v>
      </c>
      <c r="B162" s="592">
        <v>2125</v>
      </c>
      <c r="C162" s="593">
        <v>61082</v>
      </c>
      <c r="D162" s="593" t="s">
        <v>135</v>
      </c>
      <c r="E162" s="593" t="s">
        <v>30</v>
      </c>
      <c r="F162" s="593"/>
      <c r="G162" s="601">
        <v>6</v>
      </c>
      <c r="H162" s="593" t="s">
        <v>143</v>
      </c>
      <c r="I162" s="601" t="s">
        <v>144</v>
      </c>
      <c r="J162" s="602" t="s">
        <v>215</v>
      </c>
      <c r="K162" s="595" t="s">
        <v>129</v>
      </c>
      <c r="L162" s="598" t="s">
        <v>130</v>
      </c>
      <c r="M162" s="599">
        <v>57.23</v>
      </c>
      <c r="N162" s="597" t="s">
        <v>23</v>
      </c>
      <c r="O162" s="593">
        <v>25</v>
      </c>
      <c r="P162" s="144">
        <v>61082</v>
      </c>
      <c r="R162" s="165" t="e">
        <f>_xlfn.XLOOKUP(Table3[[#This Row],[SKU]],'05_Daily_Orders'!$B$2:$B$328,'05_Daily_Orders'!G:G)</f>
        <v>#VALUE!</v>
      </c>
      <c r="S162" s="166" t="str">
        <f t="shared" si="2"/>
        <v/>
      </c>
      <c r="T162" s="566" t="e">
        <f ca="1">_xludf.IFNA(_xlfn.XLOOKUP(Table3[[#This Row],[SKU]],'00_Yield_Rates'!$B$2:$B$17,'00_Yield_Rates'!$E$2:$E$17),"")</f>
        <v>#NAME?</v>
      </c>
    </row>
    <row r="163" spans="1:20">
      <c r="A163" s="591" t="s">
        <v>124</v>
      </c>
      <c r="B163" s="592">
        <v>2237</v>
      </c>
      <c r="C163" s="593" t="s">
        <v>102</v>
      </c>
      <c r="D163" s="593" t="s">
        <v>135</v>
      </c>
      <c r="E163" s="593" t="s">
        <v>24</v>
      </c>
      <c r="F163" s="593"/>
      <c r="G163" s="601">
        <v>8</v>
      </c>
      <c r="H163" s="601" t="s">
        <v>139</v>
      </c>
      <c r="I163" s="601" t="s">
        <v>140</v>
      </c>
      <c r="J163" s="602" t="s">
        <v>216</v>
      </c>
      <c r="K163" s="595" t="s">
        <v>129</v>
      </c>
      <c r="L163" s="598" t="s">
        <v>130</v>
      </c>
      <c r="M163" s="599">
        <v>134.34</v>
      </c>
      <c r="N163" s="597" t="s">
        <v>23</v>
      </c>
      <c r="O163" s="593">
        <v>25</v>
      </c>
      <c r="P163" s="144" t="s">
        <v>102</v>
      </c>
      <c r="R163" s="165" t="e">
        <f>_xlfn.XLOOKUP(Table3[[#This Row],[SKU]],'05_Daily_Orders'!$B$2:$B$328,'05_Daily_Orders'!G:G)</f>
        <v>#VALUE!</v>
      </c>
      <c r="S163" s="166" t="str">
        <f t="shared" si="2"/>
        <v/>
      </c>
      <c r="T163" s="566" t="e">
        <f ca="1">_xludf.IFNA(_xlfn.XLOOKUP(Table3[[#This Row],[SKU]],'00_Yield_Rates'!$B$2:$B$17,'00_Yield_Rates'!$E$2:$E$17),"")</f>
        <v>#NAME?</v>
      </c>
    </row>
    <row r="164" spans="1:20">
      <c r="A164" s="591" t="s">
        <v>124</v>
      </c>
      <c r="B164" s="592">
        <v>2500</v>
      </c>
      <c r="C164" s="593" t="s">
        <v>122</v>
      </c>
      <c r="D164" s="593" t="s">
        <v>135</v>
      </c>
      <c r="E164" s="593" t="s">
        <v>21</v>
      </c>
      <c r="F164" s="593">
        <v>5.5547131672597798</v>
      </c>
      <c r="G164" s="601">
        <v>8</v>
      </c>
      <c r="H164" s="601" t="s">
        <v>198</v>
      </c>
      <c r="I164" s="601" t="s">
        <v>127</v>
      </c>
      <c r="J164" s="602" t="s">
        <v>217</v>
      </c>
      <c r="K164" s="595" t="s">
        <v>142</v>
      </c>
      <c r="L164" s="598" t="s">
        <v>130</v>
      </c>
      <c r="M164" s="599">
        <v>31.19</v>
      </c>
      <c r="N164" s="597" t="s">
        <v>44</v>
      </c>
      <c r="O164" s="593">
        <v>25</v>
      </c>
      <c r="P164" s="144" t="s">
        <v>122</v>
      </c>
      <c r="R164" s="165" t="e">
        <f>_xlfn.XLOOKUP(Table3[[#This Row],[SKU]],'05_Daily_Orders'!$B$2:$B$328,'05_Daily_Orders'!G:G)</f>
        <v>#VALUE!</v>
      </c>
      <c r="S164" s="166" t="str">
        <f t="shared" si="2"/>
        <v/>
      </c>
      <c r="T164" s="566" t="e">
        <f ca="1">_xludf.IFNA(_xlfn.XLOOKUP(Table3[[#This Row],[SKU]],'00_Yield_Rates'!$B$2:$B$17,'00_Yield_Rates'!$E$2:$E$17),"")</f>
        <v>#NAME?</v>
      </c>
    </row>
    <row r="165" spans="1:20">
      <c r="A165" s="591" t="s">
        <v>124</v>
      </c>
      <c r="B165" s="592">
        <v>2501</v>
      </c>
      <c r="C165" s="593" t="s">
        <v>122</v>
      </c>
      <c r="D165" s="593" t="s">
        <v>135</v>
      </c>
      <c r="E165" s="593" t="s">
        <v>21</v>
      </c>
      <c r="F165" s="593"/>
      <c r="G165" s="601">
        <v>8</v>
      </c>
      <c r="H165" s="601" t="s">
        <v>198</v>
      </c>
      <c r="I165" s="601" t="s">
        <v>127</v>
      </c>
      <c r="J165" s="602" t="s">
        <v>218</v>
      </c>
      <c r="K165" s="595" t="s">
        <v>142</v>
      </c>
      <c r="L165" s="598" t="s">
        <v>130</v>
      </c>
      <c r="M165" s="599">
        <v>31.19</v>
      </c>
      <c r="N165" s="597" t="s">
        <v>44</v>
      </c>
      <c r="O165" s="593">
        <v>25</v>
      </c>
      <c r="P165" s="144" t="s">
        <v>122</v>
      </c>
      <c r="R165" s="165" t="e">
        <f>_xlfn.XLOOKUP(Table3[[#This Row],[SKU]],'05_Daily_Orders'!$B$2:$B$328,'05_Daily_Orders'!G:G)</f>
        <v>#VALUE!</v>
      </c>
      <c r="S165" s="166" t="str">
        <f t="shared" si="2"/>
        <v/>
      </c>
      <c r="T165" s="566" t="e">
        <f ca="1">_xludf.IFNA(_xlfn.XLOOKUP(Table3[[#This Row],[SKU]],'00_Yield_Rates'!$B$2:$B$17,'00_Yield_Rates'!$E$2:$E$17),"")</f>
        <v>#NAME?</v>
      </c>
    </row>
    <row r="166" spans="1:20">
      <c r="A166" s="591" t="s">
        <v>124</v>
      </c>
      <c r="B166" s="592">
        <v>2502</v>
      </c>
      <c r="C166" s="593" t="s">
        <v>116</v>
      </c>
      <c r="D166" s="593" t="s">
        <v>135</v>
      </c>
      <c r="E166" s="593" t="s">
        <v>30</v>
      </c>
      <c r="F166" s="593">
        <v>6.34339030023094</v>
      </c>
      <c r="G166" s="593">
        <v>8</v>
      </c>
      <c r="H166" s="593" t="s">
        <v>198</v>
      </c>
      <c r="I166" s="593" t="s">
        <v>127</v>
      </c>
      <c r="J166" s="594" t="s">
        <v>219</v>
      </c>
      <c r="K166" s="598" t="s">
        <v>129</v>
      </c>
      <c r="L166" s="596" t="s">
        <v>130</v>
      </c>
      <c r="M166" s="596">
        <v>50.84</v>
      </c>
      <c r="N166" s="597" t="s">
        <v>44</v>
      </c>
      <c r="O166" s="593">
        <v>25</v>
      </c>
      <c r="P166" s="144" t="s">
        <v>116</v>
      </c>
      <c r="R166" s="165" t="e">
        <f>_xlfn.XLOOKUP(Table3[[#This Row],[SKU]],'05_Daily_Orders'!$B$2:$B$328,'05_Daily_Orders'!G:G)</f>
        <v>#VALUE!</v>
      </c>
      <c r="S166" s="166" t="str">
        <f t="shared" si="2"/>
        <v/>
      </c>
      <c r="T166" s="566" t="e">
        <f ca="1">_xludf.IFNA(_xlfn.XLOOKUP(Table3[[#This Row],[SKU]],'00_Yield_Rates'!$B$2:$B$17,'00_Yield_Rates'!$E$2:$E$17),"")</f>
        <v>#NAME?</v>
      </c>
    </row>
    <row r="167" spans="1:20">
      <c r="A167" s="591" t="s">
        <v>124</v>
      </c>
      <c r="B167" s="592">
        <v>2503</v>
      </c>
      <c r="C167" s="593" t="s">
        <v>116</v>
      </c>
      <c r="D167" s="593" t="s">
        <v>135</v>
      </c>
      <c r="E167" s="593" t="s">
        <v>30</v>
      </c>
      <c r="F167" s="593"/>
      <c r="G167" s="593">
        <v>8</v>
      </c>
      <c r="H167" s="593" t="s">
        <v>198</v>
      </c>
      <c r="I167" s="593" t="s">
        <v>127</v>
      </c>
      <c r="J167" s="605" t="s">
        <v>220</v>
      </c>
      <c r="K167" s="598" t="s">
        <v>129</v>
      </c>
      <c r="L167" s="596" t="s">
        <v>130</v>
      </c>
      <c r="M167" s="596">
        <v>50.84</v>
      </c>
      <c r="N167" s="597" t="s">
        <v>44</v>
      </c>
      <c r="O167" s="593">
        <v>25</v>
      </c>
      <c r="P167" s="144" t="s">
        <v>116</v>
      </c>
      <c r="R167" s="165" t="e">
        <f>_xlfn.XLOOKUP(Table3[[#This Row],[SKU]],'05_Daily_Orders'!$B$2:$B$328,'05_Daily_Orders'!G:G)</f>
        <v>#VALUE!</v>
      </c>
      <c r="S167" s="166" t="str">
        <f t="shared" si="2"/>
        <v/>
      </c>
      <c r="T167" s="566" t="e">
        <f ca="1">_xludf.IFNA(_xlfn.XLOOKUP(Table3[[#This Row],[SKU]],'00_Yield_Rates'!$B$2:$B$17,'00_Yield_Rates'!$E$2:$E$17),"")</f>
        <v>#NAME?</v>
      </c>
    </row>
    <row r="168" spans="1:20">
      <c r="A168" s="591" t="s">
        <v>124</v>
      </c>
      <c r="B168" s="592">
        <v>2504</v>
      </c>
      <c r="C168" s="593" t="s">
        <v>114</v>
      </c>
      <c r="D168" s="593" t="s">
        <v>135</v>
      </c>
      <c r="E168" s="593" t="s">
        <v>146</v>
      </c>
      <c r="F168" s="593">
        <v>6.0274686520376104</v>
      </c>
      <c r="G168" s="593">
        <v>8</v>
      </c>
      <c r="H168" s="593" t="s">
        <v>198</v>
      </c>
      <c r="I168" s="593" t="s">
        <v>127</v>
      </c>
      <c r="J168" s="594" t="s">
        <v>221</v>
      </c>
      <c r="K168" s="598" t="s">
        <v>129</v>
      </c>
      <c r="L168" s="598" t="s">
        <v>130</v>
      </c>
      <c r="M168" s="599">
        <v>51.39</v>
      </c>
      <c r="N168" s="597" t="s">
        <v>44</v>
      </c>
      <c r="O168" s="593">
        <v>25</v>
      </c>
      <c r="P168" s="144" t="s">
        <v>114</v>
      </c>
      <c r="R168" s="165" t="e">
        <f>_xlfn.XLOOKUP(Table3[[#This Row],[SKU]],'05_Daily_Orders'!$B$2:$B$328,'05_Daily_Orders'!G:G)</f>
        <v>#VALUE!</v>
      </c>
      <c r="S168" s="166" t="str">
        <f t="shared" si="2"/>
        <v/>
      </c>
      <c r="T168" s="566" t="e">
        <f ca="1">_xludf.IFNA(_xlfn.XLOOKUP(Table3[[#This Row],[SKU]],'00_Yield_Rates'!$B$2:$B$17,'00_Yield_Rates'!$E$2:$E$17),"")</f>
        <v>#NAME?</v>
      </c>
    </row>
    <row r="169" spans="1:20">
      <c r="A169" s="591" t="s">
        <v>124</v>
      </c>
      <c r="B169" s="592">
        <v>2505</v>
      </c>
      <c r="C169" s="593" t="s">
        <v>114</v>
      </c>
      <c r="D169" s="593" t="s">
        <v>135</v>
      </c>
      <c r="E169" s="593" t="s">
        <v>146</v>
      </c>
      <c r="F169" s="593"/>
      <c r="G169" s="593">
        <v>8</v>
      </c>
      <c r="H169" s="593" t="s">
        <v>198</v>
      </c>
      <c r="I169" s="593" t="s">
        <v>127</v>
      </c>
      <c r="J169" s="594" t="s">
        <v>222</v>
      </c>
      <c r="K169" s="598" t="s">
        <v>129</v>
      </c>
      <c r="L169" s="595" t="s">
        <v>130</v>
      </c>
      <c r="M169" s="596">
        <v>51.39</v>
      </c>
      <c r="N169" s="597" t="s">
        <v>44</v>
      </c>
      <c r="O169" s="593">
        <v>25</v>
      </c>
      <c r="P169" s="144" t="s">
        <v>114</v>
      </c>
      <c r="R169" s="165" t="e">
        <f>_xlfn.XLOOKUP(Table3[[#This Row],[SKU]],'05_Daily_Orders'!$B$2:$B$328,'05_Daily_Orders'!G:G)</f>
        <v>#VALUE!</v>
      </c>
      <c r="S169" s="166" t="str">
        <f t="shared" si="2"/>
        <v/>
      </c>
      <c r="T169" s="566" t="e">
        <f ca="1">_xludf.IFNA(_xlfn.XLOOKUP(Table3[[#This Row],[SKU]],'00_Yield_Rates'!$B$2:$B$17,'00_Yield_Rates'!$E$2:$E$17),"")</f>
        <v>#NAME?</v>
      </c>
    </row>
    <row r="170" spans="1:20">
      <c r="A170" s="591" t="s">
        <v>124</v>
      </c>
      <c r="B170" s="592">
        <v>2506</v>
      </c>
      <c r="C170" s="593" t="s">
        <v>97</v>
      </c>
      <c r="D170" s="593" t="s">
        <v>135</v>
      </c>
      <c r="E170" s="593" t="s">
        <v>34</v>
      </c>
      <c r="F170" s="593">
        <v>6.0352861072902302</v>
      </c>
      <c r="G170" s="593">
        <v>8</v>
      </c>
      <c r="H170" s="593" t="s">
        <v>198</v>
      </c>
      <c r="I170" s="593" t="s">
        <v>140</v>
      </c>
      <c r="J170" s="594" t="s">
        <v>223</v>
      </c>
      <c r="K170" s="595" t="s">
        <v>142</v>
      </c>
      <c r="L170" s="595" t="s">
        <v>130</v>
      </c>
      <c r="M170" s="596">
        <v>27.07</v>
      </c>
      <c r="N170" s="597" t="s">
        <v>44</v>
      </c>
      <c r="O170" s="593">
        <v>25</v>
      </c>
      <c r="P170" s="144" t="s">
        <v>97</v>
      </c>
      <c r="R170" s="165" t="e">
        <f>_xlfn.XLOOKUP(Table3[[#This Row],[SKU]],'05_Daily_Orders'!$B$2:$B$328,'05_Daily_Orders'!G:G)</f>
        <v>#VALUE!</v>
      </c>
      <c r="S170" s="166" t="str">
        <f t="shared" si="2"/>
        <v/>
      </c>
      <c r="T170" s="566" t="e">
        <f ca="1">_xludf.IFNA(_xlfn.XLOOKUP(Table3[[#This Row],[SKU]],'00_Yield_Rates'!$B$2:$B$17,'00_Yield_Rates'!$E$2:$E$17),"")</f>
        <v>#NAME?</v>
      </c>
    </row>
    <row r="171" spans="1:20">
      <c r="A171" s="591" t="s">
        <v>124</v>
      </c>
      <c r="B171" s="592">
        <v>2508</v>
      </c>
      <c r="C171" s="593" t="s">
        <v>106</v>
      </c>
      <c r="D171" s="593" t="s">
        <v>135</v>
      </c>
      <c r="E171" s="593" t="s">
        <v>24</v>
      </c>
      <c r="F171" s="593">
        <v>7.0664191705984596</v>
      </c>
      <c r="G171" s="593">
        <v>8</v>
      </c>
      <c r="H171" s="593" t="s">
        <v>198</v>
      </c>
      <c r="I171" s="593" t="s">
        <v>127</v>
      </c>
      <c r="J171" s="594" t="s">
        <v>224</v>
      </c>
      <c r="K171" s="595" t="s">
        <v>129</v>
      </c>
      <c r="L171" s="595" t="s">
        <v>130</v>
      </c>
      <c r="M171" s="596">
        <v>114</v>
      </c>
      <c r="N171" s="597" t="s">
        <v>44</v>
      </c>
      <c r="O171" s="593">
        <v>25</v>
      </c>
      <c r="P171" s="144" t="s">
        <v>106</v>
      </c>
      <c r="R171" s="165" t="e">
        <f>_xlfn.XLOOKUP(Table3[[#This Row],[SKU]],'05_Daily_Orders'!$B$2:$B$328,'05_Daily_Orders'!G:G)</f>
        <v>#VALUE!</v>
      </c>
      <c r="S171" s="166" t="str">
        <f t="shared" si="2"/>
        <v/>
      </c>
      <c r="T171" s="566" t="e">
        <f ca="1">_xludf.IFNA(_xlfn.XLOOKUP(Table3[[#This Row],[SKU]],'00_Yield_Rates'!$B$2:$B$17,'00_Yield_Rates'!$E$2:$E$17),"")</f>
        <v>#NAME?</v>
      </c>
    </row>
    <row r="172" spans="1:20">
      <c r="A172" s="591" t="s">
        <v>124</v>
      </c>
      <c r="B172" s="592">
        <v>2509</v>
      </c>
      <c r="C172" s="593">
        <v>61050</v>
      </c>
      <c r="D172" s="593" t="s">
        <v>135</v>
      </c>
      <c r="E172" s="593" t="s">
        <v>24</v>
      </c>
      <c r="F172" s="593">
        <v>7.6328908051277304</v>
      </c>
      <c r="G172" s="593">
        <v>8</v>
      </c>
      <c r="H172" s="593" t="s">
        <v>198</v>
      </c>
      <c r="I172" s="593" t="s">
        <v>127</v>
      </c>
      <c r="J172" s="594" t="s">
        <v>224</v>
      </c>
      <c r="K172" s="595" t="s">
        <v>129</v>
      </c>
      <c r="L172" s="595" t="s">
        <v>130</v>
      </c>
      <c r="M172" s="596">
        <v>126.19</v>
      </c>
      <c r="N172" s="597" t="s">
        <v>44</v>
      </c>
      <c r="O172" s="593">
        <v>25</v>
      </c>
      <c r="P172" s="144">
        <v>61050</v>
      </c>
      <c r="R172" s="165" t="e">
        <f>_xlfn.XLOOKUP(Table3[[#This Row],[SKU]],'05_Daily_Orders'!$B$2:$B$328,'05_Daily_Orders'!G:G)</f>
        <v>#VALUE!</v>
      </c>
      <c r="S172" s="166" t="str">
        <f t="shared" si="2"/>
        <v/>
      </c>
      <c r="T172" s="566" t="e">
        <f ca="1">_xludf.IFNA(_xlfn.XLOOKUP(Table3[[#This Row],[SKU]],'00_Yield_Rates'!$B$2:$B$17,'00_Yield_Rates'!$E$2:$E$17),"")</f>
        <v>#NAME?</v>
      </c>
    </row>
    <row r="173" spans="1:20">
      <c r="A173" s="591" t="s">
        <v>124</v>
      </c>
      <c r="B173" s="592">
        <v>2510</v>
      </c>
      <c r="C173" s="593" t="s">
        <v>97</v>
      </c>
      <c r="D173" s="593" t="s">
        <v>135</v>
      </c>
      <c r="E173" s="593" t="s">
        <v>34</v>
      </c>
      <c r="F173" s="593">
        <v>8.2152039737898903</v>
      </c>
      <c r="G173" s="593">
        <v>8</v>
      </c>
      <c r="H173" s="593" t="s">
        <v>139</v>
      </c>
      <c r="I173" s="593" t="s">
        <v>140</v>
      </c>
      <c r="J173" s="594" t="s">
        <v>225</v>
      </c>
      <c r="K173" s="595" t="s">
        <v>142</v>
      </c>
      <c r="L173" s="595" t="s">
        <v>130</v>
      </c>
      <c r="M173" s="596">
        <v>30.7</v>
      </c>
      <c r="N173" s="597" t="s">
        <v>44</v>
      </c>
      <c r="O173" s="593">
        <v>25</v>
      </c>
      <c r="P173" s="144" t="s">
        <v>97</v>
      </c>
      <c r="R173" s="165" t="e">
        <f>_xlfn.XLOOKUP(Table3[[#This Row],[SKU]],'05_Daily_Orders'!$B$2:$B$328,'05_Daily_Orders'!G:G)</f>
        <v>#VALUE!</v>
      </c>
      <c r="S173" s="166" t="str">
        <f t="shared" si="2"/>
        <v/>
      </c>
      <c r="T173" s="566" t="e">
        <f ca="1">_xludf.IFNA(_xlfn.XLOOKUP(Table3[[#This Row],[SKU]],'00_Yield_Rates'!$B$2:$B$17,'00_Yield_Rates'!$E$2:$E$17),"")</f>
        <v>#NAME?</v>
      </c>
    </row>
    <row r="174" spans="1:20">
      <c r="A174" s="591" t="s">
        <v>124</v>
      </c>
      <c r="B174" s="592">
        <v>2512</v>
      </c>
      <c r="C174" s="593">
        <v>61014</v>
      </c>
      <c r="D174" s="593" t="s">
        <v>131</v>
      </c>
      <c r="E174" s="593" t="s">
        <v>34</v>
      </c>
      <c r="F174" s="593">
        <v>8.2115199306759106</v>
      </c>
      <c r="G174" s="593">
        <v>8</v>
      </c>
      <c r="H174" s="593" t="s">
        <v>139</v>
      </c>
      <c r="I174" s="593" t="s">
        <v>140</v>
      </c>
      <c r="J174" s="594" t="s">
        <v>226</v>
      </c>
      <c r="K174" s="595" t="s">
        <v>142</v>
      </c>
      <c r="L174" s="595" t="s">
        <v>130</v>
      </c>
      <c r="M174" s="596">
        <v>31.7</v>
      </c>
      <c r="N174" s="597" t="s">
        <v>44</v>
      </c>
      <c r="O174" s="593">
        <v>25</v>
      </c>
      <c r="P174" s="144">
        <v>61014</v>
      </c>
      <c r="R174" s="165" t="e">
        <f>_xlfn.XLOOKUP(Table3[[#This Row],[SKU]],'05_Daily_Orders'!$B$2:$B$328,'05_Daily_Orders'!G:G)</f>
        <v>#VALUE!</v>
      </c>
      <c r="S174" s="166" t="str">
        <f t="shared" si="2"/>
        <v/>
      </c>
      <c r="T174" s="566" t="e">
        <f ca="1">_xludf.IFNA(_xlfn.XLOOKUP(Table3[[#This Row],[SKU]],'00_Yield_Rates'!$B$2:$B$17,'00_Yield_Rates'!$E$2:$E$17),"")</f>
        <v>#NAME?</v>
      </c>
    </row>
    <row r="175" spans="1:20">
      <c r="A175" s="591" t="s">
        <v>124</v>
      </c>
      <c r="B175" s="592">
        <v>7018</v>
      </c>
      <c r="C175" s="593">
        <v>61010</v>
      </c>
      <c r="D175" s="593" t="s">
        <v>125</v>
      </c>
      <c r="E175" s="593" t="s">
        <v>155</v>
      </c>
      <c r="F175" s="593">
        <v>7.42</v>
      </c>
      <c r="G175" s="593">
        <v>8</v>
      </c>
      <c r="H175" s="593" t="s">
        <v>126</v>
      </c>
      <c r="I175" s="593" t="s">
        <v>140</v>
      </c>
      <c r="J175" s="594" t="s">
        <v>181</v>
      </c>
      <c r="K175" s="595" t="s">
        <v>129</v>
      </c>
      <c r="L175" s="595" t="s">
        <v>227</v>
      </c>
      <c r="M175" s="596">
        <v>26.78</v>
      </c>
      <c r="N175" s="597" t="s">
        <v>23</v>
      </c>
      <c r="O175" s="593">
        <v>25</v>
      </c>
      <c r="P175" s="144">
        <v>61010</v>
      </c>
      <c r="R175" s="165" t="e">
        <f>_xlfn.XLOOKUP(Table3[[#This Row],[SKU]],'05_Daily_Orders'!$B$2:$B$328,'05_Daily_Orders'!G:G)</f>
        <v>#VALUE!</v>
      </c>
      <c r="S175" s="166" t="str">
        <f t="shared" si="2"/>
        <v/>
      </c>
      <c r="T175" s="566" t="e">
        <f ca="1">_xludf.IFNA(_xlfn.XLOOKUP(Table3[[#This Row],[SKU]],'00_Yield_Rates'!$B$2:$B$17,'00_Yield_Rates'!$E$2:$E$17),"")</f>
        <v>#NAME?</v>
      </c>
    </row>
    <row r="176" spans="1:20">
      <c r="A176" s="591" t="s">
        <v>124</v>
      </c>
      <c r="B176" s="592">
        <v>7091</v>
      </c>
      <c r="C176" s="593">
        <v>61061</v>
      </c>
      <c r="D176" s="593" t="s">
        <v>125</v>
      </c>
      <c r="E176" s="593" t="s">
        <v>26</v>
      </c>
      <c r="F176" s="593">
        <v>0</v>
      </c>
      <c r="G176" s="593">
        <v>8</v>
      </c>
      <c r="H176" s="593" t="s">
        <v>126</v>
      </c>
      <c r="I176" s="593" t="s">
        <v>140</v>
      </c>
      <c r="J176" s="594" t="s">
        <v>228</v>
      </c>
      <c r="K176" s="598" t="s">
        <v>129</v>
      </c>
      <c r="L176" s="595" t="s">
        <v>227</v>
      </c>
      <c r="M176" s="596">
        <v>82.96</v>
      </c>
      <c r="N176" s="597" t="s">
        <v>23</v>
      </c>
      <c r="O176" s="593">
        <v>25</v>
      </c>
      <c r="P176" s="144">
        <v>61061</v>
      </c>
      <c r="R176" s="165" t="e">
        <f>_xlfn.XLOOKUP(Table3[[#This Row],[SKU]],'05_Daily_Orders'!$B$2:$B$328,'05_Daily_Orders'!G:G)</f>
        <v>#VALUE!</v>
      </c>
      <c r="S176" s="166" t="str">
        <f t="shared" si="2"/>
        <v/>
      </c>
      <c r="T176" s="566" t="e">
        <f ca="1">_xludf.IFNA(_xlfn.XLOOKUP(Table3[[#This Row],[SKU]],'00_Yield_Rates'!$B$2:$B$17,'00_Yield_Rates'!$E$2:$E$17),"")</f>
        <v>#NAME?</v>
      </c>
    </row>
    <row r="177" spans="1:20">
      <c r="A177" s="591" t="s">
        <v>124</v>
      </c>
      <c r="B177" s="592">
        <v>7103</v>
      </c>
      <c r="C177" s="593">
        <v>203891</v>
      </c>
      <c r="D177" s="593" t="s">
        <v>125</v>
      </c>
      <c r="E177" s="593" t="s">
        <v>153</v>
      </c>
      <c r="F177" s="593"/>
      <c r="G177" s="593">
        <v>6</v>
      </c>
      <c r="H177" s="593" t="s">
        <v>132</v>
      </c>
      <c r="I177" s="593" t="s">
        <v>127</v>
      </c>
      <c r="J177" s="594" t="s">
        <v>229</v>
      </c>
      <c r="K177" s="598" t="s">
        <v>129</v>
      </c>
      <c r="L177" s="598" t="s">
        <v>227</v>
      </c>
      <c r="M177" s="599">
        <v>131.38999999999999</v>
      </c>
      <c r="N177" s="597"/>
      <c r="O177" s="593">
        <v>25</v>
      </c>
      <c r="P177" s="144">
        <v>203891</v>
      </c>
      <c r="R177" s="165" t="e">
        <f>_xlfn.XLOOKUP(Table3[[#This Row],[SKU]],'05_Daily_Orders'!$B$2:$B$328,'05_Daily_Orders'!G:G)</f>
        <v>#VALUE!</v>
      </c>
      <c r="S177" s="166" t="str">
        <f t="shared" si="2"/>
        <v/>
      </c>
      <c r="T177" s="566" t="e">
        <f ca="1">_xludf.IFNA(_xlfn.XLOOKUP(Table3[[#This Row],[SKU]],'00_Yield_Rates'!$B$2:$B$17,'00_Yield_Rates'!$E$2:$E$17),"")</f>
        <v>#NAME?</v>
      </c>
    </row>
    <row r="178" spans="1:20">
      <c r="A178" s="591" t="s">
        <v>124</v>
      </c>
      <c r="B178" s="592">
        <v>7104</v>
      </c>
      <c r="C178" s="593">
        <v>61082</v>
      </c>
      <c r="D178" s="593" t="s">
        <v>125</v>
      </c>
      <c r="E178" s="593" t="s">
        <v>30</v>
      </c>
      <c r="F178" s="593">
        <v>10.533333333333299</v>
      </c>
      <c r="G178" s="593">
        <v>8</v>
      </c>
      <c r="H178" s="593" t="s">
        <v>126</v>
      </c>
      <c r="I178" s="593" t="s">
        <v>140</v>
      </c>
      <c r="J178" s="594" t="s">
        <v>230</v>
      </c>
      <c r="K178" s="598" t="s">
        <v>129</v>
      </c>
      <c r="L178" s="598" t="s">
        <v>227</v>
      </c>
      <c r="M178" s="599">
        <v>45.72</v>
      </c>
      <c r="N178" s="597" t="s">
        <v>23</v>
      </c>
      <c r="O178" s="593">
        <v>25</v>
      </c>
      <c r="P178" s="144">
        <v>61082</v>
      </c>
      <c r="R178" s="165" t="e">
        <f>_xlfn.XLOOKUP(Table3[[#This Row],[SKU]],'05_Daily_Orders'!$B$2:$B$328,'05_Daily_Orders'!G:G)</f>
        <v>#VALUE!</v>
      </c>
      <c r="S178" s="166" t="str">
        <f t="shared" si="2"/>
        <v/>
      </c>
      <c r="T178" s="566" t="e">
        <f ca="1">_xludf.IFNA(_xlfn.XLOOKUP(Table3[[#This Row],[SKU]],'00_Yield_Rates'!$B$2:$B$17,'00_Yield_Rates'!$E$2:$E$17),"")</f>
        <v>#NAME?</v>
      </c>
    </row>
    <row r="179" spans="1:20">
      <c r="A179" s="591" t="s">
        <v>124</v>
      </c>
      <c r="B179" s="592">
        <v>7105</v>
      </c>
      <c r="C179" s="593" t="s">
        <v>102</v>
      </c>
      <c r="D179" s="593" t="s">
        <v>125</v>
      </c>
      <c r="E179" s="593" t="s">
        <v>24</v>
      </c>
      <c r="F179" s="593">
        <v>9.7704409432707493</v>
      </c>
      <c r="G179" s="593">
        <v>8</v>
      </c>
      <c r="H179" s="593" t="s">
        <v>126</v>
      </c>
      <c r="I179" s="593" t="s">
        <v>140</v>
      </c>
      <c r="J179" s="594" t="s">
        <v>231</v>
      </c>
      <c r="K179" s="595" t="s">
        <v>129</v>
      </c>
      <c r="L179" s="595" t="s">
        <v>227</v>
      </c>
      <c r="M179" s="596">
        <v>107.39</v>
      </c>
      <c r="N179" s="597" t="s">
        <v>23</v>
      </c>
      <c r="O179" s="593">
        <v>25</v>
      </c>
      <c r="P179" s="144" t="s">
        <v>102</v>
      </c>
      <c r="R179" s="165" t="e">
        <f>_xlfn.XLOOKUP(Table3[[#This Row],[SKU]],'05_Daily_Orders'!$B$2:$B$328,'05_Daily_Orders'!G:G)</f>
        <v>#VALUE!</v>
      </c>
      <c r="S179" s="166" t="str">
        <f t="shared" si="2"/>
        <v/>
      </c>
      <c r="T179" s="566" t="e">
        <f ca="1">_xludf.IFNA(_xlfn.XLOOKUP(Table3[[#This Row],[SKU]],'00_Yield_Rates'!$B$2:$B$17,'00_Yield_Rates'!$E$2:$E$17),"")</f>
        <v>#NAME?</v>
      </c>
    </row>
    <row r="180" spans="1:20">
      <c r="A180" s="591" t="s">
        <v>124</v>
      </c>
      <c r="B180" s="592">
        <v>7107</v>
      </c>
      <c r="C180" s="593" t="s">
        <v>101</v>
      </c>
      <c r="D180" s="593" t="s">
        <v>125</v>
      </c>
      <c r="E180" s="593" t="s">
        <v>40</v>
      </c>
      <c r="F180" s="593">
        <v>10.5304894500172</v>
      </c>
      <c r="G180" s="593">
        <v>8</v>
      </c>
      <c r="H180" s="593" t="s">
        <v>126</v>
      </c>
      <c r="I180" s="593" t="s">
        <v>140</v>
      </c>
      <c r="J180" s="594" t="s">
        <v>232</v>
      </c>
      <c r="K180" s="595" t="s">
        <v>129</v>
      </c>
      <c r="L180" s="595" t="s">
        <v>227</v>
      </c>
      <c r="M180" s="596">
        <v>70.010000000000005</v>
      </c>
      <c r="N180" s="597" t="s">
        <v>23</v>
      </c>
      <c r="O180" s="593">
        <v>25</v>
      </c>
      <c r="P180" s="144" t="s">
        <v>101</v>
      </c>
      <c r="R180" s="165" t="e">
        <f>_xlfn.XLOOKUP(Table3[[#This Row],[SKU]],'05_Daily_Orders'!$B$2:$B$328,'05_Daily_Orders'!G:G)</f>
        <v>#VALUE!</v>
      </c>
      <c r="S180" s="166" t="str">
        <f t="shared" si="2"/>
        <v/>
      </c>
      <c r="T180" s="566" t="e">
        <f ca="1">_xludf.IFNA(_xlfn.XLOOKUP(Table3[[#This Row],[SKU]],'00_Yield_Rates'!$B$2:$B$17,'00_Yield_Rates'!$E$2:$E$17),"")</f>
        <v>#NAME?</v>
      </c>
    </row>
    <row r="181" spans="1:20">
      <c r="A181" s="591" t="s">
        <v>124</v>
      </c>
      <c r="B181" s="592">
        <v>7108</v>
      </c>
      <c r="C181" s="593" t="s">
        <v>110</v>
      </c>
      <c r="D181" s="593" t="s">
        <v>125</v>
      </c>
      <c r="E181" s="593" t="s">
        <v>146</v>
      </c>
      <c r="F181" s="593">
        <v>8.2584084680086907</v>
      </c>
      <c r="G181" s="593">
        <v>8</v>
      </c>
      <c r="H181" s="593" t="s">
        <v>126</v>
      </c>
      <c r="I181" s="593" t="s">
        <v>140</v>
      </c>
      <c r="J181" s="594" t="s">
        <v>233</v>
      </c>
      <c r="K181" s="598" t="s">
        <v>129</v>
      </c>
      <c r="L181" s="598" t="s">
        <v>227</v>
      </c>
      <c r="M181" s="599">
        <v>67.900000000000006</v>
      </c>
      <c r="N181" s="597" t="s">
        <v>23</v>
      </c>
      <c r="O181" s="593">
        <v>15</v>
      </c>
      <c r="P181" s="144" t="s">
        <v>110</v>
      </c>
      <c r="R181" s="165" t="e">
        <f>_xlfn.XLOOKUP(Table3[[#This Row],[SKU]],'05_Daily_Orders'!$B$2:$B$328,'05_Daily_Orders'!G:G)</f>
        <v>#VALUE!</v>
      </c>
      <c r="S181" s="166" t="str">
        <f t="shared" si="2"/>
        <v/>
      </c>
      <c r="T181" s="566" t="e">
        <f ca="1">_xludf.IFNA(_xlfn.XLOOKUP(Table3[[#This Row],[SKU]],'00_Yield_Rates'!$B$2:$B$17,'00_Yield_Rates'!$E$2:$E$17),"")</f>
        <v>#NAME?</v>
      </c>
    </row>
    <row r="182" spans="1:20">
      <c r="A182" s="591" t="s">
        <v>124</v>
      </c>
      <c r="B182" s="592">
        <v>7109</v>
      </c>
      <c r="C182" s="593" t="s">
        <v>100</v>
      </c>
      <c r="D182" s="593" t="s">
        <v>125</v>
      </c>
      <c r="E182" s="593" t="s">
        <v>40</v>
      </c>
      <c r="F182" s="593">
        <v>0</v>
      </c>
      <c r="G182" s="593">
        <v>8</v>
      </c>
      <c r="H182" s="593" t="s">
        <v>126</v>
      </c>
      <c r="I182" s="593" t="s">
        <v>140</v>
      </c>
      <c r="J182" s="594" t="s">
        <v>234</v>
      </c>
      <c r="K182" s="595" t="s">
        <v>129</v>
      </c>
      <c r="L182" s="598" t="s">
        <v>227</v>
      </c>
      <c r="M182" s="599">
        <v>96.02</v>
      </c>
      <c r="N182" s="597" t="s">
        <v>23</v>
      </c>
      <c r="O182" s="593">
        <v>15</v>
      </c>
      <c r="P182" s="144" t="s">
        <v>100</v>
      </c>
      <c r="R182" s="165" t="e">
        <f>_xlfn.XLOOKUP(Table3[[#This Row],[SKU]],'05_Daily_Orders'!$B$2:$B$328,'05_Daily_Orders'!G:G)</f>
        <v>#VALUE!</v>
      </c>
      <c r="S182" s="166" t="str">
        <f t="shared" si="2"/>
        <v/>
      </c>
      <c r="T182" s="566" t="e">
        <f ca="1">_xludf.IFNA(_xlfn.XLOOKUP(Table3[[#This Row],[SKU]],'00_Yield_Rates'!$B$2:$B$17,'00_Yield_Rates'!$E$2:$E$17),"")</f>
        <v>#NAME?</v>
      </c>
    </row>
    <row r="183" spans="1:20">
      <c r="A183" s="591" t="s">
        <v>124</v>
      </c>
      <c r="B183" s="592">
        <v>7115</v>
      </c>
      <c r="C183" s="593" t="s">
        <v>110</v>
      </c>
      <c r="D183" s="593" t="s">
        <v>125</v>
      </c>
      <c r="E183" s="593" t="s">
        <v>146</v>
      </c>
      <c r="F183" s="593">
        <v>8.0768612235717399</v>
      </c>
      <c r="G183" s="593">
        <v>8</v>
      </c>
      <c r="H183" s="593" t="s">
        <v>126</v>
      </c>
      <c r="I183" s="593" t="s">
        <v>140</v>
      </c>
      <c r="J183" s="594" t="s">
        <v>235</v>
      </c>
      <c r="K183" s="598" t="s">
        <v>129</v>
      </c>
      <c r="L183" s="595" t="s">
        <v>227</v>
      </c>
      <c r="M183" s="596">
        <v>67.900000000000006</v>
      </c>
      <c r="N183" s="597" t="s">
        <v>23</v>
      </c>
      <c r="O183" s="593">
        <v>25</v>
      </c>
      <c r="P183" s="144" t="s">
        <v>110</v>
      </c>
      <c r="R183" s="165" t="e">
        <f>_xlfn.XLOOKUP(Table3[[#This Row],[SKU]],'05_Daily_Orders'!$B$2:$B$328,'05_Daily_Orders'!G:G)</f>
        <v>#VALUE!</v>
      </c>
      <c r="S183" s="166" t="str">
        <f t="shared" si="2"/>
        <v/>
      </c>
      <c r="T183" s="566" t="e">
        <f ca="1">_xludf.IFNA(_xlfn.XLOOKUP(Table3[[#This Row],[SKU]],'00_Yield_Rates'!$B$2:$B$17,'00_Yield_Rates'!$E$2:$E$17),"")</f>
        <v>#NAME?</v>
      </c>
    </row>
    <row r="184" spans="1:20">
      <c r="A184" s="591" t="s">
        <v>124</v>
      </c>
      <c r="B184" s="592">
        <v>7116</v>
      </c>
      <c r="C184" s="593">
        <v>61082</v>
      </c>
      <c r="D184" s="593" t="s">
        <v>125</v>
      </c>
      <c r="E184" s="593" t="s">
        <v>30</v>
      </c>
      <c r="F184" s="593">
        <v>0</v>
      </c>
      <c r="G184" s="593">
        <v>8</v>
      </c>
      <c r="H184" s="593" t="s">
        <v>126</v>
      </c>
      <c r="I184" s="593" t="s">
        <v>140</v>
      </c>
      <c r="J184" s="594" t="s">
        <v>236</v>
      </c>
      <c r="K184" s="598" t="s">
        <v>129</v>
      </c>
      <c r="L184" s="595" t="s">
        <v>227</v>
      </c>
      <c r="M184" s="596">
        <v>45.72</v>
      </c>
      <c r="N184" s="597" t="s">
        <v>23</v>
      </c>
      <c r="O184" s="593">
        <v>25</v>
      </c>
      <c r="P184" s="144">
        <v>61082</v>
      </c>
      <c r="R184" s="165" t="e">
        <f>_xlfn.XLOOKUP(Table3[[#This Row],[SKU]],'05_Daily_Orders'!$B$2:$B$328,'05_Daily_Orders'!G:G)</f>
        <v>#VALUE!</v>
      </c>
      <c r="S184" s="166" t="str">
        <f t="shared" si="2"/>
        <v/>
      </c>
      <c r="T184" s="566" t="e">
        <f ca="1">_xludf.IFNA(_xlfn.XLOOKUP(Table3[[#This Row],[SKU]],'00_Yield_Rates'!$B$2:$B$17,'00_Yield_Rates'!$E$2:$E$17),"")</f>
        <v>#NAME?</v>
      </c>
    </row>
    <row r="185" spans="1:20">
      <c r="A185" s="591" t="s">
        <v>124</v>
      </c>
      <c r="B185" s="592">
        <v>7117</v>
      </c>
      <c r="C185" s="593" t="s">
        <v>100</v>
      </c>
      <c r="D185" s="593" t="s">
        <v>125</v>
      </c>
      <c r="E185" s="593" t="s">
        <v>40</v>
      </c>
      <c r="F185" s="593">
        <v>0</v>
      </c>
      <c r="G185" s="593">
        <v>8</v>
      </c>
      <c r="H185" s="593" t="s">
        <v>126</v>
      </c>
      <c r="I185" s="593" t="s">
        <v>140</v>
      </c>
      <c r="J185" s="594" t="s">
        <v>237</v>
      </c>
      <c r="K185" s="595" t="s">
        <v>129</v>
      </c>
      <c r="L185" s="595" t="s">
        <v>227</v>
      </c>
      <c r="M185" s="596">
        <v>96.02</v>
      </c>
      <c r="N185" s="597" t="s">
        <v>23</v>
      </c>
      <c r="O185" s="593">
        <v>25</v>
      </c>
      <c r="P185" s="144" t="s">
        <v>100</v>
      </c>
      <c r="R185" s="165" t="e">
        <f>_xlfn.XLOOKUP(Table3[[#This Row],[SKU]],'05_Daily_Orders'!$B$2:$B$328,'05_Daily_Orders'!G:G)</f>
        <v>#VALUE!</v>
      </c>
      <c r="S185" s="166" t="str">
        <f t="shared" si="2"/>
        <v/>
      </c>
      <c r="T185" s="566" t="e">
        <f ca="1">_xludf.IFNA(_xlfn.XLOOKUP(Table3[[#This Row],[SKU]],'00_Yield_Rates'!$B$2:$B$17,'00_Yield_Rates'!$E$2:$E$17),"")</f>
        <v>#NAME?</v>
      </c>
    </row>
    <row r="186" spans="1:20">
      <c r="A186" s="591" t="s">
        <v>124</v>
      </c>
      <c r="B186" s="592">
        <v>7118</v>
      </c>
      <c r="C186" s="593" t="s">
        <v>101</v>
      </c>
      <c r="D186" s="593" t="s">
        <v>125</v>
      </c>
      <c r="E186" s="593" t="s">
        <v>40</v>
      </c>
      <c r="F186" s="593">
        <v>0</v>
      </c>
      <c r="G186" s="593">
        <v>8</v>
      </c>
      <c r="H186" s="593" t="s">
        <v>126</v>
      </c>
      <c r="I186" s="593" t="s">
        <v>140</v>
      </c>
      <c r="J186" s="594" t="s">
        <v>238</v>
      </c>
      <c r="K186" s="595" t="s">
        <v>129</v>
      </c>
      <c r="L186" s="595" t="s">
        <v>227</v>
      </c>
      <c r="M186" s="596">
        <v>70.010000000000005</v>
      </c>
      <c r="N186" s="597" t="s">
        <v>23</v>
      </c>
      <c r="O186" s="593">
        <v>25</v>
      </c>
      <c r="P186" s="144" t="s">
        <v>101</v>
      </c>
      <c r="R186" s="165" t="e">
        <f>_xlfn.XLOOKUP(Table3[[#This Row],[SKU]],'05_Daily_Orders'!$B$2:$B$328,'05_Daily_Orders'!G:G)</f>
        <v>#VALUE!</v>
      </c>
      <c r="S186" s="166" t="str">
        <f t="shared" si="2"/>
        <v/>
      </c>
      <c r="T186" s="566" t="e">
        <f ca="1">_xludf.IFNA(_xlfn.XLOOKUP(Table3[[#This Row],[SKU]],'00_Yield_Rates'!$B$2:$B$17,'00_Yield_Rates'!$E$2:$E$17),"")</f>
        <v>#NAME?</v>
      </c>
    </row>
    <row r="187" spans="1:20">
      <c r="A187" s="591" t="s">
        <v>124</v>
      </c>
      <c r="B187" s="592">
        <v>7119</v>
      </c>
      <c r="C187" s="593" t="s">
        <v>101</v>
      </c>
      <c r="D187" s="593" t="s">
        <v>125</v>
      </c>
      <c r="E187" s="593" t="s">
        <v>40</v>
      </c>
      <c r="F187" s="593">
        <v>0</v>
      </c>
      <c r="G187" s="593">
        <v>8</v>
      </c>
      <c r="H187" s="593" t="s">
        <v>126</v>
      </c>
      <c r="I187" s="593" t="s">
        <v>140</v>
      </c>
      <c r="J187" s="594" t="s">
        <v>238</v>
      </c>
      <c r="K187" s="595" t="s">
        <v>129</v>
      </c>
      <c r="L187" s="595" t="s">
        <v>227</v>
      </c>
      <c r="M187" s="596">
        <v>70.010000000000005</v>
      </c>
      <c r="N187" s="597" t="s">
        <v>23</v>
      </c>
      <c r="O187" s="593">
        <v>25</v>
      </c>
      <c r="P187" s="144" t="s">
        <v>101</v>
      </c>
      <c r="R187" s="165" t="e">
        <f>_xlfn.XLOOKUP(Table3[[#This Row],[SKU]],'05_Daily_Orders'!$B$2:$B$328,'05_Daily_Orders'!G:G)</f>
        <v>#VALUE!</v>
      </c>
      <c r="S187" s="166" t="str">
        <f t="shared" si="2"/>
        <v/>
      </c>
      <c r="T187" s="566" t="e">
        <f ca="1">_xludf.IFNA(_xlfn.XLOOKUP(Table3[[#This Row],[SKU]],'00_Yield_Rates'!$B$2:$B$17,'00_Yield_Rates'!$E$2:$E$17),"")</f>
        <v>#NAME?</v>
      </c>
    </row>
    <row r="188" spans="1:20">
      <c r="A188" s="591" t="s">
        <v>124</v>
      </c>
      <c r="B188" s="592">
        <v>7120</v>
      </c>
      <c r="C188" s="593" t="s">
        <v>118</v>
      </c>
      <c r="D188" s="593" t="s">
        <v>125</v>
      </c>
      <c r="E188" s="593" t="s">
        <v>21</v>
      </c>
      <c r="F188" s="593">
        <v>8.1490624999999994</v>
      </c>
      <c r="G188" s="593">
        <v>8</v>
      </c>
      <c r="H188" s="593" t="s">
        <v>126</v>
      </c>
      <c r="I188" s="593" t="s">
        <v>140</v>
      </c>
      <c r="J188" s="594" t="s">
        <v>239</v>
      </c>
      <c r="K188" s="595" t="s">
        <v>142</v>
      </c>
      <c r="L188" s="595" t="s">
        <v>227</v>
      </c>
      <c r="M188" s="596">
        <v>20.8</v>
      </c>
      <c r="N188" s="597" t="s">
        <v>23</v>
      </c>
      <c r="O188" s="593">
        <v>25</v>
      </c>
      <c r="P188" s="144" t="s">
        <v>118</v>
      </c>
      <c r="R188" s="165" t="e">
        <f>_xlfn.XLOOKUP(Table3[[#This Row],[SKU]],'05_Daily_Orders'!$B$2:$B$328,'05_Daily_Orders'!G:G)</f>
        <v>#VALUE!</v>
      </c>
      <c r="S188" s="166" t="str">
        <f t="shared" si="2"/>
        <v/>
      </c>
      <c r="T188" s="566" t="e">
        <f ca="1">_xludf.IFNA(_xlfn.XLOOKUP(Table3[[#This Row],[SKU]],'00_Yield_Rates'!$B$2:$B$17,'00_Yield_Rates'!$E$2:$E$17),"")</f>
        <v>#NAME?</v>
      </c>
    </row>
    <row r="189" spans="1:20">
      <c r="A189" s="591" t="s">
        <v>124</v>
      </c>
      <c r="B189" s="592">
        <v>7121</v>
      </c>
      <c r="C189" s="593">
        <v>203041</v>
      </c>
      <c r="D189" s="593" t="s">
        <v>125</v>
      </c>
      <c r="E189" s="593" t="s">
        <v>40</v>
      </c>
      <c r="F189" s="593"/>
      <c r="G189" s="593">
        <v>8</v>
      </c>
      <c r="H189" s="593" t="s">
        <v>126</v>
      </c>
      <c r="I189" s="593" t="s">
        <v>140</v>
      </c>
      <c r="J189" s="594" t="s">
        <v>240</v>
      </c>
      <c r="K189" s="595" t="s">
        <v>129</v>
      </c>
      <c r="L189" s="595" t="s">
        <v>227</v>
      </c>
      <c r="M189" s="596">
        <v>0</v>
      </c>
      <c r="N189" s="597" t="s">
        <v>44</v>
      </c>
      <c r="O189" s="593">
        <v>25</v>
      </c>
      <c r="P189" s="144">
        <v>203041</v>
      </c>
      <c r="R189" s="165" t="e">
        <f>_xlfn.XLOOKUP(Table3[[#This Row],[SKU]],'05_Daily_Orders'!$B$2:$B$328,'05_Daily_Orders'!G:G)</f>
        <v>#VALUE!</v>
      </c>
      <c r="S189" s="166" t="str">
        <f t="shared" si="2"/>
        <v/>
      </c>
      <c r="T189" s="566" t="e">
        <f ca="1">_xludf.IFNA(_xlfn.XLOOKUP(Table3[[#This Row],[SKU]],'00_Yield_Rates'!$B$2:$B$17,'00_Yield_Rates'!$E$2:$E$17),"")</f>
        <v>#NAME?</v>
      </c>
    </row>
    <row r="190" spans="1:20">
      <c r="A190" s="591" t="s">
        <v>124</v>
      </c>
      <c r="B190" s="592">
        <v>7136</v>
      </c>
      <c r="C190" s="593" t="s">
        <v>110</v>
      </c>
      <c r="D190" s="593" t="s">
        <v>125</v>
      </c>
      <c r="E190" s="593" t="s">
        <v>146</v>
      </c>
      <c r="F190" s="593"/>
      <c r="G190" s="593">
        <v>8</v>
      </c>
      <c r="H190" s="593" t="s">
        <v>126</v>
      </c>
      <c r="I190" s="593" t="s">
        <v>140</v>
      </c>
      <c r="J190" s="594" t="s">
        <v>241</v>
      </c>
      <c r="K190" s="598" t="s">
        <v>129</v>
      </c>
      <c r="L190" s="595" t="s">
        <v>227</v>
      </c>
      <c r="M190" s="596">
        <v>54.87</v>
      </c>
      <c r="N190" s="597" t="s">
        <v>23</v>
      </c>
      <c r="O190" s="593">
        <v>25</v>
      </c>
      <c r="P190" s="144" t="s">
        <v>110</v>
      </c>
      <c r="R190" s="165" t="e">
        <f>_xlfn.XLOOKUP(Table3[[#This Row],[SKU]],'05_Daily_Orders'!$B$2:$B$328,'05_Daily_Orders'!G:G)</f>
        <v>#VALUE!</v>
      </c>
      <c r="S190" s="166" t="str">
        <f t="shared" si="2"/>
        <v/>
      </c>
      <c r="T190" s="566" t="e">
        <f ca="1">_xludf.IFNA(_xlfn.XLOOKUP(Table3[[#This Row],[SKU]],'00_Yield_Rates'!$B$2:$B$17,'00_Yield_Rates'!$E$2:$E$17),"")</f>
        <v>#NAME?</v>
      </c>
    </row>
    <row r="191" spans="1:20">
      <c r="A191" s="591" t="s">
        <v>124</v>
      </c>
      <c r="B191" s="592">
        <v>7137</v>
      </c>
      <c r="C191" s="593">
        <v>61082</v>
      </c>
      <c r="D191" s="593" t="s">
        <v>125</v>
      </c>
      <c r="E191" s="593" t="s">
        <v>30</v>
      </c>
      <c r="F191" s="593"/>
      <c r="G191" s="593"/>
      <c r="H191" s="593" t="s">
        <v>126</v>
      </c>
      <c r="I191" s="593" t="s">
        <v>140</v>
      </c>
      <c r="J191" s="594" t="s">
        <v>242</v>
      </c>
      <c r="K191" s="598" t="s">
        <v>129</v>
      </c>
      <c r="L191" s="595" t="s">
        <v>227</v>
      </c>
      <c r="M191" s="596">
        <v>34.75</v>
      </c>
      <c r="N191" s="597" t="s">
        <v>23</v>
      </c>
      <c r="O191" s="593">
        <v>25</v>
      </c>
      <c r="P191" s="144">
        <v>61082</v>
      </c>
      <c r="R191" s="165" t="e">
        <f>_xlfn.XLOOKUP(Table3[[#This Row],[SKU]],'05_Daily_Orders'!$B$2:$B$328,'05_Daily_Orders'!G:G)</f>
        <v>#VALUE!</v>
      </c>
      <c r="S191" s="166" t="str">
        <f t="shared" si="2"/>
        <v/>
      </c>
      <c r="T191" s="566" t="e">
        <f ca="1">_xludf.IFNA(_xlfn.XLOOKUP(Table3[[#This Row],[SKU]],'00_Yield_Rates'!$B$2:$B$17,'00_Yield_Rates'!$E$2:$E$17),"")</f>
        <v>#NAME?</v>
      </c>
    </row>
    <row r="192" spans="1:20">
      <c r="A192" s="591" t="s">
        <v>124</v>
      </c>
      <c r="B192" s="592">
        <v>7145</v>
      </c>
      <c r="C192" s="593" t="s">
        <v>101</v>
      </c>
      <c r="D192" s="593" t="s">
        <v>125</v>
      </c>
      <c r="E192" s="593" t="s">
        <v>40</v>
      </c>
      <c r="F192" s="593">
        <v>0</v>
      </c>
      <c r="G192" s="593">
        <v>6</v>
      </c>
      <c r="H192" s="593" t="s">
        <v>143</v>
      </c>
      <c r="I192" s="593" t="s">
        <v>140</v>
      </c>
      <c r="J192" s="594" t="s">
        <v>243</v>
      </c>
      <c r="K192" s="595" t="s">
        <v>129</v>
      </c>
      <c r="L192" s="595" t="s">
        <v>227</v>
      </c>
      <c r="M192" s="596">
        <v>89.97</v>
      </c>
      <c r="N192" s="597" t="s">
        <v>23</v>
      </c>
      <c r="O192" s="593">
        <v>25</v>
      </c>
      <c r="P192" s="144" t="s">
        <v>101</v>
      </c>
      <c r="R192" s="165" t="e">
        <f>_xlfn.XLOOKUP(Table3[[#This Row],[SKU]],'05_Daily_Orders'!$B$2:$B$328,'05_Daily_Orders'!G:G)</f>
        <v>#VALUE!</v>
      </c>
      <c r="S192" s="166" t="str">
        <f t="shared" si="2"/>
        <v/>
      </c>
      <c r="T192" s="566" t="e">
        <f ca="1">_xludf.IFNA(_xlfn.XLOOKUP(Table3[[#This Row],[SKU]],'00_Yield_Rates'!$B$2:$B$17,'00_Yield_Rates'!$E$2:$E$17),"")</f>
        <v>#NAME?</v>
      </c>
    </row>
    <row r="193" spans="1:20">
      <c r="A193" s="591" t="s">
        <v>124</v>
      </c>
      <c r="B193" s="592">
        <v>7146</v>
      </c>
      <c r="C193" s="593" t="s">
        <v>102</v>
      </c>
      <c r="D193" s="593" t="s">
        <v>125</v>
      </c>
      <c r="E193" s="593" t="s">
        <v>24</v>
      </c>
      <c r="F193" s="593">
        <v>7.8289293184803199</v>
      </c>
      <c r="G193" s="593">
        <v>8</v>
      </c>
      <c r="H193" s="593" t="s">
        <v>126</v>
      </c>
      <c r="I193" s="593" t="s">
        <v>140</v>
      </c>
      <c r="J193" s="594" t="s">
        <v>244</v>
      </c>
      <c r="K193" s="595" t="s">
        <v>129</v>
      </c>
      <c r="L193" s="595" t="s">
        <v>227</v>
      </c>
      <c r="M193" s="596">
        <v>92.35</v>
      </c>
      <c r="N193" s="597" t="s">
        <v>23</v>
      </c>
      <c r="O193" s="593">
        <v>25</v>
      </c>
      <c r="P193" s="144" t="s">
        <v>102</v>
      </c>
      <c r="R193" s="165" t="e">
        <f>_xlfn.XLOOKUP(Table3[[#This Row],[SKU]],'05_Daily_Orders'!$B$2:$B$328,'05_Daily_Orders'!G:G)</f>
        <v>#VALUE!</v>
      </c>
      <c r="S193" s="166" t="str">
        <f t="shared" si="2"/>
        <v/>
      </c>
      <c r="T193" s="566" t="e">
        <f ca="1">_xludf.IFNA(_xlfn.XLOOKUP(Table3[[#This Row],[SKU]],'00_Yield_Rates'!$B$2:$B$17,'00_Yield_Rates'!$E$2:$E$17),"")</f>
        <v>#NAME?</v>
      </c>
    </row>
    <row r="194" spans="1:20">
      <c r="A194" s="591" t="s">
        <v>124</v>
      </c>
      <c r="B194" s="592">
        <v>7149</v>
      </c>
      <c r="C194" s="593" t="s">
        <v>102</v>
      </c>
      <c r="D194" s="593" t="s">
        <v>125</v>
      </c>
      <c r="E194" s="593" t="s">
        <v>24</v>
      </c>
      <c r="F194" s="593">
        <v>0</v>
      </c>
      <c r="G194" s="593">
        <v>8</v>
      </c>
      <c r="H194" s="593" t="s">
        <v>126</v>
      </c>
      <c r="I194" s="593" t="s">
        <v>140</v>
      </c>
      <c r="J194" s="594" t="s">
        <v>245</v>
      </c>
      <c r="K194" s="595" t="s">
        <v>129</v>
      </c>
      <c r="L194" s="598" t="s">
        <v>227</v>
      </c>
      <c r="M194" s="599">
        <v>92.35</v>
      </c>
      <c r="N194" s="597" t="s">
        <v>23</v>
      </c>
      <c r="O194" s="593">
        <v>25</v>
      </c>
      <c r="P194" s="144" t="s">
        <v>102</v>
      </c>
      <c r="R194" s="165" t="e">
        <f>_xlfn.XLOOKUP(Table3[[#This Row],[SKU]],'05_Daily_Orders'!$B$2:$B$328,'05_Daily_Orders'!G:G)</f>
        <v>#VALUE!</v>
      </c>
      <c r="S194" s="166" t="str">
        <f t="shared" si="2"/>
        <v/>
      </c>
      <c r="T194" s="566" t="e">
        <f ca="1">_xludf.IFNA(_xlfn.XLOOKUP(Table3[[#This Row],[SKU]],'00_Yield_Rates'!$B$2:$B$17,'00_Yield_Rates'!$E$2:$E$17),"")</f>
        <v>#NAME?</v>
      </c>
    </row>
    <row r="195" spans="1:20">
      <c r="A195" s="591" t="s">
        <v>124</v>
      </c>
      <c r="B195" s="592">
        <v>7150</v>
      </c>
      <c r="C195" s="593" t="s">
        <v>102</v>
      </c>
      <c r="D195" s="593" t="s">
        <v>125</v>
      </c>
      <c r="E195" s="593" t="s">
        <v>24</v>
      </c>
      <c r="F195" s="593">
        <v>10.094750749731199</v>
      </c>
      <c r="G195" s="593">
        <v>8</v>
      </c>
      <c r="H195" s="593" t="s">
        <v>126</v>
      </c>
      <c r="I195" s="593" t="s">
        <v>140</v>
      </c>
      <c r="J195" s="594" t="s">
        <v>245</v>
      </c>
      <c r="K195" s="595" t="s">
        <v>129</v>
      </c>
      <c r="L195" s="598" t="s">
        <v>227</v>
      </c>
      <c r="M195" s="599">
        <v>113.7</v>
      </c>
      <c r="N195" s="597" t="s">
        <v>23</v>
      </c>
      <c r="O195" s="593">
        <v>25</v>
      </c>
      <c r="P195" s="144" t="s">
        <v>102</v>
      </c>
      <c r="R195" s="165" t="e">
        <f>_xlfn.XLOOKUP(Table3[[#This Row],[SKU]],'05_Daily_Orders'!$B$2:$B$328,'05_Daily_Orders'!G:G)</f>
        <v>#VALUE!</v>
      </c>
      <c r="S195" s="166" t="str">
        <f t="shared" si="2"/>
        <v/>
      </c>
      <c r="T195" s="566" t="e">
        <f ca="1">_xludf.IFNA(_xlfn.XLOOKUP(Table3[[#This Row],[SKU]],'00_Yield_Rates'!$B$2:$B$17,'00_Yield_Rates'!$E$2:$E$17),"")</f>
        <v>#NAME?</v>
      </c>
    </row>
    <row r="196" spans="1:20">
      <c r="A196" s="591" t="s">
        <v>124</v>
      </c>
      <c r="B196" s="592">
        <v>7153</v>
      </c>
      <c r="C196" s="593" t="s">
        <v>101</v>
      </c>
      <c r="D196" s="593" t="s">
        <v>125</v>
      </c>
      <c r="E196" s="593" t="s">
        <v>40</v>
      </c>
      <c r="F196" s="593">
        <v>0</v>
      </c>
      <c r="G196" s="593">
        <v>8</v>
      </c>
      <c r="H196" s="593" t="s">
        <v>126</v>
      </c>
      <c r="I196" s="593" t="s">
        <v>140</v>
      </c>
      <c r="J196" s="594" t="s">
        <v>246</v>
      </c>
      <c r="K196" s="595" t="s">
        <v>129</v>
      </c>
      <c r="L196" s="595" t="s">
        <v>227</v>
      </c>
      <c r="M196" s="596">
        <v>70.010000000000005</v>
      </c>
      <c r="N196" s="597" t="s">
        <v>23</v>
      </c>
      <c r="O196" s="593">
        <v>25</v>
      </c>
      <c r="P196" s="144" t="s">
        <v>101</v>
      </c>
      <c r="R196" s="165" t="e">
        <f>_xlfn.XLOOKUP(Table3[[#This Row],[SKU]],'05_Daily_Orders'!$B$2:$B$328,'05_Daily_Orders'!G:G)</f>
        <v>#VALUE!</v>
      </c>
      <c r="S196" s="166" t="str">
        <f t="shared" si="2"/>
        <v/>
      </c>
      <c r="T196" s="566" t="e">
        <f ca="1">_xludf.IFNA(_xlfn.XLOOKUP(Table3[[#This Row],[SKU]],'00_Yield_Rates'!$B$2:$B$17,'00_Yield_Rates'!$E$2:$E$17),"")</f>
        <v>#NAME?</v>
      </c>
    </row>
    <row r="197" spans="1:20">
      <c r="A197" s="591" t="s">
        <v>124</v>
      </c>
      <c r="B197" s="592">
        <v>7155</v>
      </c>
      <c r="C197" s="593" t="s">
        <v>102</v>
      </c>
      <c r="D197" s="593" t="s">
        <v>125</v>
      </c>
      <c r="E197" s="593" t="s">
        <v>24</v>
      </c>
      <c r="F197" s="593">
        <v>0</v>
      </c>
      <c r="G197" s="593">
        <v>12</v>
      </c>
      <c r="H197" s="593" t="s">
        <v>165</v>
      </c>
      <c r="I197" s="593" t="s">
        <v>127</v>
      </c>
      <c r="J197" s="594" t="s">
        <v>166</v>
      </c>
      <c r="K197" s="595" t="s">
        <v>129</v>
      </c>
      <c r="L197" s="595" t="s">
        <v>227</v>
      </c>
      <c r="M197" s="596">
        <v>88.44</v>
      </c>
      <c r="N197" s="597" t="s">
        <v>23</v>
      </c>
      <c r="O197" s="593">
        <v>23</v>
      </c>
      <c r="P197" s="144" t="s">
        <v>102</v>
      </c>
      <c r="R197" s="165" t="e">
        <f>_xlfn.XLOOKUP(Table3[[#This Row],[SKU]],'05_Daily_Orders'!$B$2:$B$328,'05_Daily_Orders'!G:G)</f>
        <v>#VALUE!</v>
      </c>
      <c r="S197" s="166" t="str">
        <f t="shared" si="2"/>
        <v/>
      </c>
      <c r="T197" s="566" t="e">
        <f ca="1">_xludf.IFNA(_xlfn.XLOOKUP(Table3[[#This Row],[SKU]],'00_Yield_Rates'!$B$2:$B$17,'00_Yield_Rates'!$E$2:$E$17),"")</f>
        <v>#NAME?</v>
      </c>
    </row>
    <row r="198" spans="1:20">
      <c r="A198" s="591" t="s">
        <v>124</v>
      </c>
      <c r="B198" s="592">
        <v>7159</v>
      </c>
      <c r="C198" s="593" t="s">
        <v>102</v>
      </c>
      <c r="D198" s="593" t="s">
        <v>125</v>
      </c>
      <c r="E198" s="593" t="s">
        <v>24</v>
      </c>
      <c r="F198" s="593"/>
      <c r="G198" s="593">
        <v>12</v>
      </c>
      <c r="H198" s="593" t="s">
        <v>165</v>
      </c>
      <c r="I198" s="593" t="s">
        <v>127</v>
      </c>
      <c r="J198" s="594" t="s">
        <v>247</v>
      </c>
      <c r="K198" s="595" t="s">
        <v>129</v>
      </c>
      <c r="L198" s="595" t="s">
        <v>227</v>
      </c>
      <c r="M198" s="596">
        <v>67.900000000000006</v>
      </c>
      <c r="N198" s="597" t="s">
        <v>23</v>
      </c>
      <c r="O198" s="593">
        <v>25</v>
      </c>
      <c r="P198" s="144" t="s">
        <v>102</v>
      </c>
      <c r="R198" s="165" t="e">
        <f>_xlfn.XLOOKUP(Table3[[#This Row],[SKU]],'05_Daily_Orders'!$B$2:$B$328,'05_Daily_Orders'!G:G)</f>
        <v>#VALUE!</v>
      </c>
      <c r="S198" s="166" t="str">
        <f t="shared" si="2"/>
        <v/>
      </c>
      <c r="T198" s="566" t="e">
        <f ca="1">_xludf.IFNA(_xlfn.XLOOKUP(Table3[[#This Row],[SKU]],'00_Yield_Rates'!$B$2:$B$17,'00_Yield_Rates'!$E$2:$E$17),"")</f>
        <v>#NAME?</v>
      </c>
    </row>
    <row r="199" spans="1:20">
      <c r="A199" s="591" t="s">
        <v>124</v>
      </c>
      <c r="B199" s="592">
        <v>7160</v>
      </c>
      <c r="C199" s="593" t="s">
        <v>101</v>
      </c>
      <c r="D199" s="593" t="s">
        <v>125</v>
      </c>
      <c r="E199" s="593" t="s">
        <v>40</v>
      </c>
      <c r="F199" s="593"/>
      <c r="G199" s="593">
        <v>8</v>
      </c>
      <c r="H199" s="593" t="s">
        <v>126</v>
      </c>
      <c r="I199" s="593" t="s">
        <v>140</v>
      </c>
      <c r="J199" s="594" t="s">
        <v>248</v>
      </c>
      <c r="K199" s="595" t="s">
        <v>129</v>
      </c>
      <c r="L199" s="595" t="s">
        <v>227</v>
      </c>
      <c r="M199" s="596">
        <v>45.72</v>
      </c>
      <c r="N199" s="597" t="s">
        <v>23</v>
      </c>
      <c r="O199" s="593">
        <v>25</v>
      </c>
      <c r="P199" s="144" t="s">
        <v>101</v>
      </c>
      <c r="R199" s="165" t="e">
        <f>_xlfn.XLOOKUP(Table3[[#This Row],[SKU]],'05_Daily_Orders'!$B$2:$B$328,'05_Daily_Orders'!G:G)</f>
        <v>#VALUE!</v>
      </c>
      <c r="S199" s="166" t="str">
        <f t="shared" si="2"/>
        <v/>
      </c>
      <c r="T199" s="566" t="e">
        <f ca="1">_xludf.IFNA(_xlfn.XLOOKUP(Table3[[#This Row],[SKU]],'00_Yield_Rates'!$B$2:$B$17,'00_Yield_Rates'!$E$2:$E$17),"")</f>
        <v>#NAME?</v>
      </c>
    </row>
    <row r="200" spans="1:20">
      <c r="A200" s="591" t="s">
        <v>124</v>
      </c>
      <c r="B200" s="592">
        <v>7161</v>
      </c>
      <c r="C200" s="593" t="s">
        <v>100</v>
      </c>
      <c r="D200" s="593" t="s">
        <v>125</v>
      </c>
      <c r="E200" s="593" t="s">
        <v>40</v>
      </c>
      <c r="F200" s="593"/>
      <c r="G200" s="593">
        <v>8</v>
      </c>
      <c r="H200" s="593" t="s">
        <v>126</v>
      </c>
      <c r="I200" s="593" t="s">
        <v>140</v>
      </c>
      <c r="J200" s="594" t="s">
        <v>249</v>
      </c>
      <c r="K200" s="595" t="s">
        <v>129</v>
      </c>
      <c r="L200" s="595" t="s">
        <v>227</v>
      </c>
      <c r="M200" s="596">
        <v>0</v>
      </c>
      <c r="N200" s="597" t="s">
        <v>23</v>
      </c>
      <c r="O200" s="593">
        <v>25</v>
      </c>
      <c r="P200" s="144" t="s">
        <v>100</v>
      </c>
      <c r="R200" s="165" t="e">
        <f>_xlfn.XLOOKUP(Table3[[#This Row],[SKU]],'05_Daily_Orders'!$B$2:$B$328,'05_Daily_Orders'!G:G)</f>
        <v>#VALUE!</v>
      </c>
      <c r="S200" s="166" t="str">
        <f t="shared" si="2"/>
        <v/>
      </c>
      <c r="T200" s="566" t="e">
        <f ca="1">_xludf.IFNA(_xlfn.XLOOKUP(Table3[[#This Row],[SKU]],'00_Yield_Rates'!$B$2:$B$17,'00_Yield_Rates'!$E$2:$E$17),"")</f>
        <v>#NAME?</v>
      </c>
    </row>
    <row r="201" spans="1:20">
      <c r="A201" s="591" t="s">
        <v>124</v>
      </c>
      <c r="B201" s="592">
        <v>7162</v>
      </c>
      <c r="C201" s="593" t="s">
        <v>118</v>
      </c>
      <c r="D201" s="593" t="s">
        <v>125</v>
      </c>
      <c r="E201" s="593" t="s">
        <v>21</v>
      </c>
      <c r="F201" s="593"/>
      <c r="G201" s="593">
        <v>8</v>
      </c>
      <c r="H201" s="593" t="s">
        <v>126</v>
      </c>
      <c r="I201" s="593" t="s">
        <v>140</v>
      </c>
      <c r="J201" s="594" t="s">
        <v>250</v>
      </c>
      <c r="K201" s="595" t="s">
        <v>142</v>
      </c>
      <c r="L201" s="595" t="s">
        <v>227</v>
      </c>
      <c r="M201" s="596">
        <v>0</v>
      </c>
      <c r="N201" s="597" t="s">
        <v>23</v>
      </c>
      <c r="O201" s="593">
        <v>25</v>
      </c>
      <c r="P201" s="144" t="s">
        <v>118</v>
      </c>
      <c r="R201" s="165" t="e">
        <f>_xlfn.XLOOKUP(Table3[[#This Row],[SKU]],'05_Daily_Orders'!$B$2:$B$328,'05_Daily_Orders'!G:G)</f>
        <v>#VALUE!</v>
      </c>
      <c r="S201" s="166" t="str">
        <f t="shared" si="2"/>
        <v/>
      </c>
      <c r="T201" s="566" t="e">
        <f ca="1">_xludf.IFNA(_xlfn.XLOOKUP(Table3[[#This Row],[SKU]],'00_Yield_Rates'!$B$2:$B$17,'00_Yield_Rates'!$E$2:$E$17),"")</f>
        <v>#NAME?</v>
      </c>
    </row>
    <row r="202" spans="1:20">
      <c r="A202" s="591" t="s">
        <v>124</v>
      </c>
      <c r="B202" s="592">
        <v>7163</v>
      </c>
      <c r="C202" s="593">
        <v>61082</v>
      </c>
      <c r="D202" s="593" t="s">
        <v>125</v>
      </c>
      <c r="E202" s="593" t="s">
        <v>30</v>
      </c>
      <c r="F202" s="593"/>
      <c r="G202" s="593">
        <v>8</v>
      </c>
      <c r="H202" s="593" t="s">
        <v>126</v>
      </c>
      <c r="I202" s="593" t="s">
        <v>140</v>
      </c>
      <c r="J202" s="594" t="s">
        <v>251</v>
      </c>
      <c r="K202" s="598" t="s">
        <v>129</v>
      </c>
      <c r="L202" s="595" t="s">
        <v>227</v>
      </c>
      <c r="M202" s="596">
        <v>0</v>
      </c>
      <c r="N202" s="597" t="s">
        <v>23</v>
      </c>
      <c r="O202" s="593">
        <v>25</v>
      </c>
      <c r="P202" s="144">
        <v>61082</v>
      </c>
      <c r="R202" s="165" t="e">
        <f>_xlfn.XLOOKUP(Table3[[#This Row],[SKU]],'05_Daily_Orders'!$B$2:$B$328,'05_Daily_Orders'!G:G)</f>
        <v>#VALUE!</v>
      </c>
      <c r="S202" s="166" t="str">
        <f t="shared" si="2"/>
        <v/>
      </c>
      <c r="T202" s="566" t="e">
        <f ca="1">_xludf.IFNA(_xlfn.XLOOKUP(Table3[[#This Row],[SKU]],'00_Yield_Rates'!$B$2:$B$17,'00_Yield_Rates'!$E$2:$E$17),"")</f>
        <v>#NAME?</v>
      </c>
    </row>
    <row r="203" spans="1:20">
      <c r="A203" s="591" t="s">
        <v>124</v>
      </c>
      <c r="B203" s="592">
        <v>7164</v>
      </c>
      <c r="C203" s="593" t="s">
        <v>110</v>
      </c>
      <c r="D203" s="593" t="s">
        <v>125</v>
      </c>
      <c r="E203" s="593" t="s">
        <v>146</v>
      </c>
      <c r="F203" s="593"/>
      <c r="G203" s="593">
        <v>8</v>
      </c>
      <c r="H203" s="593" t="s">
        <v>126</v>
      </c>
      <c r="I203" s="593" t="s">
        <v>140</v>
      </c>
      <c r="J203" s="594" t="s">
        <v>252</v>
      </c>
      <c r="K203" s="598" t="s">
        <v>129</v>
      </c>
      <c r="L203" s="595" t="s">
        <v>227</v>
      </c>
      <c r="M203" s="596">
        <v>0</v>
      </c>
      <c r="N203" s="597" t="s">
        <v>23</v>
      </c>
      <c r="O203" s="593">
        <v>25</v>
      </c>
      <c r="P203" s="144" t="s">
        <v>110</v>
      </c>
      <c r="R203" s="165" t="e">
        <f>_xlfn.XLOOKUP(Table3[[#This Row],[SKU]],'05_Daily_Orders'!$B$2:$B$328,'05_Daily_Orders'!G:G)</f>
        <v>#VALUE!</v>
      </c>
      <c r="S203" s="166" t="str">
        <f t="shared" si="2"/>
        <v/>
      </c>
      <c r="T203" s="566" t="e">
        <f ca="1">_xludf.IFNA(_xlfn.XLOOKUP(Table3[[#This Row],[SKU]],'00_Yield_Rates'!$B$2:$B$17,'00_Yield_Rates'!$E$2:$E$17),"")</f>
        <v>#NAME?</v>
      </c>
    </row>
    <row r="204" spans="1:20">
      <c r="A204" s="591" t="s">
        <v>124</v>
      </c>
      <c r="B204" s="592">
        <v>7165</v>
      </c>
      <c r="C204" s="593">
        <v>61061</v>
      </c>
      <c r="D204" s="593" t="s">
        <v>125</v>
      </c>
      <c r="E204" s="593" t="s">
        <v>26</v>
      </c>
      <c r="F204" s="593"/>
      <c r="G204" s="593">
        <v>8</v>
      </c>
      <c r="H204" s="593" t="s">
        <v>126</v>
      </c>
      <c r="I204" s="593" t="s">
        <v>140</v>
      </c>
      <c r="J204" s="594" t="s">
        <v>253</v>
      </c>
      <c r="K204" s="598" t="s">
        <v>129</v>
      </c>
      <c r="L204" s="598" t="s">
        <v>227</v>
      </c>
      <c r="M204" s="599">
        <v>0</v>
      </c>
      <c r="N204" s="597" t="s">
        <v>23</v>
      </c>
      <c r="O204" s="593">
        <v>25</v>
      </c>
      <c r="P204" s="144">
        <v>61061</v>
      </c>
      <c r="R204" s="165" t="e">
        <f>_xlfn.XLOOKUP(Table3[[#This Row],[SKU]],'05_Daily_Orders'!$B$2:$B$328,'05_Daily_Orders'!G:G)</f>
        <v>#VALUE!</v>
      </c>
      <c r="S204" s="166" t="str">
        <f t="shared" si="2"/>
        <v/>
      </c>
      <c r="T204" s="566" t="e">
        <f ca="1">_xludf.IFNA(_xlfn.XLOOKUP(Table3[[#This Row],[SKU]],'00_Yield_Rates'!$B$2:$B$17,'00_Yield_Rates'!$E$2:$E$17),"")</f>
        <v>#NAME?</v>
      </c>
    </row>
    <row r="205" spans="1:20">
      <c r="A205" s="591" t="s">
        <v>124</v>
      </c>
      <c r="B205" s="592">
        <v>7166</v>
      </c>
      <c r="C205" s="593">
        <v>61010</v>
      </c>
      <c r="D205" s="593" t="s">
        <v>125</v>
      </c>
      <c r="E205" s="593" t="s">
        <v>155</v>
      </c>
      <c r="F205" s="593"/>
      <c r="G205" s="593">
        <v>8</v>
      </c>
      <c r="H205" s="593" t="s">
        <v>126</v>
      </c>
      <c r="I205" s="593" t="s">
        <v>140</v>
      </c>
      <c r="J205" s="594" t="s">
        <v>254</v>
      </c>
      <c r="K205" s="595" t="s">
        <v>129</v>
      </c>
      <c r="L205" s="595" t="s">
        <v>227</v>
      </c>
      <c r="M205" s="596">
        <v>0</v>
      </c>
      <c r="N205" s="597" t="s">
        <v>23</v>
      </c>
      <c r="O205" s="593">
        <v>25</v>
      </c>
      <c r="P205" s="144">
        <v>61010</v>
      </c>
      <c r="R205" s="165" t="e">
        <f>_xlfn.XLOOKUP(Table3[[#This Row],[SKU]],'05_Daily_Orders'!$B$2:$B$328,'05_Daily_Orders'!G:G)</f>
        <v>#VALUE!</v>
      </c>
      <c r="S205" s="166" t="str">
        <f t="shared" si="2"/>
        <v/>
      </c>
      <c r="T205" s="566" t="e">
        <f ca="1">_xludf.IFNA(_xlfn.XLOOKUP(Table3[[#This Row],[SKU]],'00_Yield_Rates'!$B$2:$B$17,'00_Yield_Rates'!$E$2:$E$17),"")</f>
        <v>#NAME?</v>
      </c>
    </row>
    <row r="206" spans="1:20">
      <c r="A206" s="591" t="s">
        <v>124</v>
      </c>
      <c r="B206" s="592">
        <v>7168</v>
      </c>
      <c r="C206" s="593" t="s">
        <v>110</v>
      </c>
      <c r="D206" s="593" t="s">
        <v>125</v>
      </c>
      <c r="E206" s="593" t="s">
        <v>146</v>
      </c>
      <c r="F206" s="593">
        <v>0</v>
      </c>
      <c r="G206" s="593">
        <v>8</v>
      </c>
      <c r="H206" s="593" t="s">
        <v>126</v>
      </c>
      <c r="I206" s="593" t="s">
        <v>140</v>
      </c>
      <c r="J206" s="594" t="s">
        <v>235</v>
      </c>
      <c r="K206" s="598" t="s">
        <v>129</v>
      </c>
      <c r="L206" s="598" t="s">
        <v>227</v>
      </c>
      <c r="M206" s="599">
        <v>42.33</v>
      </c>
      <c r="N206" s="597" t="s">
        <v>23</v>
      </c>
      <c r="O206" s="593">
        <v>25</v>
      </c>
      <c r="P206" s="144" t="s">
        <v>110</v>
      </c>
      <c r="R206" s="165" t="e">
        <f>_xlfn.XLOOKUP(Table3[[#This Row],[SKU]],'05_Daily_Orders'!$B$2:$B$328,'05_Daily_Orders'!G:G)</f>
        <v>#VALUE!</v>
      </c>
      <c r="S206" s="166" t="str">
        <f t="shared" si="2"/>
        <v/>
      </c>
      <c r="T206" s="566" t="e">
        <f ca="1">_xludf.IFNA(_xlfn.XLOOKUP(Table3[[#This Row],[SKU]],'00_Yield_Rates'!$B$2:$B$17,'00_Yield_Rates'!$E$2:$E$17),"")</f>
        <v>#NAME?</v>
      </c>
    </row>
    <row r="207" spans="1:20">
      <c r="A207" s="591" t="s">
        <v>124</v>
      </c>
      <c r="B207" s="592">
        <v>7169</v>
      </c>
      <c r="C207" s="593">
        <v>61082</v>
      </c>
      <c r="D207" s="593" t="s">
        <v>125</v>
      </c>
      <c r="E207" s="593" t="s">
        <v>30</v>
      </c>
      <c r="F207" s="593"/>
      <c r="G207" s="593">
        <v>8</v>
      </c>
      <c r="H207" s="593" t="s">
        <v>126</v>
      </c>
      <c r="I207" s="593" t="s">
        <v>140</v>
      </c>
      <c r="J207" s="594" t="s">
        <v>236</v>
      </c>
      <c r="K207" s="598" t="s">
        <v>129</v>
      </c>
      <c r="L207" s="595" t="s">
        <v>227</v>
      </c>
      <c r="M207" s="596">
        <v>45.72</v>
      </c>
      <c r="N207" s="597" t="s">
        <v>23</v>
      </c>
      <c r="O207" s="593">
        <v>25</v>
      </c>
      <c r="P207" s="144">
        <v>61082</v>
      </c>
      <c r="R207" s="165" t="e">
        <f>_xlfn.XLOOKUP(Table3[[#This Row],[SKU]],'05_Daily_Orders'!$B$2:$B$328,'05_Daily_Orders'!G:G)</f>
        <v>#VALUE!</v>
      </c>
      <c r="S207" s="166" t="str">
        <f t="shared" si="2"/>
        <v/>
      </c>
      <c r="T207" s="566" t="e">
        <f ca="1">_xludf.IFNA(_xlfn.XLOOKUP(Table3[[#This Row],[SKU]],'00_Yield_Rates'!$B$2:$B$17,'00_Yield_Rates'!$E$2:$E$17),"")</f>
        <v>#NAME?</v>
      </c>
    </row>
    <row r="208" spans="1:20">
      <c r="A208" s="591" t="s">
        <v>124</v>
      </c>
      <c r="B208" s="592">
        <v>7171</v>
      </c>
      <c r="C208" s="593" t="s">
        <v>118</v>
      </c>
      <c r="D208" s="593" t="s">
        <v>125</v>
      </c>
      <c r="E208" s="593" t="s">
        <v>21</v>
      </c>
      <c r="F208" s="593"/>
      <c r="G208" s="593">
        <v>8</v>
      </c>
      <c r="H208" s="593" t="s">
        <v>126</v>
      </c>
      <c r="I208" s="593" t="s">
        <v>140</v>
      </c>
      <c r="J208" s="594" t="s">
        <v>239</v>
      </c>
      <c r="K208" s="595" t="s">
        <v>142</v>
      </c>
      <c r="L208" s="595" t="s">
        <v>227</v>
      </c>
      <c r="M208" s="596">
        <v>0</v>
      </c>
      <c r="N208" s="597" t="s">
        <v>23</v>
      </c>
      <c r="O208" s="593">
        <v>25</v>
      </c>
      <c r="P208" s="144" t="s">
        <v>118</v>
      </c>
      <c r="R208" s="165" t="e">
        <f>_xlfn.XLOOKUP(Table3[[#This Row],[SKU]],'05_Daily_Orders'!$B$2:$B$328,'05_Daily_Orders'!G:G)</f>
        <v>#VALUE!</v>
      </c>
      <c r="S208" s="166" t="str">
        <f t="shared" si="2"/>
        <v/>
      </c>
      <c r="T208" s="566" t="e">
        <f ca="1">_xludf.IFNA(_xlfn.XLOOKUP(Table3[[#This Row],[SKU]],'00_Yield_Rates'!$B$2:$B$17,'00_Yield_Rates'!$E$2:$E$17),"")</f>
        <v>#NAME?</v>
      </c>
    </row>
    <row r="209" spans="1:20">
      <c r="A209" s="591" t="s">
        <v>124</v>
      </c>
      <c r="B209" s="592">
        <v>7173</v>
      </c>
      <c r="C209" s="593" t="s">
        <v>110</v>
      </c>
      <c r="D209" s="593" t="s">
        <v>125</v>
      </c>
      <c r="E209" s="593" t="s">
        <v>146</v>
      </c>
      <c r="F209" s="593"/>
      <c r="G209" s="593">
        <v>6</v>
      </c>
      <c r="H209" s="593" t="s">
        <v>143</v>
      </c>
      <c r="I209" s="593" t="s">
        <v>144</v>
      </c>
      <c r="J209" s="594" t="s">
        <v>255</v>
      </c>
      <c r="K209" s="595" t="s">
        <v>129</v>
      </c>
      <c r="L209" s="595" t="s">
        <v>227</v>
      </c>
      <c r="M209" s="596">
        <v>79.25</v>
      </c>
      <c r="N209" s="597" t="s">
        <v>23</v>
      </c>
      <c r="O209" s="593">
        <v>25</v>
      </c>
      <c r="P209" s="144" t="s">
        <v>110</v>
      </c>
      <c r="R209" s="165" t="e">
        <f>_xlfn.XLOOKUP(Table3[[#This Row],[SKU]],'05_Daily_Orders'!$B$2:$B$328,'05_Daily_Orders'!G:G)</f>
        <v>#VALUE!</v>
      </c>
      <c r="S209" s="166" t="str">
        <f t="shared" si="2"/>
        <v/>
      </c>
      <c r="T209" s="566" t="e">
        <f ca="1">_xludf.IFNA(_xlfn.XLOOKUP(Table3[[#This Row],[SKU]],'00_Yield_Rates'!$B$2:$B$17,'00_Yield_Rates'!$E$2:$E$17),"")</f>
        <v>#NAME?</v>
      </c>
    </row>
    <row r="210" spans="1:20">
      <c r="A210" s="591" t="s">
        <v>124</v>
      </c>
      <c r="B210" s="592">
        <v>7178</v>
      </c>
      <c r="C210" s="593">
        <v>203891</v>
      </c>
      <c r="D210" s="593" t="s">
        <v>125</v>
      </c>
      <c r="E210" s="593" t="s">
        <v>256</v>
      </c>
      <c r="F210" s="593">
        <v>0</v>
      </c>
      <c r="G210" s="593">
        <v>3</v>
      </c>
      <c r="H210" s="593" t="s">
        <v>257</v>
      </c>
      <c r="I210" s="593" t="s">
        <v>140</v>
      </c>
      <c r="J210" s="594" t="s">
        <v>258</v>
      </c>
      <c r="K210" s="598" t="s">
        <v>129</v>
      </c>
      <c r="L210" s="595" t="s">
        <v>227</v>
      </c>
      <c r="M210" s="596">
        <v>133.08000000000001</v>
      </c>
      <c r="N210" s="597"/>
      <c r="O210" s="593">
        <v>25</v>
      </c>
      <c r="P210" s="144">
        <v>203891</v>
      </c>
      <c r="R210" s="165" t="e">
        <f>_xlfn.XLOOKUP(Table3[[#This Row],[SKU]],'05_Daily_Orders'!$B$2:$B$328,'05_Daily_Orders'!G:G)</f>
        <v>#VALUE!</v>
      </c>
      <c r="S210" s="166" t="str">
        <f t="shared" si="2"/>
        <v/>
      </c>
      <c r="T210" s="566" t="e">
        <f ca="1">_xludf.IFNA(_xlfn.XLOOKUP(Table3[[#This Row],[SKU]],'00_Yield_Rates'!$B$2:$B$17,'00_Yield_Rates'!$E$2:$E$17),"")</f>
        <v>#NAME?</v>
      </c>
    </row>
    <row r="211" spans="1:20">
      <c r="A211" s="591" t="s">
        <v>124</v>
      </c>
      <c r="B211" s="592">
        <v>7179</v>
      </c>
      <c r="C211" s="593" t="s">
        <v>102</v>
      </c>
      <c r="D211" s="593" t="s">
        <v>125</v>
      </c>
      <c r="E211" s="593" t="s">
        <v>24</v>
      </c>
      <c r="F211" s="593">
        <v>10.020709951800301</v>
      </c>
      <c r="G211" s="593">
        <v>8</v>
      </c>
      <c r="H211" s="593" t="s">
        <v>126</v>
      </c>
      <c r="I211" s="593" t="s">
        <v>140</v>
      </c>
      <c r="J211" s="594" t="s">
        <v>245</v>
      </c>
      <c r="K211" s="595" t="s">
        <v>129</v>
      </c>
      <c r="L211" s="598" t="s">
        <v>227</v>
      </c>
      <c r="M211" s="599">
        <v>113.7</v>
      </c>
      <c r="N211" s="597" t="s">
        <v>23</v>
      </c>
      <c r="O211" s="593">
        <v>25</v>
      </c>
      <c r="P211" s="144" t="s">
        <v>102</v>
      </c>
      <c r="R211" s="165" t="e">
        <f>_xlfn.XLOOKUP(Table3[[#This Row],[SKU]],'05_Daily_Orders'!$B$2:$B$328,'05_Daily_Orders'!G:G)</f>
        <v>#VALUE!</v>
      </c>
      <c r="S211" s="166" t="str">
        <f t="shared" si="2"/>
        <v/>
      </c>
      <c r="T211" s="566" t="e">
        <f ca="1">_xludf.IFNA(_xlfn.XLOOKUP(Table3[[#This Row],[SKU]],'00_Yield_Rates'!$B$2:$B$17,'00_Yield_Rates'!$E$2:$E$17),"")</f>
        <v>#NAME?</v>
      </c>
    </row>
    <row r="212" spans="1:20">
      <c r="A212" s="591" t="s">
        <v>124</v>
      </c>
      <c r="B212" s="592">
        <v>7188</v>
      </c>
      <c r="C212" s="593">
        <v>61072</v>
      </c>
      <c r="D212" s="593" t="s">
        <v>125</v>
      </c>
      <c r="E212" s="593" t="s">
        <v>146</v>
      </c>
      <c r="F212" s="593">
        <v>0</v>
      </c>
      <c r="G212" s="593">
        <v>8</v>
      </c>
      <c r="H212" s="593" t="s">
        <v>126</v>
      </c>
      <c r="I212" s="593" t="s">
        <v>140</v>
      </c>
      <c r="J212" s="594" t="s">
        <v>259</v>
      </c>
      <c r="K212" s="598" t="s">
        <v>129</v>
      </c>
      <c r="L212" s="595" t="s">
        <v>227</v>
      </c>
      <c r="M212" s="596">
        <v>52.6</v>
      </c>
      <c r="N212" s="597" t="s">
        <v>44</v>
      </c>
      <c r="O212" s="593">
        <v>25</v>
      </c>
      <c r="P212" s="144">
        <v>61072</v>
      </c>
      <c r="R212" s="165" t="e">
        <f>_xlfn.XLOOKUP(Table3[[#This Row],[SKU]],'05_Daily_Orders'!$B$2:$B$328,'05_Daily_Orders'!G:G)</f>
        <v>#VALUE!</v>
      </c>
      <c r="S212" s="166" t="str">
        <f t="shared" si="2"/>
        <v/>
      </c>
      <c r="T212" s="566" t="e">
        <f ca="1">_xludf.IFNA(_xlfn.XLOOKUP(Table3[[#This Row],[SKU]],'00_Yield_Rates'!$B$2:$B$17,'00_Yield_Rates'!$E$2:$E$17),"")</f>
        <v>#NAME?</v>
      </c>
    </row>
    <row r="213" spans="1:20">
      <c r="A213" s="591" t="s">
        <v>124</v>
      </c>
      <c r="B213" s="592">
        <v>7189</v>
      </c>
      <c r="C213" s="593">
        <v>61077</v>
      </c>
      <c r="D213" s="593" t="s">
        <v>125</v>
      </c>
      <c r="E213" s="593" t="s">
        <v>30</v>
      </c>
      <c r="F213" s="593">
        <v>0</v>
      </c>
      <c r="G213" s="593">
        <v>8</v>
      </c>
      <c r="H213" s="593" t="s">
        <v>126</v>
      </c>
      <c r="I213" s="593" t="s">
        <v>140</v>
      </c>
      <c r="J213" s="594" t="s">
        <v>260</v>
      </c>
      <c r="K213" s="598" t="s">
        <v>129</v>
      </c>
      <c r="L213" s="595" t="s">
        <v>227</v>
      </c>
      <c r="M213" s="596">
        <v>60.11</v>
      </c>
      <c r="N213" s="597" t="s">
        <v>44</v>
      </c>
      <c r="O213" s="593">
        <v>25</v>
      </c>
      <c r="P213" s="144">
        <v>61077</v>
      </c>
      <c r="R213" s="165" t="e">
        <f>_xlfn.XLOOKUP(Table3[[#This Row],[SKU]],'05_Daily_Orders'!$B$2:$B$328,'05_Daily_Orders'!G:G)</f>
        <v>#VALUE!</v>
      </c>
      <c r="S213" s="166" t="str">
        <f t="shared" si="2"/>
        <v/>
      </c>
      <c r="T213" s="566" t="e">
        <f ca="1">_xludf.IFNA(_xlfn.XLOOKUP(Table3[[#This Row],[SKU]],'00_Yield_Rates'!$B$2:$B$17,'00_Yield_Rates'!$E$2:$E$17),"")</f>
        <v>#NAME?</v>
      </c>
    </row>
    <row r="214" spans="1:20">
      <c r="A214" s="591" t="s">
        <v>124</v>
      </c>
      <c r="B214" s="592">
        <v>7191</v>
      </c>
      <c r="C214" s="593">
        <v>61061</v>
      </c>
      <c r="D214" s="593" t="s">
        <v>125</v>
      </c>
      <c r="E214" s="593" t="s">
        <v>26</v>
      </c>
      <c r="F214" s="593">
        <v>0</v>
      </c>
      <c r="G214" s="593">
        <v>8</v>
      </c>
      <c r="H214" s="593" t="s">
        <v>126</v>
      </c>
      <c r="I214" s="593" t="s">
        <v>140</v>
      </c>
      <c r="J214" s="594" t="s">
        <v>261</v>
      </c>
      <c r="K214" s="598" t="s">
        <v>129</v>
      </c>
      <c r="L214" s="595" t="s">
        <v>227</v>
      </c>
      <c r="M214" s="596">
        <v>82.96</v>
      </c>
      <c r="N214" s="597" t="s">
        <v>23</v>
      </c>
      <c r="O214" s="593">
        <v>25</v>
      </c>
      <c r="P214" s="144">
        <v>61061</v>
      </c>
      <c r="R214" s="165" t="e">
        <f>_xlfn.XLOOKUP(Table3[[#This Row],[SKU]],'05_Daily_Orders'!$B$2:$B$328,'05_Daily_Orders'!G:G)</f>
        <v>#VALUE!</v>
      </c>
      <c r="S214" s="166" t="str">
        <f t="shared" si="2"/>
        <v/>
      </c>
      <c r="T214" s="566" t="e">
        <f ca="1">_xludf.IFNA(_xlfn.XLOOKUP(Table3[[#This Row],[SKU]],'00_Yield_Rates'!$B$2:$B$17,'00_Yield_Rates'!$E$2:$E$17),"")</f>
        <v>#NAME?</v>
      </c>
    </row>
    <row r="215" spans="1:20">
      <c r="A215" s="591" t="s">
        <v>124</v>
      </c>
      <c r="B215" s="592">
        <v>7192</v>
      </c>
      <c r="C215" s="593">
        <v>203152</v>
      </c>
      <c r="D215" s="593" t="s">
        <v>262</v>
      </c>
      <c r="E215" s="593" t="s">
        <v>256</v>
      </c>
      <c r="F215" s="593"/>
      <c r="G215" s="593">
        <v>4</v>
      </c>
      <c r="H215" s="593" t="s">
        <v>257</v>
      </c>
      <c r="I215" s="593" t="s">
        <v>140</v>
      </c>
      <c r="J215" s="594" t="s">
        <v>263</v>
      </c>
      <c r="K215" s="598" t="s">
        <v>129</v>
      </c>
      <c r="L215" s="598" t="s">
        <v>227</v>
      </c>
      <c r="M215" s="599">
        <v>288.67</v>
      </c>
      <c r="N215" s="597"/>
      <c r="O215" s="593">
        <v>25</v>
      </c>
      <c r="P215" s="144">
        <v>203152</v>
      </c>
      <c r="R215" s="165" t="e">
        <f>_xlfn.XLOOKUP(Table3[[#This Row],[SKU]],'05_Daily_Orders'!$B$2:$B$328,'05_Daily_Orders'!G:G)</f>
        <v>#VALUE!</v>
      </c>
      <c r="S215" s="166" t="str">
        <f t="shared" si="2"/>
        <v/>
      </c>
      <c r="T215" s="566" t="e">
        <f ca="1">_xludf.IFNA(_xlfn.XLOOKUP(Table3[[#This Row],[SKU]],'00_Yield_Rates'!$B$2:$B$17,'00_Yield_Rates'!$E$2:$E$17),"")</f>
        <v>#NAME?</v>
      </c>
    </row>
    <row r="216" spans="1:20">
      <c r="A216" s="591" t="s">
        <v>124</v>
      </c>
      <c r="B216" s="592">
        <v>7193</v>
      </c>
      <c r="C216" s="593" t="s">
        <v>110</v>
      </c>
      <c r="D216" s="593" t="s">
        <v>125</v>
      </c>
      <c r="E216" s="593" t="s">
        <v>146</v>
      </c>
      <c r="F216" s="593"/>
      <c r="G216" s="593">
        <v>6</v>
      </c>
      <c r="H216" s="593" t="s">
        <v>143</v>
      </c>
      <c r="I216" s="593" t="s">
        <v>140</v>
      </c>
      <c r="J216" s="594" t="s">
        <v>255</v>
      </c>
      <c r="K216" s="595" t="s">
        <v>129</v>
      </c>
      <c r="L216" s="595" t="s">
        <v>227</v>
      </c>
      <c r="M216" s="596">
        <v>35.31</v>
      </c>
      <c r="N216" s="597" t="s">
        <v>23</v>
      </c>
      <c r="O216" s="593">
        <v>25</v>
      </c>
      <c r="P216" s="144" t="s">
        <v>110</v>
      </c>
      <c r="R216" s="165" t="e">
        <f>_xlfn.XLOOKUP(Table3[[#This Row],[SKU]],'05_Daily_Orders'!$B$2:$B$328,'05_Daily_Orders'!G:G)</f>
        <v>#VALUE!</v>
      </c>
      <c r="S216" s="166" t="str">
        <f t="shared" si="2"/>
        <v/>
      </c>
      <c r="T216" s="566" t="e">
        <f ca="1">_xludf.IFNA(_xlfn.XLOOKUP(Table3[[#This Row],[SKU]],'00_Yield_Rates'!$B$2:$B$17,'00_Yield_Rates'!$E$2:$E$17),"")</f>
        <v>#NAME?</v>
      </c>
    </row>
    <row r="217" spans="1:20">
      <c r="A217" s="591" t="s">
        <v>124</v>
      </c>
      <c r="B217" s="592">
        <v>7229</v>
      </c>
      <c r="C217" s="593">
        <v>61042</v>
      </c>
      <c r="D217" s="593" t="s">
        <v>262</v>
      </c>
      <c r="E217" s="593" t="s">
        <v>40</v>
      </c>
      <c r="F217" s="593">
        <v>7.9639242722696402</v>
      </c>
      <c r="G217" s="601">
        <v>12</v>
      </c>
      <c r="H217" s="593" t="s">
        <v>264</v>
      </c>
      <c r="I217" s="601" t="s">
        <v>127</v>
      </c>
      <c r="J217" s="602" t="s">
        <v>265</v>
      </c>
      <c r="K217" s="595" t="s">
        <v>129</v>
      </c>
      <c r="L217" s="595" t="s">
        <v>227</v>
      </c>
      <c r="M217" s="596">
        <v>95.34</v>
      </c>
      <c r="N217" s="597" t="s">
        <v>44</v>
      </c>
      <c r="O217" s="593">
        <v>25</v>
      </c>
      <c r="P217" s="144">
        <v>61042</v>
      </c>
      <c r="R217" s="165" t="e">
        <f>_xlfn.XLOOKUP(Table3[[#This Row],[SKU]],'05_Daily_Orders'!$B$2:$B$328,'05_Daily_Orders'!G:G)</f>
        <v>#VALUE!</v>
      </c>
      <c r="S217" s="166" t="str">
        <f t="shared" si="2"/>
        <v/>
      </c>
      <c r="T217" s="566" t="e">
        <f ca="1">_xludf.IFNA(_xlfn.XLOOKUP(Table3[[#This Row],[SKU]],'00_Yield_Rates'!$B$2:$B$17,'00_Yield_Rates'!$E$2:$E$17),"")</f>
        <v>#NAME?</v>
      </c>
    </row>
    <row r="218" spans="1:20">
      <c r="A218" s="591" t="s">
        <v>124</v>
      </c>
      <c r="B218" s="592">
        <v>7230</v>
      </c>
      <c r="C218" s="593">
        <v>61049</v>
      </c>
      <c r="D218" s="593" t="s">
        <v>262</v>
      </c>
      <c r="E218" s="593" t="s">
        <v>40</v>
      </c>
      <c r="F218" s="593">
        <v>7.1660573476702503</v>
      </c>
      <c r="G218" s="593">
        <v>12</v>
      </c>
      <c r="H218" s="593" t="s">
        <v>264</v>
      </c>
      <c r="I218" s="593" t="s">
        <v>127</v>
      </c>
      <c r="J218" s="594" t="s">
        <v>266</v>
      </c>
      <c r="K218" s="595" t="s">
        <v>129</v>
      </c>
      <c r="L218" s="595" t="s">
        <v>227</v>
      </c>
      <c r="M218" s="596">
        <v>79.099999999999994</v>
      </c>
      <c r="N218" s="597" t="s">
        <v>44</v>
      </c>
      <c r="O218" s="593">
        <v>25</v>
      </c>
      <c r="P218" s="144">
        <v>61049</v>
      </c>
      <c r="R218" s="165" t="e">
        <f>_xlfn.XLOOKUP(Table3[[#This Row],[SKU]],'05_Daily_Orders'!$B$2:$B$328,'05_Daily_Orders'!G:G)</f>
        <v>#VALUE!</v>
      </c>
      <c r="S218" s="166" t="str">
        <f t="shared" si="2"/>
        <v/>
      </c>
      <c r="T218" s="566" t="e">
        <f ca="1">_xludf.IFNA(_xlfn.XLOOKUP(Table3[[#This Row],[SKU]],'00_Yield_Rates'!$B$2:$B$17,'00_Yield_Rates'!$E$2:$E$17),"")</f>
        <v>#NAME?</v>
      </c>
    </row>
    <row r="219" spans="1:20">
      <c r="A219" s="591" t="s">
        <v>124</v>
      </c>
      <c r="B219" s="592">
        <v>7231</v>
      </c>
      <c r="C219" s="593">
        <v>61051</v>
      </c>
      <c r="D219" s="593" t="s">
        <v>262</v>
      </c>
      <c r="E219" s="593" t="s">
        <v>24</v>
      </c>
      <c r="F219" s="593">
        <v>6.5826365969930301</v>
      </c>
      <c r="G219" s="601">
        <v>12</v>
      </c>
      <c r="H219" s="601" t="s">
        <v>264</v>
      </c>
      <c r="I219" s="601" t="s">
        <v>127</v>
      </c>
      <c r="J219" s="602" t="s">
        <v>267</v>
      </c>
      <c r="K219" s="595" t="s">
        <v>129</v>
      </c>
      <c r="L219" s="595" t="s">
        <v>227</v>
      </c>
      <c r="M219" s="596">
        <v>72.03</v>
      </c>
      <c r="N219" s="597" t="s">
        <v>44</v>
      </c>
      <c r="O219" s="593">
        <v>25</v>
      </c>
      <c r="P219" s="144">
        <v>61051</v>
      </c>
      <c r="R219" s="165" t="e">
        <f>_xlfn.XLOOKUP(Table3[[#This Row],[SKU]],'05_Daily_Orders'!$B$2:$B$328,'05_Daily_Orders'!G:G)</f>
        <v>#VALUE!</v>
      </c>
      <c r="S219" s="166" t="str">
        <f t="shared" si="2"/>
        <v/>
      </c>
      <c r="T219" s="566" t="e">
        <f ca="1">_xludf.IFNA(_xlfn.XLOOKUP(Table3[[#This Row],[SKU]],'00_Yield_Rates'!$B$2:$B$17,'00_Yield_Rates'!$E$2:$E$17),"")</f>
        <v>#NAME?</v>
      </c>
    </row>
    <row r="220" spans="1:20">
      <c r="A220" s="591" t="s">
        <v>124</v>
      </c>
      <c r="B220" s="592">
        <v>7232</v>
      </c>
      <c r="C220" s="593">
        <v>61069</v>
      </c>
      <c r="D220" s="593" t="s">
        <v>262</v>
      </c>
      <c r="E220" s="601" t="s">
        <v>24</v>
      </c>
      <c r="F220" s="593">
        <v>4.3684388055082701</v>
      </c>
      <c r="G220" s="601">
        <v>12</v>
      </c>
      <c r="H220" s="601" t="s">
        <v>264</v>
      </c>
      <c r="I220" s="601" t="s">
        <v>127</v>
      </c>
      <c r="J220" s="602" t="s">
        <v>268</v>
      </c>
      <c r="K220" s="595" t="s">
        <v>129</v>
      </c>
      <c r="L220" s="598" t="s">
        <v>227</v>
      </c>
      <c r="M220" s="599">
        <v>31.1</v>
      </c>
      <c r="N220" s="597" t="s">
        <v>44</v>
      </c>
      <c r="O220" s="593">
        <v>25</v>
      </c>
      <c r="P220" s="144">
        <v>61069</v>
      </c>
      <c r="R220" s="165" t="e">
        <f>_xlfn.XLOOKUP(Table3[[#This Row],[SKU]],'05_Daily_Orders'!$B$2:$B$328,'05_Daily_Orders'!G:G)</f>
        <v>#VALUE!</v>
      </c>
      <c r="S220" s="166" t="str">
        <f t="shared" si="2"/>
        <v/>
      </c>
      <c r="T220" s="566" t="e">
        <f ca="1">_xludf.IFNA(_xlfn.XLOOKUP(Table3[[#This Row],[SKU]],'00_Yield_Rates'!$B$2:$B$17,'00_Yield_Rates'!$E$2:$E$17),"")</f>
        <v>#NAME?</v>
      </c>
    </row>
    <row r="221" spans="1:20">
      <c r="A221" s="591" t="s">
        <v>124</v>
      </c>
      <c r="B221" s="592">
        <v>7233</v>
      </c>
      <c r="C221" s="593">
        <v>61070</v>
      </c>
      <c r="D221" s="593" t="s">
        <v>262</v>
      </c>
      <c r="E221" s="593" t="s">
        <v>24</v>
      </c>
      <c r="F221" s="593">
        <v>0</v>
      </c>
      <c r="G221" s="601">
        <v>12</v>
      </c>
      <c r="H221" s="601" t="s">
        <v>264</v>
      </c>
      <c r="I221" s="601" t="s">
        <v>127</v>
      </c>
      <c r="J221" s="602" t="s">
        <v>269</v>
      </c>
      <c r="K221" s="595" t="s">
        <v>129</v>
      </c>
      <c r="L221" s="598" t="s">
        <v>227</v>
      </c>
      <c r="M221" s="599">
        <v>36.17</v>
      </c>
      <c r="N221" s="597" t="s">
        <v>44</v>
      </c>
      <c r="O221" s="593">
        <v>25</v>
      </c>
      <c r="P221" s="144">
        <v>61070</v>
      </c>
      <c r="R221" s="165" t="e">
        <f>_xlfn.XLOOKUP(Table3[[#This Row],[SKU]],'05_Daily_Orders'!$B$2:$B$328,'05_Daily_Orders'!G:G)</f>
        <v>#VALUE!</v>
      </c>
      <c r="S221" s="166" t="str">
        <f t="shared" si="2"/>
        <v/>
      </c>
      <c r="T221" s="566" t="e">
        <f ca="1">_xludf.IFNA(_xlfn.XLOOKUP(Table3[[#This Row],[SKU]],'00_Yield_Rates'!$B$2:$B$17,'00_Yield_Rates'!$E$2:$E$17),"")</f>
        <v>#NAME?</v>
      </c>
    </row>
    <row r="222" spans="1:20">
      <c r="A222" s="591" t="s">
        <v>124</v>
      </c>
      <c r="B222" s="592">
        <v>7234</v>
      </c>
      <c r="C222" s="593">
        <v>61079</v>
      </c>
      <c r="D222" s="593" t="s">
        <v>262</v>
      </c>
      <c r="E222" s="593" t="s">
        <v>30</v>
      </c>
      <c r="F222" s="593">
        <v>7.0179593134138498</v>
      </c>
      <c r="G222" s="601">
        <v>12</v>
      </c>
      <c r="H222" s="593" t="s">
        <v>264</v>
      </c>
      <c r="I222" s="601" t="s">
        <v>127</v>
      </c>
      <c r="J222" s="602" t="s">
        <v>270</v>
      </c>
      <c r="K222" s="598" t="s">
        <v>129</v>
      </c>
      <c r="L222" s="598" t="s">
        <v>227</v>
      </c>
      <c r="M222" s="599">
        <v>37.58</v>
      </c>
      <c r="N222" s="597" t="s">
        <v>44</v>
      </c>
      <c r="O222" s="593">
        <v>20</v>
      </c>
      <c r="P222" s="144">
        <v>61079</v>
      </c>
      <c r="R222" s="165" t="e">
        <f>_xlfn.XLOOKUP(Table3[[#This Row],[SKU]],'05_Daily_Orders'!$B$2:$B$328,'05_Daily_Orders'!G:G)</f>
        <v>#VALUE!</v>
      </c>
      <c r="S222" s="166" t="str">
        <f t="shared" ref="S222:S285" si="3">IFERROR(R222*1,"")</f>
        <v/>
      </c>
      <c r="T222" s="566" t="e">
        <f ca="1">_xludf.IFNA(_xlfn.XLOOKUP(Table3[[#This Row],[SKU]],'00_Yield_Rates'!$B$2:$B$17,'00_Yield_Rates'!$E$2:$E$17),"")</f>
        <v>#NAME?</v>
      </c>
    </row>
    <row r="223" spans="1:20">
      <c r="A223" s="591" t="s">
        <v>124</v>
      </c>
      <c r="B223" s="592">
        <v>7235</v>
      </c>
      <c r="C223" s="593">
        <v>61087</v>
      </c>
      <c r="D223" s="593" t="s">
        <v>262</v>
      </c>
      <c r="E223" s="593" t="s">
        <v>21</v>
      </c>
      <c r="F223" s="593">
        <v>6.3224613555291302</v>
      </c>
      <c r="G223" s="593">
        <v>12</v>
      </c>
      <c r="H223" s="593" t="s">
        <v>264</v>
      </c>
      <c r="I223" s="593" t="s">
        <v>127</v>
      </c>
      <c r="J223" s="594" t="s">
        <v>271</v>
      </c>
      <c r="K223" s="598" t="s">
        <v>142</v>
      </c>
      <c r="L223" s="598" t="s">
        <v>227</v>
      </c>
      <c r="M223" s="599">
        <v>29.8</v>
      </c>
      <c r="N223" s="597" t="s">
        <v>44</v>
      </c>
      <c r="O223" s="593">
        <v>20</v>
      </c>
      <c r="P223" s="144">
        <v>61087</v>
      </c>
      <c r="R223" s="165" t="e">
        <f>_xlfn.XLOOKUP(Table3[[#This Row],[SKU]],'05_Daily_Orders'!$B$2:$B$328,'05_Daily_Orders'!G:G)</f>
        <v>#VALUE!</v>
      </c>
      <c r="S223" s="166" t="str">
        <f t="shared" si="3"/>
        <v/>
      </c>
      <c r="T223" s="566" t="e">
        <f ca="1">_xludf.IFNA(_xlfn.XLOOKUP(Table3[[#This Row],[SKU]],'00_Yield_Rates'!$B$2:$B$17,'00_Yield_Rates'!$E$2:$E$17),"")</f>
        <v>#NAME?</v>
      </c>
    </row>
    <row r="224" spans="1:20">
      <c r="A224" s="591" t="s">
        <v>124</v>
      </c>
      <c r="B224" s="592">
        <v>7236</v>
      </c>
      <c r="C224" s="593">
        <v>61074</v>
      </c>
      <c r="D224" s="593" t="s">
        <v>262</v>
      </c>
      <c r="E224" s="593" t="s">
        <v>146</v>
      </c>
      <c r="F224" s="593">
        <v>6.0213182811361898</v>
      </c>
      <c r="G224" s="601">
        <v>12</v>
      </c>
      <c r="H224" s="601" t="s">
        <v>264</v>
      </c>
      <c r="I224" s="601" t="s">
        <v>127</v>
      </c>
      <c r="J224" s="602" t="s">
        <v>272</v>
      </c>
      <c r="K224" s="598" t="s">
        <v>129</v>
      </c>
      <c r="L224" s="598" t="s">
        <v>227</v>
      </c>
      <c r="M224" s="599">
        <v>62.64</v>
      </c>
      <c r="N224" s="597" t="s">
        <v>44</v>
      </c>
      <c r="O224" s="593">
        <v>25</v>
      </c>
      <c r="P224" s="144">
        <v>61074</v>
      </c>
      <c r="R224" s="165" t="e">
        <f>_xlfn.XLOOKUP(Table3[[#This Row],[SKU]],'05_Daily_Orders'!$B$2:$B$328,'05_Daily_Orders'!G:G)</f>
        <v>#VALUE!</v>
      </c>
      <c r="S224" s="166" t="str">
        <f t="shared" si="3"/>
        <v/>
      </c>
      <c r="T224" s="566" t="e">
        <f ca="1">_xludf.IFNA(_xlfn.XLOOKUP(Table3[[#This Row],[SKU]],'00_Yield_Rates'!$B$2:$B$17,'00_Yield_Rates'!$E$2:$E$17),"")</f>
        <v>#NAME?</v>
      </c>
    </row>
    <row r="225" spans="1:20">
      <c r="A225" s="591" t="s">
        <v>124</v>
      </c>
      <c r="B225" s="592">
        <v>7237</v>
      </c>
      <c r="C225" s="593">
        <v>61071</v>
      </c>
      <c r="D225" s="593" t="s">
        <v>262</v>
      </c>
      <c r="E225" s="593" t="s">
        <v>146</v>
      </c>
      <c r="F225" s="593"/>
      <c r="G225" s="601">
        <v>12</v>
      </c>
      <c r="H225" s="601" t="s">
        <v>165</v>
      </c>
      <c r="I225" s="601" t="s">
        <v>127</v>
      </c>
      <c r="J225" s="602" t="s">
        <v>273</v>
      </c>
      <c r="K225" s="598" t="s">
        <v>129</v>
      </c>
      <c r="L225" s="598" t="s">
        <v>227</v>
      </c>
      <c r="M225" s="599">
        <v>21.13</v>
      </c>
      <c r="N225" s="597" t="s">
        <v>44</v>
      </c>
      <c r="O225" s="593">
        <v>20</v>
      </c>
      <c r="P225" s="144">
        <v>61071</v>
      </c>
      <c r="R225" s="165" t="e">
        <f>_xlfn.XLOOKUP(Table3[[#This Row],[SKU]],'05_Daily_Orders'!$B$2:$B$328,'05_Daily_Orders'!G:G)</f>
        <v>#VALUE!</v>
      </c>
      <c r="S225" s="166" t="str">
        <f t="shared" si="3"/>
        <v/>
      </c>
      <c r="T225" s="566" t="e">
        <f ca="1">_xludf.IFNA(_xlfn.XLOOKUP(Table3[[#This Row],[SKU]],'00_Yield_Rates'!$B$2:$B$17,'00_Yield_Rates'!$E$2:$E$17),"")</f>
        <v>#NAME?</v>
      </c>
    </row>
    <row r="226" spans="1:20">
      <c r="A226" s="591" t="s">
        <v>124</v>
      </c>
      <c r="B226" s="592">
        <v>7238</v>
      </c>
      <c r="C226" s="593">
        <v>61016</v>
      </c>
      <c r="D226" s="593" t="s">
        <v>262</v>
      </c>
      <c r="E226" s="593" t="s">
        <v>34</v>
      </c>
      <c r="F226" s="593">
        <v>0</v>
      </c>
      <c r="G226" s="601">
        <v>12</v>
      </c>
      <c r="H226" s="593" t="s">
        <v>264</v>
      </c>
      <c r="I226" s="601" t="s">
        <v>127</v>
      </c>
      <c r="J226" s="602" t="s">
        <v>274</v>
      </c>
      <c r="K226" s="595" t="s">
        <v>142</v>
      </c>
      <c r="L226" s="595" t="s">
        <v>227</v>
      </c>
      <c r="M226" s="596">
        <v>22.35</v>
      </c>
      <c r="N226" s="597" t="s">
        <v>44</v>
      </c>
      <c r="O226" s="593">
        <v>25</v>
      </c>
      <c r="P226" s="144">
        <v>61016</v>
      </c>
      <c r="R226" s="165" t="e">
        <f>_xlfn.XLOOKUP(Table3[[#This Row],[SKU]],'05_Daily_Orders'!$B$2:$B$328,'05_Daily_Orders'!G:G)</f>
        <v>#VALUE!</v>
      </c>
      <c r="S226" s="166" t="str">
        <f t="shared" si="3"/>
        <v/>
      </c>
      <c r="T226" s="566" t="e">
        <f ca="1">_xludf.IFNA(_xlfn.XLOOKUP(Table3[[#This Row],[SKU]],'00_Yield_Rates'!$B$2:$B$17,'00_Yield_Rates'!$E$2:$E$17),"")</f>
        <v>#NAME?</v>
      </c>
    </row>
    <row r="227" spans="1:20">
      <c r="A227" s="591" t="s">
        <v>124</v>
      </c>
      <c r="B227" s="592">
        <v>7239</v>
      </c>
      <c r="C227" s="593">
        <v>203151</v>
      </c>
      <c r="D227" s="593" t="s">
        <v>262</v>
      </c>
      <c r="E227" s="593" t="s">
        <v>153</v>
      </c>
      <c r="F227" s="593">
        <v>8.7825141015310209</v>
      </c>
      <c r="G227" s="601">
        <v>6</v>
      </c>
      <c r="H227" s="593" t="s">
        <v>264</v>
      </c>
      <c r="I227" s="601" t="s">
        <v>127</v>
      </c>
      <c r="J227" s="602" t="s">
        <v>275</v>
      </c>
      <c r="K227" s="598" t="s">
        <v>129</v>
      </c>
      <c r="L227" s="598" t="s">
        <v>227</v>
      </c>
      <c r="M227" s="599">
        <v>132.63</v>
      </c>
      <c r="N227" s="597"/>
      <c r="O227" s="593">
        <v>25</v>
      </c>
      <c r="P227" s="144">
        <v>203151</v>
      </c>
      <c r="R227" s="165" t="e">
        <f>_xlfn.XLOOKUP(Table3[[#This Row],[SKU]],'05_Daily_Orders'!$B$2:$B$328,'05_Daily_Orders'!G:G)</f>
        <v>#VALUE!</v>
      </c>
      <c r="S227" s="166" t="str">
        <f t="shared" si="3"/>
        <v/>
      </c>
      <c r="T227" s="566" t="e">
        <f ca="1">_xludf.IFNA(_xlfn.XLOOKUP(Table3[[#This Row],[SKU]],'00_Yield_Rates'!$B$2:$B$17,'00_Yield_Rates'!$E$2:$E$17),"")</f>
        <v>#NAME?</v>
      </c>
    </row>
    <row r="228" spans="1:20">
      <c r="A228" s="591" t="s">
        <v>124</v>
      </c>
      <c r="B228" s="592">
        <v>7240</v>
      </c>
      <c r="C228" s="593">
        <v>61051</v>
      </c>
      <c r="D228" s="593" t="s">
        <v>262</v>
      </c>
      <c r="E228" s="593" t="s">
        <v>24</v>
      </c>
      <c r="F228" s="593">
        <v>8.5324096692111908</v>
      </c>
      <c r="G228" s="601">
        <v>8</v>
      </c>
      <c r="H228" s="593" t="s">
        <v>126</v>
      </c>
      <c r="I228" s="601" t="s">
        <v>140</v>
      </c>
      <c r="J228" s="602" t="s">
        <v>276</v>
      </c>
      <c r="K228" s="595" t="s">
        <v>129</v>
      </c>
      <c r="L228" s="595" t="s">
        <v>227</v>
      </c>
      <c r="M228" s="596">
        <v>114.34</v>
      </c>
      <c r="N228" s="597" t="s">
        <v>44</v>
      </c>
      <c r="O228" s="593">
        <v>25</v>
      </c>
      <c r="P228" s="144">
        <v>61051</v>
      </c>
      <c r="R228" s="165" t="e">
        <f>_xlfn.XLOOKUP(Table3[[#This Row],[SKU]],'05_Daily_Orders'!$B$2:$B$328,'05_Daily_Orders'!G:G)</f>
        <v>#VALUE!</v>
      </c>
      <c r="S228" s="166" t="str">
        <f t="shared" si="3"/>
        <v/>
      </c>
      <c r="T228" s="566" t="e">
        <f ca="1">_xludf.IFNA(_xlfn.XLOOKUP(Table3[[#This Row],[SKU]],'00_Yield_Rates'!$B$2:$B$17,'00_Yield_Rates'!$E$2:$E$17),"")</f>
        <v>#NAME?</v>
      </c>
    </row>
    <row r="229" spans="1:20">
      <c r="A229" s="591" t="s">
        <v>124</v>
      </c>
      <c r="B229" s="592">
        <v>7241</v>
      </c>
      <c r="C229" s="593">
        <v>61087</v>
      </c>
      <c r="D229" s="593" t="s">
        <v>262</v>
      </c>
      <c r="E229" s="593" t="s">
        <v>21</v>
      </c>
      <c r="F229" s="593">
        <v>9.6722420115243501</v>
      </c>
      <c r="G229" s="601">
        <v>8</v>
      </c>
      <c r="H229" s="601" t="s">
        <v>126</v>
      </c>
      <c r="I229" s="601" t="s">
        <v>140</v>
      </c>
      <c r="J229" s="602" t="s">
        <v>277</v>
      </c>
      <c r="K229" s="595" t="s">
        <v>142</v>
      </c>
      <c r="L229" s="598" t="s">
        <v>227</v>
      </c>
      <c r="M229" s="599">
        <v>22.85</v>
      </c>
      <c r="N229" s="597" t="s">
        <v>44</v>
      </c>
      <c r="O229" s="593">
        <v>25</v>
      </c>
      <c r="P229" s="144">
        <v>61087</v>
      </c>
      <c r="R229" s="165" t="e">
        <f>_xlfn.XLOOKUP(Table3[[#This Row],[SKU]],'05_Daily_Orders'!$B$2:$B$328,'05_Daily_Orders'!G:G)</f>
        <v>#VALUE!</v>
      </c>
      <c r="S229" s="166" t="str">
        <f t="shared" si="3"/>
        <v/>
      </c>
      <c r="T229" s="566" t="e">
        <f ca="1">_xludf.IFNA(_xlfn.XLOOKUP(Table3[[#This Row],[SKU]],'00_Yield_Rates'!$B$2:$B$17,'00_Yield_Rates'!$E$2:$E$17),"")</f>
        <v>#NAME?</v>
      </c>
    </row>
    <row r="230" spans="1:20">
      <c r="A230" s="591" t="s">
        <v>124</v>
      </c>
      <c r="B230" s="592">
        <v>7242</v>
      </c>
      <c r="C230" s="593">
        <v>61016</v>
      </c>
      <c r="D230" s="593" t="s">
        <v>262</v>
      </c>
      <c r="E230" s="593" t="s">
        <v>34</v>
      </c>
      <c r="F230" s="593">
        <v>8.3301528551151804</v>
      </c>
      <c r="G230" s="601">
        <v>8</v>
      </c>
      <c r="H230" s="601" t="s">
        <v>126</v>
      </c>
      <c r="I230" s="601" t="s">
        <v>140</v>
      </c>
      <c r="J230" s="602" t="s">
        <v>278</v>
      </c>
      <c r="K230" s="595" t="s">
        <v>142</v>
      </c>
      <c r="L230" s="598" t="s">
        <v>227</v>
      </c>
      <c r="M230" s="599">
        <v>25.17</v>
      </c>
      <c r="N230" s="597" t="s">
        <v>44</v>
      </c>
      <c r="O230" s="593">
        <v>25</v>
      </c>
      <c r="P230" s="144">
        <v>61016</v>
      </c>
      <c r="R230" s="165" t="e">
        <f>_xlfn.XLOOKUP(Table3[[#This Row],[SKU]],'05_Daily_Orders'!$B$2:$B$328,'05_Daily_Orders'!G:G)</f>
        <v>#VALUE!</v>
      </c>
      <c r="S230" s="166" t="str">
        <f t="shared" si="3"/>
        <v/>
      </c>
      <c r="T230" s="566" t="e">
        <f ca="1">_xludf.IFNA(_xlfn.XLOOKUP(Table3[[#This Row],[SKU]],'00_Yield_Rates'!$B$2:$B$17,'00_Yield_Rates'!$E$2:$E$17),"")</f>
        <v>#NAME?</v>
      </c>
    </row>
    <row r="231" spans="1:20">
      <c r="A231" s="591" t="s">
        <v>124</v>
      </c>
      <c r="B231" s="592">
        <v>7245</v>
      </c>
      <c r="C231" s="593">
        <v>61074</v>
      </c>
      <c r="D231" s="593" t="s">
        <v>262</v>
      </c>
      <c r="E231" s="593" t="s">
        <v>146</v>
      </c>
      <c r="F231" s="593"/>
      <c r="G231" s="601">
        <v>12</v>
      </c>
      <c r="H231" s="601" t="s">
        <v>165</v>
      </c>
      <c r="I231" s="601" t="s">
        <v>127</v>
      </c>
      <c r="J231" s="602" t="s">
        <v>279</v>
      </c>
      <c r="K231" s="598" t="s">
        <v>129</v>
      </c>
      <c r="L231" s="598" t="s">
        <v>227</v>
      </c>
      <c r="M231" s="599">
        <v>62.89</v>
      </c>
      <c r="N231" s="597" t="s">
        <v>44</v>
      </c>
      <c r="O231" s="593">
        <v>25</v>
      </c>
      <c r="P231" s="144">
        <v>61074</v>
      </c>
      <c r="R231" s="165" t="e">
        <f>_xlfn.XLOOKUP(Table3[[#This Row],[SKU]],'05_Daily_Orders'!$B$2:$B$328,'05_Daily_Orders'!G:G)</f>
        <v>#VALUE!</v>
      </c>
      <c r="S231" s="166" t="str">
        <f t="shared" si="3"/>
        <v/>
      </c>
      <c r="T231" s="566" t="e">
        <f ca="1">_xludf.IFNA(_xlfn.XLOOKUP(Table3[[#This Row],[SKU]],'00_Yield_Rates'!$B$2:$B$17,'00_Yield_Rates'!$E$2:$E$17),"")</f>
        <v>#NAME?</v>
      </c>
    </row>
    <row r="232" spans="1:20">
      <c r="A232" s="591" t="s">
        <v>124</v>
      </c>
      <c r="B232" s="592">
        <v>7246</v>
      </c>
      <c r="C232" s="593">
        <v>61051</v>
      </c>
      <c r="D232" s="593" t="s">
        <v>262</v>
      </c>
      <c r="E232" s="593" t="s">
        <v>146</v>
      </c>
      <c r="F232" s="593"/>
      <c r="G232" s="601">
        <v>12</v>
      </c>
      <c r="H232" s="601" t="s">
        <v>165</v>
      </c>
      <c r="I232" s="601" t="s">
        <v>127</v>
      </c>
      <c r="J232" s="602" t="s">
        <v>279</v>
      </c>
      <c r="K232" s="598" t="s">
        <v>129</v>
      </c>
      <c r="L232" s="598" t="s">
        <v>227</v>
      </c>
      <c r="M232" s="599">
        <v>79.62</v>
      </c>
      <c r="N232" s="597" t="s">
        <v>44</v>
      </c>
      <c r="O232" s="593">
        <v>25</v>
      </c>
      <c r="P232" s="144">
        <v>61051</v>
      </c>
      <c r="R232" s="165" t="e">
        <f>_xlfn.XLOOKUP(Table3[[#This Row],[SKU]],'05_Daily_Orders'!$B$2:$B$328,'05_Daily_Orders'!G:G)</f>
        <v>#VALUE!</v>
      </c>
      <c r="S232" s="166" t="str">
        <f t="shared" si="3"/>
        <v/>
      </c>
      <c r="T232" s="566" t="e">
        <f ca="1">_xludf.IFNA(_xlfn.XLOOKUP(Table3[[#This Row],[SKU]],'00_Yield_Rates'!$B$2:$B$17,'00_Yield_Rates'!$E$2:$E$17),"")</f>
        <v>#NAME?</v>
      </c>
    </row>
    <row r="233" spans="1:20">
      <c r="A233" s="591" t="s">
        <v>124</v>
      </c>
      <c r="B233" s="592">
        <v>7247</v>
      </c>
      <c r="C233" s="593">
        <v>203151</v>
      </c>
      <c r="D233" s="593" t="s">
        <v>262</v>
      </c>
      <c r="E233" s="601" t="s">
        <v>153</v>
      </c>
      <c r="F233" s="593"/>
      <c r="G233" s="601">
        <v>6</v>
      </c>
      <c r="H233" s="601" t="s">
        <v>132</v>
      </c>
      <c r="I233" s="601" t="s">
        <v>127</v>
      </c>
      <c r="J233" s="602" t="s">
        <v>275</v>
      </c>
      <c r="K233" s="598" t="s">
        <v>129</v>
      </c>
      <c r="L233" s="598" t="s">
        <v>227</v>
      </c>
      <c r="M233" s="599">
        <v>146.6</v>
      </c>
      <c r="N233" s="597"/>
      <c r="O233" s="593">
        <v>25</v>
      </c>
      <c r="P233" s="144">
        <v>203151</v>
      </c>
      <c r="R233" s="165" t="e">
        <f>_xlfn.XLOOKUP(Table3[[#This Row],[SKU]],'05_Daily_Orders'!$B$2:$B$328,'05_Daily_Orders'!G:G)</f>
        <v>#VALUE!</v>
      </c>
      <c r="S233" s="166" t="str">
        <f t="shared" si="3"/>
        <v/>
      </c>
      <c r="T233" s="566" t="e">
        <f ca="1">_xludf.IFNA(_xlfn.XLOOKUP(Table3[[#This Row],[SKU]],'00_Yield_Rates'!$B$2:$B$17,'00_Yield_Rates'!$E$2:$E$17),"")</f>
        <v>#NAME?</v>
      </c>
    </row>
    <row r="234" spans="1:20">
      <c r="A234" s="591" t="s">
        <v>124</v>
      </c>
      <c r="B234" s="592">
        <v>7248</v>
      </c>
      <c r="C234" s="593">
        <v>61087</v>
      </c>
      <c r="D234" s="593" t="s">
        <v>262</v>
      </c>
      <c r="E234" s="593" t="s">
        <v>21</v>
      </c>
      <c r="F234" s="593"/>
      <c r="G234" s="601">
        <v>8</v>
      </c>
      <c r="H234" s="601" t="s">
        <v>139</v>
      </c>
      <c r="I234" s="601" t="s">
        <v>140</v>
      </c>
      <c r="J234" s="602" t="s">
        <v>280</v>
      </c>
      <c r="K234" s="595" t="s">
        <v>142</v>
      </c>
      <c r="L234" s="598" t="s">
        <v>227</v>
      </c>
      <c r="M234" s="599">
        <v>24.54</v>
      </c>
      <c r="N234" s="597" t="s">
        <v>44</v>
      </c>
      <c r="O234" s="593">
        <v>25</v>
      </c>
      <c r="P234" s="144">
        <v>61087</v>
      </c>
      <c r="R234" s="165" t="e">
        <f>_xlfn.XLOOKUP(Table3[[#This Row],[SKU]],'05_Daily_Orders'!$B$2:$B$328,'05_Daily_Orders'!G:G)</f>
        <v>#VALUE!</v>
      </c>
      <c r="S234" s="166" t="str">
        <f t="shared" si="3"/>
        <v/>
      </c>
      <c r="T234" s="566" t="e">
        <f ca="1">_xludf.IFNA(_xlfn.XLOOKUP(Table3[[#This Row],[SKU]],'00_Yield_Rates'!$B$2:$B$17,'00_Yield_Rates'!$E$2:$E$17),"")</f>
        <v>#NAME?</v>
      </c>
    </row>
    <row r="235" spans="1:20">
      <c r="A235" s="591" t="s">
        <v>124</v>
      </c>
      <c r="B235" s="592">
        <v>7249</v>
      </c>
      <c r="C235" s="593">
        <v>61016</v>
      </c>
      <c r="D235" s="593" t="s">
        <v>262</v>
      </c>
      <c r="E235" s="593" t="s">
        <v>34</v>
      </c>
      <c r="F235" s="593"/>
      <c r="G235" s="601">
        <v>8</v>
      </c>
      <c r="H235" s="601" t="s">
        <v>139</v>
      </c>
      <c r="I235" s="601" t="s">
        <v>140</v>
      </c>
      <c r="J235" s="602" t="s">
        <v>281</v>
      </c>
      <c r="K235" s="595" t="s">
        <v>142</v>
      </c>
      <c r="L235" s="598" t="s">
        <v>227</v>
      </c>
      <c r="M235" s="599">
        <v>27.03</v>
      </c>
      <c r="N235" s="597" t="s">
        <v>44</v>
      </c>
      <c r="O235" s="593">
        <v>25</v>
      </c>
      <c r="P235" s="144">
        <v>61016</v>
      </c>
      <c r="R235" s="165" t="e">
        <f>_xlfn.XLOOKUP(Table3[[#This Row],[SKU]],'05_Daily_Orders'!$B$2:$B$328,'05_Daily_Orders'!G:G)</f>
        <v>#VALUE!</v>
      </c>
      <c r="S235" s="166" t="str">
        <f t="shared" si="3"/>
        <v/>
      </c>
      <c r="T235" s="566" t="e">
        <f ca="1">_xludf.IFNA(_xlfn.XLOOKUP(Table3[[#This Row],[SKU]],'00_Yield_Rates'!$B$2:$B$17,'00_Yield_Rates'!$E$2:$E$17),"")</f>
        <v>#NAME?</v>
      </c>
    </row>
    <row r="236" spans="1:20">
      <c r="A236" s="591" t="s">
        <v>124</v>
      </c>
      <c r="B236" s="592">
        <v>7250</v>
      </c>
      <c r="C236" s="593">
        <v>61074</v>
      </c>
      <c r="D236" s="593" t="s">
        <v>262</v>
      </c>
      <c r="E236" s="593" t="s">
        <v>146</v>
      </c>
      <c r="F236" s="593">
        <v>8.0602723735408492</v>
      </c>
      <c r="G236" s="601">
        <v>8</v>
      </c>
      <c r="H236" s="601" t="s">
        <v>126</v>
      </c>
      <c r="I236" s="601" t="s">
        <v>140</v>
      </c>
      <c r="J236" s="602" t="s">
        <v>282</v>
      </c>
      <c r="K236" s="598" t="s">
        <v>129</v>
      </c>
      <c r="L236" s="598" t="s">
        <v>227</v>
      </c>
      <c r="M236" s="599">
        <v>48.4</v>
      </c>
      <c r="N236" s="597" t="s">
        <v>44</v>
      </c>
      <c r="O236" s="593">
        <v>25</v>
      </c>
      <c r="P236" s="144">
        <v>61074</v>
      </c>
      <c r="R236" s="165" t="e">
        <f>_xlfn.XLOOKUP(Table3[[#This Row],[SKU]],'05_Daily_Orders'!$B$2:$B$328,'05_Daily_Orders'!G:G)</f>
        <v>#VALUE!</v>
      </c>
      <c r="S236" s="166" t="str">
        <f t="shared" si="3"/>
        <v/>
      </c>
      <c r="T236" s="566" t="e">
        <f ca="1">_xludf.IFNA(_xlfn.XLOOKUP(Table3[[#This Row],[SKU]],'00_Yield_Rates'!$B$2:$B$17,'00_Yield_Rates'!$E$2:$E$17),"")</f>
        <v>#NAME?</v>
      </c>
    </row>
    <row r="237" spans="1:20">
      <c r="A237" s="591" t="s">
        <v>124</v>
      </c>
      <c r="B237" s="592">
        <v>7251</v>
      </c>
      <c r="C237" s="593">
        <v>61079</v>
      </c>
      <c r="D237" s="593" t="s">
        <v>262</v>
      </c>
      <c r="E237" s="593" t="s">
        <v>30</v>
      </c>
      <c r="F237" s="593">
        <v>9.2566197882197194</v>
      </c>
      <c r="G237" s="601">
        <v>8</v>
      </c>
      <c r="H237" s="601" t="s">
        <v>126</v>
      </c>
      <c r="I237" s="601" t="s">
        <v>140</v>
      </c>
      <c r="J237" s="602" t="s">
        <v>283</v>
      </c>
      <c r="K237" s="598" t="s">
        <v>129</v>
      </c>
      <c r="L237" s="598" t="s">
        <v>227</v>
      </c>
      <c r="M237" s="599">
        <v>55.32</v>
      </c>
      <c r="N237" s="597" t="s">
        <v>44</v>
      </c>
      <c r="O237" s="593">
        <v>25</v>
      </c>
      <c r="P237" s="144">
        <v>61079</v>
      </c>
      <c r="R237" s="165" t="e">
        <f>_xlfn.XLOOKUP(Table3[[#This Row],[SKU]],'05_Daily_Orders'!$B$2:$B$328,'05_Daily_Orders'!G:G)</f>
        <v>#VALUE!</v>
      </c>
      <c r="S237" s="166" t="str">
        <f t="shared" si="3"/>
        <v/>
      </c>
      <c r="T237" s="566" t="e">
        <f ca="1">_xludf.IFNA(_xlfn.XLOOKUP(Table3[[#This Row],[SKU]],'00_Yield_Rates'!$B$2:$B$17,'00_Yield_Rates'!$E$2:$E$17),"")</f>
        <v>#NAME?</v>
      </c>
    </row>
    <row r="238" spans="1:20">
      <c r="A238" s="591" t="s">
        <v>124</v>
      </c>
      <c r="B238" s="592">
        <v>7252</v>
      </c>
      <c r="C238" s="593">
        <v>61051</v>
      </c>
      <c r="D238" s="593" t="s">
        <v>262</v>
      </c>
      <c r="E238" s="593" t="s">
        <v>24</v>
      </c>
      <c r="F238" s="593">
        <v>0</v>
      </c>
      <c r="G238" s="601">
        <v>8</v>
      </c>
      <c r="H238" s="601" t="s">
        <v>139</v>
      </c>
      <c r="I238" s="601" t="s">
        <v>140</v>
      </c>
      <c r="J238" s="602" t="s">
        <v>284</v>
      </c>
      <c r="K238" s="595" t="s">
        <v>129</v>
      </c>
      <c r="L238" s="598" t="s">
        <v>227</v>
      </c>
      <c r="M238" s="599">
        <v>126.38</v>
      </c>
      <c r="N238" s="597" t="s">
        <v>44</v>
      </c>
      <c r="O238" s="593">
        <v>25</v>
      </c>
      <c r="P238" s="144">
        <v>61051</v>
      </c>
      <c r="R238" s="165" t="e">
        <f>_xlfn.XLOOKUP(Table3[[#This Row],[SKU]],'05_Daily_Orders'!$B$2:$B$328,'05_Daily_Orders'!G:G)</f>
        <v>#VALUE!</v>
      </c>
      <c r="S238" s="166" t="str">
        <f t="shared" si="3"/>
        <v/>
      </c>
      <c r="T238" s="566" t="e">
        <f ca="1">_xludf.IFNA(_xlfn.XLOOKUP(Table3[[#This Row],[SKU]],'00_Yield_Rates'!$B$2:$B$17,'00_Yield_Rates'!$E$2:$E$17),"")</f>
        <v>#NAME?</v>
      </c>
    </row>
    <row r="239" spans="1:20">
      <c r="A239" s="591" t="s">
        <v>124</v>
      </c>
      <c r="B239" s="592">
        <v>7253</v>
      </c>
      <c r="C239" s="593">
        <v>61079</v>
      </c>
      <c r="D239" s="593" t="s">
        <v>262</v>
      </c>
      <c r="E239" s="593" t="s">
        <v>30</v>
      </c>
      <c r="F239" s="593"/>
      <c r="G239" s="601">
        <v>8</v>
      </c>
      <c r="H239" s="601" t="s">
        <v>139</v>
      </c>
      <c r="I239" s="601" t="s">
        <v>140</v>
      </c>
      <c r="J239" s="602" t="s">
        <v>285</v>
      </c>
      <c r="K239" s="598" t="s">
        <v>129</v>
      </c>
      <c r="L239" s="595" t="s">
        <v>227</v>
      </c>
      <c r="M239" s="596">
        <v>58.45</v>
      </c>
      <c r="N239" s="597" t="s">
        <v>44</v>
      </c>
      <c r="O239" s="593">
        <v>25</v>
      </c>
      <c r="P239" s="144">
        <v>61079</v>
      </c>
      <c r="R239" s="165" t="e">
        <f>_xlfn.XLOOKUP(Table3[[#This Row],[SKU]],'05_Daily_Orders'!$B$2:$B$328,'05_Daily_Orders'!G:G)</f>
        <v>#VALUE!</v>
      </c>
      <c r="S239" s="166" t="str">
        <f t="shared" si="3"/>
        <v/>
      </c>
      <c r="T239" s="566" t="e">
        <f ca="1">_xludf.IFNA(_xlfn.XLOOKUP(Table3[[#This Row],[SKU]],'00_Yield_Rates'!$B$2:$B$17,'00_Yield_Rates'!$E$2:$E$17),"")</f>
        <v>#NAME?</v>
      </c>
    </row>
    <row r="240" spans="1:20">
      <c r="A240" s="591" t="s">
        <v>124</v>
      </c>
      <c r="B240" s="592">
        <v>7254</v>
      </c>
      <c r="C240" s="593">
        <v>61074</v>
      </c>
      <c r="D240" s="593" t="s">
        <v>262</v>
      </c>
      <c r="E240" s="593" t="s">
        <v>146</v>
      </c>
      <c r="F240" s="593"/>
      <c r="G240" s="601">
        <v>8</v>
      </c>
      <c r="H240" s="601" t="s">
        <v>139</v>
      </c>
      <c r="I240" s="601" t="s">
        <v>140</v>
      </c>
      <c r="J240" s="602" t="s">
        <v>286</v>
      </c>
      <c r="K240" s="598" t="s">
        <v>129</v>
      </c>
      <c r="L240" s="598" t="s">
        <v>227</v>
      </c>
      <c r="M240" s="599">
        <v>52.69</v>
      </c>
      <c r="N240" s="597" t="s">
        <v>44</v>
      </c>
      <c r="O240" s="593">
        <v>25</v>
      </c>
      <c r="P240" s="144">
        <v>61074</v>
      </c>
      <c r="R240" s="165" t="e">
        <f>_xlfn.XLOOKUP(Table3[[#This Row],[SKU]],'05_Daily_Orders'!$B$2:$B$328,'05_Daily_Orders'!G:G)</f>
        <v>#VALUE!</v>
      </c>
      <c r="S240" s="166" t="str">
        <f t="shared" si="3"/>
        <v/>
      </c>
      <c r="T240" s="566" t="e">
        <f ca="1">_xludf.IFNA(_xlfn.XLOOKUP(Table3[[#This Row],[SKU]],'00_Yield_Rates'!$B$2:$B$17,'00_Yield_Rates'!$E$2:$E$17),"")</f>
        <v>#NAME?</v>
      </c>
    </row>
    <row r="241" spans="1:20">
      <c r="A241" s="591" t="s">
        <v>124</v>
      </c>
      <c r="B241" s="592">
        <v>7260</v>
      </c>
      <c r="C241" s="593" t="s">
        <v>102</v>
      </c>
      <c r="D241" s="593" t="s">
        <v>125</v>
      </c>
      <c r="E241" s="593" t="s">
        <v>24</v>
      </c>
      <c r="F241" s="593">
        <v>0</v>
      </c>
      <c r="G241" s="601">
        <v>8</v>
      </c>
      <c r="H241" s="601" t="s">
        <v>126</v>
      </c>
      <c r="I241" s="601" t="s">
        <v>127</v>
      </c>
      <c r="J241" s="602" t="s">
        <v>287</v>
      </c>
      <c r="K241" s="595" t="s">
        <v>129</v>
      </c>
      <c r="L241" s="598" t="s">
        <v>227</v>
      </c>
      <c r="M241" s="599">
        <v>102.86</v>
      </c>
      <c r="N241" s="597" t="s">
        <v>23</v>
      </c>
      <c r="O241" s="593">
        <v>20</v>
      </c>
      <c r="P241" s="144" t="s">
        <v>102</v>
      </c>
      <c r="R241" s="165" t="e">
        <f>_xlfn.XLOOKUP(Table3[[#This Row],[SKU]],'05_Daily_Orders'!$B$2:$B$328,'05_Daily_Orders'!G:G)</f>
        <v>#VALUE!</v>
      </c>
      <c r="S241" s="166" t="str">
        <f t="shared" si="3"/>
        <v/>
      </c>
      <c r="T241" s="566" t="e">
        <f ca="1">_xludf.IFNA(_xlfn.XLOOKUP(Table3[[#This Row],[SKU]],'00_Yield_Rates'!$B$2:$B$17,'00_Yield_Rates'!$E$2:$E$17),"")</f>
        <v>#NAME?</v>
      </c>
    </row>
    <row r="242" spans="1:20">
      <c r="A242" s="591" t="s">
        <v>124</v>
      </c>
      <c r="B242" s="592">
        <v>7268</v>
      </c>
      <c r="C242" s="593">
        <v>203136</v>
      </c>
      <c r="D242" s="593" t="s">
        <v>125</v>
      </c>
      <c r="E242" s="601" t="s">
        <v>153</v>
      </c>
      <c r="F242" s="593"/>
      <c r="G242" s="601">
        <v>6</v>
      </c>
      <c r="H242" s="601" t="s">
        <v>132</v>
      </c>
      <c r="I242" s="601"/>
      <c r="J242" s="602" t="s">
        <v>288</v>
      </c>
      <c r="K242" s="598" t="s">
        <v>129</v>
      </c>
      <c r="L242" s="598" t="s">
        <v>227</v>
      </c>
      <c r="M242" s="599">
        <v>137.96</v>
      </c>
      <c r="N242" s="597"/>
      <c r="O242" s="593">
        <v>25</v>
      </c>
      <c r="P242" s="144">
        <v>203136</v>
      </c>
      <c r="R242" s="165" t="e">
        <f>_xlfn.XLOOKUP(Table3[[#This Row],[SKU]],'05_Daily_Orders'!$B$2:$B$328,'05_Daily_Orders'!G:G)</f>
        <v>#VALUE!</v>
      </c>
      <c r="S242" s="166" t="str">
        <f t="shared" si="3"/>
        <v/>
      </c>
      <c r="T242" s="566" t="e">
        <f ca="1">_xludf.IFNA(_xlfn.XLOOKUP(Table3[[#This Row],[SKU]],'00_Yield_Rates'!$B$2:$B$17,'00_Yield_Rates'!$E$2:$E$17),"")</f>
        <v>#NAME?</v>
      </c>
    </row>
    <row r="243" spans="1:20">
      <c r="A243" s="591" t="s">
        <v>124</v>
      </c>
      <c r="B243" s="600">
        <v>7269</v>
      </c>
      <c r="C243" s="593">
        <v>61014</v>
      </c>
      <c r="D243" s="593" t="s">
        <v>125</v>
      </c>
      <c r="E243" s="593" t="s">
        <v>34</v>
      </c>
      <c r="F243" s="596"/>
      <c r="G243" s="601">
        <v>12</v>
      </c>
      <c r="H243" s="601" t="s">
        <v>264</v>
      </c>
      <c r="I243" s="601"/>
      <c r="J243" s="602" t="s">
        <v>289</v>
      </c>
      <c r="K243" s="595" t="s">
        <v>142</v>
      </c>
      <c r="L243" s="598" t="s">
        <v>227</v>
      </c>
      <c r="M243" s="599">
        <v>26.99</v>
      </c>
      <c r="N243" s="606" t="s">
        <v>44</v>
      </c>
      <c r="O243" s="593">
        <v>20</v>
      </c>
      <c r="P243" s="144">
        <v>61014</v>
      </c>
      <c r="R243" s="165" t="e">
        <f>_xlfn.XLOOKUP(Table3[[#This Row],[SKU]],'05_Daily_Orders'!$B$2:$B$328,'05_Daily_Orders'!G:G)</f>
        <v>#VALUE!</v>
      </c>
      <c r="S243" s="166" t="str">
        <f t="shared" si="3"/>
        <v/>
      </c>
      <c r="T243" s="566" t="e">
        <f ca="1">_xludf.IFNA(_xlfn.XLOOKUP(Table3[[#This Row],[SKU]],'00_Yield_Rates'!$B$2:$B$17,'00_Yield_Rates'!$E$2:$E$17),"")</f>
        <v>#NAME?</v>
      </c>
    </row>
    <row r="244" spans="1:20">
      <c r="A244" s="591" t="s">
        <v>124</v>
      </c>
      <c r="B244" s="600">
        <v>7275</v>
      </c>
      <c r="C244" s="593">
        <v>61048</v>
      </c>
      <c r="D244" s="593" t="s">
        <v>125</v>
      </c>
      <c r="E244" s="593" t="s">
        <v>40</v>
      </c>
      <c r="F244" s="596">
        <v>0</v>
      </c>
      <c r="G244" s="601">
        <v>8</v>
      </c>
      <c r="H244" s="601" t="s">
        <v>126</v>
      </c>
      <c r="I244" s="601" t="s">
        <v>140</v>
      </c>
      <c r="J244" s="602" t="s">
        <v>290</v>
      </c>
      <c r="K244" s="595" t="s">
        <v>129</v>
      </c>
      <c r="L244" s="598" t="s">
        <v>227</v>
      </c>
      <c r="M244" s="599">
        <v>180.03</v>
      </c>
      <c r="N244" s="606" t="s">
        <v>23</v>
      </c>
      <c r="O244" s="593">
        <v>25</v>
      </c>
      <c r="P244" s="144">
        <v>61048</v>
      </c>
      <c r="R244" s="165" t="e">
        <f>_xlfn.XLOOKUP(Table3[[#This Row],[SKU]],'05_Daily_Orders'!$B$2:$B$328,'05_Daily_Orders'!G:G)</f>
        <v>#VALUE!</v>
      </c>
      <c r="S244" s="166" t="str">
        <f t="shared" si="3"/>
        <v/>
      </c>
      <c r="T244" s="566" t="e">
        <f ca="1">_xludf.IFNA(_xlfn.XLOOKUP(Table3[[#This Row],[SKU]],'00_Yield_Rates'!$B$2:$B$17,'00_Yield_Rates'!$E$2:$E$17),"")</f>
        <v>#NAME?</v>
      </c>
    </row>
    <row r="245" spans="1:20">
      <c r="A245" s="591" t="s">
        <v>124</v>
      </c>
      <c r="B245" s="600">
        <v>7278</v>
      </c>
      <c r="C245" s="593" t="s">
        <v>118</v>
      </c>
      <c r="D245" s="593" t="s">
        <v>125</v>
      </c>
      <c r="E245" s="593" t="s">
        <v>21</v>
      </c>
      <c r="F245" s="596">
        <v>7.70174545454545</v>
      </c>
      <c r="G245" s="601">
        <v>8</v>
      </c>
      <c r="H245" s="601" t="s">
        <v>126</v>
      </c>
      <c r="I245" s="601"/>
      <c r="J245" s="602" t="s">
        <v>291</v>
      </c>
      <c r="K245" s="595" t="s">
        <v>142</v>
      </c>
      <c r="L245" s="598" t="s">
        <v>227</v>
      </c>
      <c r="M245" s="599">
        <v>20.8</v>
      </c>
      <c r="N245" s="606" t="s">
        <v>23</v>
      </c>
      <c r="O245" s="593">
        <v>20</v>
      </c>
      <c r="P245" s="144" t="s">
        <v>118</v>
      </c>
      <c r="R245" s="165" t="e">
        <f>_xlfn.XLOOKUP(Table3[[#This Row],[SKU]],'05_Daily_Orders'!$B$2:$B$328,'05_Daily_Orders'!G:G)</f>
        <v>#VALUE!</v>
      </c>
      <c r="S245" s="166" t="str">
        <f t="shared" si="3"/>
        <v/>
      </c>
      <c r="T245" s="566" t="e">
        <f ca="1">_xludf.IFNA(_xlfn.XLOOKUP(Table3[[#This Row],[SKU]],'00_Yield_Rates'!$B$2:$B$17,'00_Yield_Rates'!$E$2:$E$17),"")</f>
        <v>#NAME?</v>
      </c>
    </row>
    <row r="246" spans="1:20">
      <c r="A246" s="591" t="s">
        <v>124</v>
      </c>
      <c r="B246" s="600">
        <v>7287</v>
      </c>
      <c r="C246" s="593" t="s">
        <v>95</v>
      </c>
      <c r="D246" s="593" t="s">
        <v>125</v>
      </c>
      <c r="E246" s="593" t="s">
        <v>34</v>
      </c>
      <c r="F246" s="596">
        <v>8.4242865349772398</v>
      </c>
      <c r="G246" s="601">
        <v>8</v>
      </c>
      <c r="H246" s="601" t="s">
        <v>126</v>
      </c>
      <c r="I246" s="601"/>
      <c r="J246" s="602" t="s">
        <v>292</v>
      </c>
      <c r="K246" s="595" t="s">
        <v>142</v>
      </c>
      <c r="L246" s="595" t="s">
        <v>227</v>
      </c>
      <c r="M246" s="596">
        <v>31.29</v>
      </c>
      <c r="N246" s="606" t="s">
        <v>23</v>
      </c>
      <c r="O246" s="593">
        <v>25</v>
      </c>
      <c r="P246" s="144" t="s">
        <v>95</v>
      </c>
      <c r="R246" s="165" t="e">
        <f>_xlfn.XLOOKUP(Table3[[#This Row],[SKU]],'05_Daily_Orders'!$B$2:$B$328,'05_Daily_Orders'!G:G)</f>
        <v>#VALUE!</v>
      </c>
      <c r="S246" s="166" t="str">
        <f t="shared" si="3"/>
        <v/>
      </c>
      <c r="T246" s="566" t="e">
        <f ca="1">_xludf.IFNA(_xlfn.XLOOKUP(Table3[[#This Row],[SKU]],'00_Yield_Rates'!$B$2:$B$17,'00_Yield_Rates'!$E$2:$E$17),"")</f>
        <v>#NAME?</v>
      </c>
    </row>
    <row r="247" spans="1:20">
      <c r="A247" s="591" t="s">
        <v>124</v>
      </c>
      <c r="B247" s="592">
        <v>7289</v>
      </c>
      <c r="C247" s="593">
        <v>61014</v>
      </c>
      <c r="D247" s="593" t="s">
        <v>125</v>
      </c>
      <c r="E247" s="593" t="s">
        <v>34</v>
      </c>
      <c r="F247" s="596">
        <v>0</v>
      </c>
      <c r="G247" s="601">
        <v>8</v>
      </c>
      <c r="H247" s="601" t="s">
        <v>126</v>
      </c>
      <c r="I247" s="601"/>
      <c r="J247" s="602" t="s">
        <v>293</v>
      </c>
      <c r="K247" s="595" t="s">
        <v>142</v>
      </c>
      <c r="L247" s="598" t="s">
        <v>227</v>
      </c>
      <c r="M247" s="599">
        <v>30.46</v>
      </c>
      <c r="N247" s="597" t="s">
        <v>44</v>
      </c>
      <c r="O247" s="593">
        <v>25</v>
      </c>
      <c r="P247" s="144">
        <v>61014</v>
      </c>
      <c r="R247" s="165" t="e">
        <f>_xlfn.XLOOKUP(Table3[[#This Row],[SKU]],'05_Daily_Orders'!$B$2:$B$328,'05_Daily_Orders'!G:G)</f>
        <v>#VALUE!</v>
      </c>
      <c r="S247" s="166" t="str">
        <f t="shared" si="3"/>
        <v/>
      </c>
      <c r="T247" s="566" t="e">
        <f ca="1">_xludf.IFNA(_xlfn.XLOOKUP(Table3[[#This Row],[SKU]],'00_Yield_Rates'!$B$2:$B$17,'00_Yield_Rates'!$E$2:$E$17),"")</f>
        <v>#NAME?</v>
      </c>
    </row>
    <row r="248" spans="1:20">
      <c r="A248" s="591" t="s">
        <v>124</v>
      </c>
      <c r="B248" s="592">
        <v>7300</v>
      </c>
      <c r="C248" s="593">
        <v>61054</v>
      </c>
      <c r="D248" s="593" t="s">
        <v>125</v>
      </c>
      <c r="E248" s="601" t="s">
        <v>200</v>
      </c>
      <c r="F248" s="596">
        <v>0</v>
      </c>
      <c r="G248" s="601">
        <v>12</v>
      </c>
      <c r="H248" s="601" t="s">
        <v>132</v>
      </c>
      <c r="I248" s="601" t="s">
        <v>127</v>
      </c>
      <c r="J248" s="602" t="s">
        <v>294</v>
      </c>
      <c r="K248" s="595" t="s">
        <v>142</v>
      </c>
      <c r="L248" s="598" t="s">
        <v>227</v>
      </c>
      <c r="M248" s="599">
        <v>18.96</v>
      </c>
      <c r="N248" s="597" t="s">
        <v>44</v>
      </c>
      <c r="O248" s="593">
        <v>25</v>
      </c>
      <c r="P248" s="144">
        <v>61054</v>
      </c>
      <c r="R248" s="165" t="e">
        <f>_xlfn.XLOOKUP(Table3[[#This Row],[SKU]],'05_Daily_Orders'!$B$2:$B$328,'05_Daily_Orders'!G:G)</f>
        <v>#VALUE!</v>
      </c>
      <c r="S248" s="166" t="str">
        <f t="shared" si="3"/>
        <v/>
      </c>
      <c r="T248" s="566" t="e">
        <f ca="1">_xludf.IFNA(_xlfn.XLOOKUP(Table3[[#This Row],[SKU]],'00_Yield_Rates'!$B$2:$B$17,'00_Yield_Rates'!$E$2:$E$17),"")</f>
        <v>#NAME?</v>
      </c>
    </row>
    <row r="249" spans="1:20">
      <c r="A249" s="591" t="s">
        <v>124</v>
      </c>
      <c r="B249" s="600">
        <v>7303</v>
      </c>
      <c r="C249" s="593">
        <v>61054</v>
      </c>
      <c r="D249" s="593" t="s">
        <v>125</v>
      </c>
      <c r="E249" s="601" t="s">
        <v>200</v>
      </c>
      <c r="F249" s="596">
        <v>0</v>
      </c>
      <c r="G249" s="601">
        <v>8</v>
      </c>
      <c r="H249" s="593" t="s">
        <v>126</v>
      </c>
      <c r="I249" s="601" t="s">
        <v>140</v>
      </c>
      <c r="J249" s="602" t="s">
        <v>295</v>
      </c>
      <c r="K249" s="595" t="s">
        <v>142</v>
      </c>
      <c r="L249" s="598" t="s">
        <v>227</v>
      </c>
      <c r="M249" s="599">
        <v>36.33</v>
      </c>
      <c r="N249" s="597" t="s">
        <v>44</v>
      </c>
      <c r="O249" s="593">
        <v>25</v>
      </c>
      <c r="P249" s="144">
        <v>61054</v>
      </c>
      <c r="R249" s="165" t="e">
        <f>_xlfn.XLOOKUP(Table3[[#This Row],[SKU]],'05_Daily_Orders'!$B$2:$B$328,'05_Daily_Orders'!G:G)</f>
        <v>#VALUE!</v>
      </c>
      <c r="S249" s="166" t="str">
        <f t="shared" si="3"/>
        <v/>
      </c>
      <c r="T249" s="566" t="e">
        <f ca="1">_xludf.IFNA(_xlfn.XLOOKUP(Table3[[#This Row],[SKU]],'00_Yield_Rates'!$B$2:$B$17,'00_Yield_Rates'!$E$2:$E$17),"")</f>
        <v>#NAME?</v>
      </c>
    </row>
    <row r="250" spans="1:20">
      <c r="A250" s="591" t="s">
        <v>124</v>
      </c>
      <c r="B250" s="600">
        <v>7304</v>
      </c>
      <c r="C250" s="593">
        <v>61054</v>
      </c>
      <c r="D250" s="593" t="s">
        <v>125</v>
      </c>
      <c r="E250" s="601" t="s">
        <v>200</v>
      </c>
      <c r="F250" s="596">
        <v>0</v>
      </c>
      <c r="G250" s="601">
        <v>8</v>
      </c>
      <c r="H250" s="601" t="s">
        <v>126</v>
      </c>
      <c r="I250" s="601" t="s">
        <v>140</v>
      </c>
      <c r="J250" s="602" t="s">
        <v>295</v>
      </c>
      <c r="K250" s="595" t="s">
        <v>142</v>
      </c>
      <c r="L250" s="598" t="s">
        <v>227</v>
      </c>
      <c r="M250" s="599">
        <v>40.25</v>
      </c>
      <c r="N250" s="606" t="s">
        <v>44</v>
      </c>
      <c r="O250" s="593">
        <v>20</v>
      </c>
      <c r="P250" s="144">
        <v>61054</v>
      </c>
      <c r="R250" s="165" t="e">
        <f>_xlfn.XLOOKUP(Table3[[#This Row],[SKU]],'05_Daily_Orders'!$B$2:$B$328,'05_Daily_Orders'!G:G)</f>
        <v>#VALUE!</v>
      </c>
      <c r="S250" s="166" t="str">
        <f t="shared" si="3"/>
        <v/>
      </c>
      <c r="T250" s="566" t="e">
        <f ca="1">_xludf.IFNA(_xlfn.XLOOKUP(Table3[[#This Row],[SKU]],'00_Yield_Rates'!$B$2:$B$17,'00_Yield_Rates'!$E$2:$E$17),"")</f>
        <v>#NAME?</v>
      </c>
    </row>
    <row r="251" spans="1:20">
      <c r="A251" s="591" t="s">
        <v>124</v>
      </c>
      <c r="B251" s="600">
        <v>7310</v>
      </c>
      <c r="C251" s="593">
        <v>61104</v>
      </c>
      <c r="D251" s="593" t="s">
        <v>125</v>
      </c>
      <c r="E251" s="601" t="s">
        <v>24</v>
      </c>
      <c r="F251" s="596"/>
      <c r="G251" s="601">
        <v>8</v>
      </c>
      <c r="H251" s="601" t="s">
        <v>139</v>
      </c>
      <c r="I251" s="601" t="s">
        <v>140</v>
      </c>
      <c r="J251" s="602" t="s">
        <v>296</v>
      </c>
      <c r="K251" s="595" t="s">
        <v>129</v>
      </c>
      <c r="L251" s="598" t="s">
        <v>297</v>
      </c>
      <c r="M251" s="599">
        <v>74.010000000000005</v>
      </c>
      <c r="N251" s="606" t="s">
        <v>23</v>
      </c>
      <c r="O251" s="593">
        <v>25</v>
      </c>
      <c r="P251" s="144">
        <v>61104</v>
      </c>
      <c r="R251" s="165" t="e">
        <f>_xlfn.XLOOKUP(Table3[[#This Row],[SKU]],'05_Daily_Orders'!$B$2:$B$328,'05_Daily_Orders'!G:G)</f>
        <v>#VALUE!</v>
      </c>
      <c r="S251" s="166" t="str">
        <f t="shared" si="3"/>
        <v/>
      </c>
      <c r="T251" s="566" t="e">
        <f ca="1">_xludf.IFNA(_xlfn.XLOOKUP(Table3[[#This Row],[SKU]],'00_Yield_Rates'!$B$2:$B$17,'00_Yield_Rates'!$E$2:$E$17),"")</f>
        <v>#NAME?</v>
      </c>
    </row>
    <row r="252" spans="1:20">
      <c r="A252" s="591" t="s">
        <v>124</v>
      </c>
      <c r="B252" s="600">
        <v>7340</v>
      </c>
      <c r="C252" s="593">
        <v>203891</v>
      </c>
      <c r="D252" s="593" t="s">
        <v>125</v>
      </c>
      <c r="E252" s="601" t="s">
        <v>153</v>
      </c>
      <c r="F252" s="596">
        <v>8.8899999999999899</v>
      </c>
      <c r="G252" s="601">
        <v>6</v>
      </c>
      <c r="H252" s="601" t="s">
        <v>264</v>
      </c>
      <c r="I252" s="601" t="s">
        <v>140</v>
      </c>
      <c r="J252" s="602" t="s">
        <v>298</v>
      </c>
      <c r="K252" s="598" t="s">
        <v>129</v>
      </c>
      <c r="L252" s="598" t="s">
        <v>227</v>
      </c>
      <c r="M252" s="599">
        <v>141.76</v>
      </c>
      <c r="N252" s="606"/>
      <c r="O252" s="593">
        <v>25</v>
      </c>
      <c r="P252" s="144">
        <v>203891</v>
      </c>
      <c r="R252" s="165" t="e">
        <f>_xlfn.XLOOKUP(Table3[[#This Row],[SKU]],'05_Daily_Orders'!$B$2:$B$328,'05_Daily_Orders'!G:G)</f>
        <v>#VALUE!</v>
      </c>
      <c r="S252" s="166" t="str">
        <f t="shared" si="3"/>
        <v/>
      </c>
      <c r="T252" s="566" t="e">
        <f ca="1">_xludf.IFNA(_xlfn.XLOOKUP(Table3[[#This Row],[SKU]],'00_Yield_Rates'!$B$2:$B$17,'00_Yield_Rates'!$E$2:$E$17),"")</f>
        <v>#NAME?</v>
      </c>
    </row>
    <row r="253" spans="1:20">
      <c r="A253" s="591" t="s">
        <v>124</v>
      </c>
      <c r="B253" s="600">
        <v>7341</v>
      </c>
      <c r="C253" s="593">
        <v>203891</v>
      </c>
      <c r="D253" s="593" t="s">
        <v>125</v>
      </c>
      <c r="E253" s="601" t="s">
        <v>153</v>
      </c>
      <c r="F253" s="596"/>
      <c r="G253" s="601">
        <v>6</v>
      </c>
      <c r="H253" s="601" t="s">
        <v>264</v>
      </c>
      <c r="I253" s="601" t="s">
        <v>127</v>
      </c>
      <c r="J253" s="602" t="s">
        <v>299</v>
      </c>
      <c r="K253" s="598" t="s">
        <v>129</v>
      </c>
      <c r="L253" s="595" t="s">
        <v>227</v>
      </c>
      <c r="M253" s="596">
        <v>141.76</v>
      </c>
      <c r="N253" s="606"/>
      <c r="O253" s="593">
        <v>25</v>
      </c>
      <c r="P253" s="144">
        <v>203891</v>
      </c>
      <c r="R253" s="165" t="e">
        <f>_xlfn.XLOOKUP(Table3[[#This Row],[SKU]],'05_Daily_Orders'!$B$2:$B$328,'05_Daily_Orders'!G:G)</f>
        <v>#VALUE!</v>
      </c>
      <c r="S253" s="166" t="str">
        <f t="shared" si="3"/>
        <v/>
      </c>
      <c r="T253" s="566" t="e">
        <f ca="1">_xludf.IFNA(_xlfn.XLOOKUP(Table3[[#This Row],[SKU]],'00_Yield_Rates'!$B$2:$B$17,'00_Yield_Rates'!$E$2:$E$17),"")</f>
        <v>#NAME?</v>
      </c>
    </row>
    <row r="254" spans="1:20">
      <c r="A254" s="591" t="s">
        <v>124</v>
      </c>
      <c r="B254" s="600">
        <v>7342</v>
      </c>
      <c r="C254" s="593">
        <v>61061</v>
      </c>
      <c r="D254" s="593" t="s">
        <v>125</v>
      </c>
      <c r="E254" s="593" t="s">
        <v>26</v>
      </c>
      <c r="F254" s="596"/>
      <c r="G254" s="601">
        <v>8</v>
      </c>
      <c r="H254" s="601" t="s">
        <v>126</v>
      </c>
      <c r="I254" s="601" t="s">
        <v>140</v>
      </c>
      <c r="J254" s="602" t="s">
        <v>300</v>
      </c>
      <c r="K254" s="598" t="s">
        <v>129</v>
      </c>
      <c r="L254" s="598" t="s">
        <v>227</v>
      </c>
      <c r="M254" s="599">
        <v>78.319999999999993</v>
      </c>
      <c r="N254" s="606" t="s">
        <v>23</v>
      </c>
      <c r="O254" s="593">
        <v>25</v>
      </c>
      <c r="P254" s="144">
        <v>61061</v>
      </c>
      <c r="R254" s="165" t="e">
        <f>_xlfn.XLOOKUP(Table3[[#This Row],[SKU]],'05_Daily_Orders'!$B$2:$B$328,'05_Daily_Orders'!G:G)</f>
        <v>#VALUE!</v>
      </c>
      <c r="S254" s="166" t="str">
        <f t="shared" si="3"/>
        <v/>
      </c>
      <c r="T254" s="566" t="e">
        <f ca="1">_xludf.IFNA(_xlfn.XLOOKUP(Table3[[#This Row],[SKU]],'00_Yield_Rates'!$B$2:$B$17,'00_Yield_Rates'!$E$2:$E$17),"")</f>
        <v>#NAME?</v>
      </c>
    </row>
    <row r="255" spans="1:20">
      <c r="A255" s="591" t="s">
        <v>124</v>
      </c>
      <c r="B255" s="600">
        <v>7343</v>
      </c>
      <c r="C255" s="593" t="s">
        <v>102</v>
      </c>
      <c r="D255" s="593" t="s">
        <v>125</v>
      </c>
      <c r="E255" s="593" t="s">
        <v>24</v>
      </c>
      <c r="F255" s="596"/>
      <c r="G255" s="601"/>
      <c r="H255" s="601" t="s">
        <v>301</v>
      </c>
      <c r="I255" s="601" t="s">
        <v>127</v>
      </c>
      <c r="J255" s="602" t="s">
        <v>302</v>
      </c>
      <c r="K255" s="595" t="s">
        <v>129</v>
      </c>
      <c r="L255" s="598" t="s">
        <v>227</v>
      </c>
      <c r="M255" s="599">
        <v>102.9</v>
      </c>
      <c r="N255" s="606" t="s">
        <v>23</v>
      </c>
      <c r="O255" s="593">
        <v>25</v>
      </c>
      <c r="P255" s="144" t="s">
        <v>102</v>
      </c>
      <c r="R255" s="165" t="e">
        <f>_xlfn.XLOOKUP(Table3[[#This Row],[SKU]],'05_Daily_Orders'!$B$2:$B$328,'05_Daily_Orders'!G:G)</f>
        <v>#VALUE!</v>
      </c>
      <c r="S255" s="166" t="str">
        <f t="shared" si="3"/>
        <v/>
      </c>
      <c r="T255" s="566" t="e">
        <f ca="1">_xludf.IFNA(_xlfn.XLOOKUP(Table3[[#This Row],[SKU]],'00_Yield_Rates'!$B$2:$B$17,'00_Yield_Rates'!$E$2:$E$17),"")</f>
        <v>#NAME?</v>
      </c>
    </row>
    <row r="256" spans="1:20">
      <c r="A256" s="591" t="s">
        <v>124</v>
      </c>
      <c r="B256" s="600">
        <v>7378</v>
      </c>
      <c r="C256" s="593">
        <v>61061</v>
      </c>
      <c r="D256" s="593" t="s">
        <v>125</v>
      </c>
      <c r="E256" s="593" t="s">
        <v>26</v>
      </c>
      <c r="F256" s="596">
        <v>0</v>
      </c>
      <c r="G256" s="601">
        <v>8</v>
      </c>
      <c r="H256" s="601" t="s">
        <v>126</v>
      </c>
      <c r="I256" s="601"/>
      <c r="J256" s="602" t="s">
        <v>228</v>
      </c>
      <c r="K256" s="598" t="s">
        <v>129</v>
      </c>
      <c r="L256" s="598" t="s">
        <v>227</v>
      </c>
      <c r="M256" s="599">
        <v>82.96</v>
      </c>
      <c r="N256" s="606" t="s">
        <v>23</v>
      </c>
      <c r="O256" s="593">
        <v>25</v>
      </c>
      <c r="P256" s="144">
        <v>61061</v>
      </c>
      <c r="R256" s="165" t="e">
        <f>_xlfn.XLOOKUP(Table3[[#This Row],[SKU]],'05_Daily_Orders'!$B$2:$B$328,'05_Daily_Orders'!G:G)</f>
        <v>#VALUE!</v>
      </c>
      <c r="S256" s="166" t="str">
        <f t="shared" si="3"/>
        <v/>
      </c>
      <c r="T256" s="566" t="e">
        <f ca="1">_xludf.IFNA(_xlfn.XLOOKUP(Table3[[#This Row],[SKU]],'00_Yield_Rates'!$B$2:$B$17,'00_Yield_Rates'!$E$2:$E$17),"")</f>
        <v>#NAME?</v>
      </c>
    </row>
    <row r="257" spans="1:20">
      <c r="A257" s="591" t="s">
        <v>124</v>
      </c>
      <c r="B257" s="600">
        <v>7396</v>
      </c>
      <c r="C257" s="593" t="s">
        <v>110</v>
      </c>
      <c r="D257" s="593" t="s">
        <v>135</v>
      </c>
      <c r="E257" s="593" t="s">
        <v>146</v>
      </c>
      <c r="F257" s="596"/>
      <c r="G257" s="601">
        <v>12</v>
      </c>
      <c r="H257" s="601" t="s">
        <v>132</v>
      </c>
      <c r="I257" s="601" t="s">
        <v>127</v>
      </c>
      <c r="J257" s="602" t="s">
        <v>303</v>
      </c>
      <c r="K257" s="595" t="s">
        <v>129</v>
      </c>
      <c r="L257" s="598" t="s">
        <v>297</v>
      </c>
      <c r="M257" s="599">
        <v>62.01</v>
      </c>
      <c r="N257" s="606" t="s">
        <v>23</v>
      </c>
      <c r="O257" s="593">
        <v>25</v>
      </c>
      <c r="P257" s="144" t="s">
        <v>110</v>
      </c>
      <c r="R257" s="165" t="e">
        <f>_xlfn.XLOOKUP(Table3[[#This Row],[SKU]],'05_Daily_Orders'!$B$2:$B$328,'05_Daily_Orders'!G:G)</f>
        <v>#VALUE!</v>
      </c>
      <c r="S257" s="166" t="str">
        <f t="shared" si="3"/>
        <v/>
      </c>
      <c r="T257" s="566" t="e">
        <f ca="1">_xludf.IFNA(_xlfn.XLOOKUP(Table3[[#This Row],[SKU]],'00_Yield_Rates'!$B$2:$B$17,'00_Yield_Rates'!$E$2:$E$17),"")</f>
        <v>#NAME?</v>
      </c>
    </row>
    <row r="258" spans="1:20">
      <c r="A258" s="591" t="s">
        <v>124</v>
      </c>
      <c r="B258" s="592">
        <v>7397</v>
      </c>
      <c r="C258" s="593">
        <v>61082</v>
      </c>
      <c r="D258" s="593" t="s">
        <v>135</v>
      </c>
      <c r="E258" s="593" t="s">
        <v>30</v>
      </c>
      <c r="F258" s="596"/>
      <c r="G258" s="601">
        <v>12</v>
      </c>
      <c r="H258" s="601" t="s">
        <v>132</v>
      </c>
      <c r="I258" s="601" t="s">
        <v>127</v>
      </c>
      <c r="J258" s="602" t="s">
        <v>304</v>
      </c>
      <c r="K258" s="598" t="s">
        <v>129</v>
      </c>
      <c r="L258" s="598" t="s">
        <v>297</v>
      </c>
      <c r="M258" s="599">
        <v>29.61</v>
      </c>
      <c r="N258" s="597" t="s">
        <v>23</v>
      </c>
      <c r="O258" s="593">
        <v>25</v>
      </c>
      <c r="P258" s="144">
        <v>61082</v>
      </c>
      <c r="R258" s="165" t="e">
        <f>_xlfn.XLOOKUP(Table3[[#This Row],[SKU]],'05_Daily_Orders'!$B$2:$B$328,'05_Daily_Orders'!G:G)</f>
        <v>#VALUE!</v>
      </c>
      <c r="S258" s="166" t="str">
        <f t="shared" si="3"/>
        <v/>
      </c>
      <c r="T258" s="566" t="e">
        <f ca="1">_xludf.IFNA(_xlfn.XLOOKUP(Table3[[#This Row],[SKU]],'00_Yield_Rates'!$B$2:$B$17,'00_Yield_Rates'!$E$2:$E$17),"")</f>
        <v>#NAME?</v>
      </c>
    </row>
    <row r="259" spans="1:20">
      <c r="A259" s="591" t="s">
        <v>124</v>
      </c>
      <c r="B259" s="592">
        <v>7398</v>
      </c>
      <c r="C259" s="593" t="s">
        <v>102</v>
      </c>
      <c r="D259" s="593" t="s">
        <v>135</v>
      </c>
      <c r="E259" s="593" t="s">
        <v>24</v>
      </c>
      <c r="F259" s="596"/>
      <c r="G259" s="601">
        <v>8</v>
      </c>
      <c r="H259" s="601" t="s">
        <v>139</v>
      </c>
      <c r="I259" s="601" t="s">
        <v>140</v>
      </c>
      <c r="J259" s="602" t="s">
        <v>169</v>
      </c>
      <c r="K259" s="595" t="s">
        <v>129</v>
      </c>
      <c r="L259" s="598" t="s">
        <v>130</v>
      </c>
      <c r="M259" s="599">
        <v>128.02000000000001</v>
      </c>
      <c r="N259" s="597" t="s">
        <v>23</v>
      </c>
      <c r="O259" s="593">
        <v>25</v>
      </c>
      <c r="P259" s="144" t="s">
        <v>102</v>
      </c>
      <c r="R259" s="165" t="e">
        <f>_xlfn.XLOOKUP(Table3[[#This Row],[SKU]],'05_Daily_Orders'!$B$2:$B$328,'05_Daily_Orders'!G:G)</f>
        <v>#VALUE!</v>
      </c>
      <c r="S259" s="166" t="str">
        <f t="shared" si="3"/>
        <v/>
      </c>
      <c r="T259" s="566" t="e">
        <f ca="1">_xludf.IFNA(_xlfn.XLOOKUP(Table3[[#This Row],[SKU]],'00_Yield_Rates'!$B$2:$B$17,'00_Yield_Rates'!$E$2:$E$17),"")</f>
        <v>#NAME?</v>
      </c>
    </row>
    <row r="260" spans="1:20">
      <c r="A260" s="591" t="s">
        <v>124</v>
      </c>
      <c r="B260" s="600">
        <v>7416</v>
      </c>
      <c r="C260" s="593">
        <v>203891</v>
      </c>
      <c r="D260" s="593" t="s">
        <v>135</v>
      </c>
      <c r="E260" s="601" t="s">
        <v>153</v>
      </c>
      <c r="F260" s="596"/>
      <c r="G260" s="601">
        <v>6</v>
      </c>
      <c r="H260" s="601" t="s">
        <v>132</v>
      </c>
      <c r="I260" s="601" t="s">
        <v>127</v>
      </c>
      <c r="J260" s="602" t="s">
        <v>305</v>
      </c>
      <c r="K260" s="598" t="s">
        <v>129</v>
      </c>
      <c r="L260" s="598" t="s">
        <v>134</v>
      </c>
      <c r="M260" s="599">
        <v>128.02000000000001</v>
      </c>
      <c r="N260" s="597"/>
      <c r="O260" s="593">
        <v>25</v>
      </c>
      <c r="P260" s="144">
        <v>203891</v>
      </c>
      <c r="R260" s="165" t="e">
        <f>_xlfn.XLOOKUP(Table3[[#This Row],[SKU]],'05_Daily_Orders'!$B$2:$B$328,'05_Daily_Orders'!G:G)</f>
        <v>#VALUE!</v>
      </c>
      <c r="S260" s="166" t="str">
        <f t="shared" si="3"/>
        <v/>
      </c>
      <c r="T260" s="566" t="e">
        <f ca="1">_xludf.IFNA(_xlfn.XLOOKUP(Table3[[#This Row],[SKU]],'00_Yield_Rates'!$B$2:$B$17,'00_Yield_Rates'!$E$2:$E$17),"")</f>
        <v>#NAME?</v>
      </c>
    </row>
    <row r="261" spans="1:20">
      <c r="A261" s="591" t="s">
        <v>124</v>
      </c>
      <c r="B261" s="592">
        <v>7522</v>
      </c>
      <c r="C261" s="593" t="s">
        <v>118</v>
      </c>
      <c r="D261" s="593" t="s">
        <v>135</v>
      </c>
      <c r="E261" s="593" t="s">
        <v>21</v>
      </c>
      <c r="F261" s="596"/>
      <c r="G261" s="601">
        <v>12</v>
      </c>
      <c r="H261" s="601" t="s">
        <v>132</v>
      </c>
      <c r="I261" s="601" t="s">
        <v>127</v>
      </c>
      <c r="J261" s="602" t="s">
        <v>306</v>
      </c>
      <c r="K261" s="595" t="s">
        <v>142</v>
      </c>
      <c r="L261" s="598" t="s">
        <v>130</v>
      </c>
      <c r="M261" s="599">
        <v>29.24</v>
      </c>
      <c r="N261" s="597" t="s">
        <v>23</v>
      </c>
      <c r="O261" s="593">
        <v>25</v>
      </c>
      <c r="P261" s="144" t="s">
        <v>118</v>
      </c>
      <c r="R261" s="165" t="e">
        <f>_xlfn.XLOOKUP(Table3[[#This Row],[SKU]],'05_Daily_Orders'!$B$2:$B$328,'05_Daily_Orders'!G:G)</f>
        <v>#VALUE!</v>
      </c>
      <c r="S261" s="166" t="str">
        <f t="shared" si="3"/>
        <v/>
      </c>
      <c r="T261" s="566" t="e">
        <f ca="1">_xludf.IFNA(_xlfn.XLOOKUP(Table3[[#This Row],[SKU]],'00_Yield_Rates'!$B$2:$B$17,'00_Yield_Rates'!$E$2:$E$17),"")</f>
        <v>#NAME?</v>
      </c>
    </row>
    <row r="262" spans="1:20">
      <c r="A262" s="591" t="s">
        <v>124</v>
      </c>
      <c r="B262" s="600">
        <v>7553</v>
      </c>
      <c r="C262" s="593" t="s">
        <v>100</v>
      </c>
      <c r="D262" s="593" t="s">
        <v>135</v>
      </c>
      <c r="E262" s="593" t="s">
        <v>40</v>
      </c>
      <c r="F262" s="596"/>
      <c r="G262" s="601">
        <v>18</v>
      </c>
      <c r="H262" s="601" t="s">
        <v>132</v>
      </c>
      <c r="I262" s="601" t="s">
        <v>127</v>
      </c>
      <c r="J262" s="602" t="s">
        <v>307</v>
      </c>
      <c r="K262" s="595" t="s">
        <v>129</v>
      </c>
      <c r="L262" s="598" t="s">
        <v>134</v>
      </c>
      <c r="M262" s="599">
        <v>87.63</v>
      </c>
      <c r="N262" s="606" t="s">
        <v>23</v>
      </c>
      <c r="O262" s="593">
        <v>25</v>
      </c>
      <c r="P262" s="144" t="s">
        <v>100</v>
      </c>
      <c r="R262" s="165" t="e">
        <f>_xlfn.XLOOKUP(Table3[[#This Row],[SKU]],'05_Daily_Orders'!$B$2:$B$328,'05_Daily_Orders'!G:G)</f>
        <v>#VALUE!</v>
      </c>
      <c r="S262" s="166" t="str">
        <f t="shared" si="3"/>
        <v/>
      </c>
      <c r="T262" s="566" t="e">
        <f ca="1">_xludf.IFNA(_xlfn.XLOOKUP(Table3[[#This Row],[SKU]],'00_Yield_Rates'!$B$2:$B$17,'00_Yield_Rates'!$E$2:$E$17),"")</f>
        <v>#NAME?</v>
      </c>
    </row>
    <row r="263" spans="1:20">
      <c r="A263" s="591" t="s">
        <v>124</v>
      </c>
      <c r="B263" s="600">
        <v>7554</v>
      </c>
      <c r="C263" s="593" t="s">
        <v>101</v>
      </c>
      <c r="D263" s="593" t="s">
        <v>135</v>
      </c>
      <c r="E263" s="593" t="s">
        <v>40</v>
      </c>
      <c r="F263" s="596"/>
      <c r="G263" s="601">
        <v>18</v>
      </c>
      <c r="H263" s="601" t="s">
        <v>132</v>
      </c>
      <c r="I263" s="601" t="s">
        <v>127</v>
      </c>
      <c r="J263" s="602" t="s">
        <v>167</v>
      </c>
      <c r="K263" s="595" t="s">
        <v>129</v>
      </c>
      <c r="L263" s="598" t="s">
        <v>134</v>
      </c>
      <c r="M263" s="599">
        <v>83.82</v>
      </c>
      <c r="N263" s="597" t="s">
        <v>23</v>
      </c>
      <c r="O263" s="593">
        <v>25</v>
      </c>
      <c r="P263" s="144" t="s">
        <v>101</v>
      </c>
      <c r="R263" s="165" t="e">
        <f>_xlfn.XLOOKUP(Table3[[#This Row],[SKU]],'05_Daily_Orders'!$B$2:$B$328,'05_Daily_Orders'!G:G)</f>
        <v>#VALUE!</v>
      </c>
      <c r="S263" s="166" t="str">
        <f t="shared" si="3"/>
        <v/>
      </c>
      <c r="T263" s="566" t="e">
        <f ca="1">_xludf.IFNA(_xlfn.XLOOKUP(Table3[[#This Row],[SKU]],'00_Yield_Rates'!$B$2:$B$17,'00_Yield_Rates'!$E$2:$E$17),"")</f>
        <v>#NAME?</v>
      </c>
    </row>
    <row r="264" spans="1:20">
      <c r="A264" s="591" t="s">
        <v>124</v>
      </c>
      <c r="B264" s="600">
        <v>7557</v>
      </c>
      <c r="C264" s="593" t="s">
        <v>101</v>
      </c>
      <c r="D264" s="593" t="s">
        <v>135</v>
      </c>
      <c r="E264" s="593" t="s">
        <v>40</v>
      </c>
      <c r="F264" s="596"/>
      <c r="G264" s="601">
        <v>6</v>
      </c>
      <c r="H264" s="601" t="s">
        <v>139</v>
      </c>
      <c r="I264" s="601" t="s">
        <v>140</v>
      </c>
      <c r="J264" s="602" t="s">
        <v>308</v>
      </c>
      <c r="K264" s="595" t="s">
        <v>129</v>
      </c>
      <c r="L264" s="598" t="s">
        <v>130</v>
      </c>
      <c r="M264" s="599">
        <v>90.87</v>
      </c>
      <c r="N264" s="597" t="s">
        <v>23</v>
      </c>
      <c r="O264" s="593">
        <v>25</v>
      </c>
      <c r="P264" s="144" t="s">
        <v>101</v>
      </c>
      <c r="R264" s="165" t="e">
        <f>_xlfn.XLOOKUP(Table3[[#This Row],[SKU]],'05_Daily_Orders'!$B$2:$B$328,'05_Daily_Orders'!G:G)</f>
        <v>#VALUE!</v>
      </c>
      <c r="S264" s="166" t="str">
        <f t="shared" si="3"/>
        <v/>
      </c>
      <c r="T264" s="566" t="e">
        <f ca="1">_xludf.IFNA(_xlfn.XLOOKUP(Table3[[#This Row],[SKU]],'00_Yield_Rates'!$B$2:$B$17,'00_Yield_Rates'!$E$2:$E$17),"")</f>
        <v>#NAME?</v>
      </c>
    </row>
    <row r="265" spans="1:20">
      <c r="A265" s="591" t="s">
        <v>124</v>
      </c>
      <c r="B265" s="593">
        <v>7605</v>
      </c>
      <c r="C265" s="593">
        <v>61055</v>
      </c>
      <c r="D265" s="593" t="s">
        <v>125</v>
      </c>
      <c r="E265" s="593" t="s">
        <v>24</v>
      </c>
      <c r="F265" s="593">
        <v>9.2949999999999999</v>
      </c>
      <c r="G265" s="593">
        <v>8</v>
      </c>
      <c r="H265" s="593" t="s">
        <v>126</v>
      </c>
      <c r="I265" s="601" t="s">
        <v>140</v>
      </c>
      <c r="J265" s="594" t="s">
        <v>309</v>
      </c>
      <c r="K265" s="595" t="s">
        <v>129</v>
      </c>
      <c r="L265" s="596" t="s">
        <v>227</v>
      </c>
      <c r="M265" s="596">
        <v>135.13</v>
      </c>
      <c r="N265" s="597" t="s">
        <v>44</v>
      </c>
      <c r="O265" s="593">
        <v>25</v>
      </c>
      <c r="P265" s="144">
        <v>61055</v>
      </c>
      <c r="R265" s="165" t="e">
        <f>_xlfn.XLOOKUP(Table3[[#This Row],[SKU]],'05_Daily_Orders'!$B$2:$B$328,'05_Daily_Orders'!G:G)</f>
        <v>#VALUE!</v>
      </c>
      <c r="S265" s="166" t="str">
        <f t="shared" si="3"/>
        <v/>
      </c>
      <c r="T265" s="566" t="e">
        <f ca="1">_xludf.IFNA(_xlfn.XLOOKUP(Table3[[#This Row],[SKU]],'00_Yield_Rates'!$B$2:$B$17,'00_Yield_Rates'!$E$2:$E$17),"")</f>
        <v>#NAME?</v>
      </c>
    </row>
    <row r="266" spans="1:20">
      <c r="A266" s="591" t="s">
        <v>124</v>
      </c>
      <c r="B266" s="593">
        <v>7606</v>
      </c>
      <c r="C266" s="593">
        <v>61055</v>
      </c>
      <c r="D266" s="593" t="s">
        <v>125</v>
      </c>
      <c r="E266" s="593" t="s">
        <v>24</v>
      </c>
      <c r="F266" s="593">
        <v>9.2949999999999999</v>
      </c>
      <c r="G266" s="593">
        <v>8</v>
      </c>
      <c r="H266" s="593" t="s">
        <v>126</v>
      </c>
      <c r="I266" s="601" t="s">
        <v>140</v>
      </c>
      <c r="J266" s="607" t="s">
        <v>310</v>
      </c>
      <c r="K266" s="595" t="s">
        <v>129</v>
      </c>
      <c r="L266" s="596" t="s">
        <v>227</v>
      </c>
      <c r="M266" s="596">
        <v>135.13</v>
      </c>
      <c r="N266" s="597" t="s">
        <v>44</v>
      </c>
      <c r="O266" s="593">
        <v>25</v>
      </c>
      <c r="P266" s="144">
        <v>61055</v>
      </c>
      <c r="R266" s="165" t="e">
        <f>_xlfn.XLOOKUP(Table3[[#This Row],[SKU]],'05_Daily_Orders'!$B$2:$B$328,'05_Daily_Orders'!G:G)</f>
        <v>#VALUE!</v>
      </c>
      <c r="S266" s="166" t="str">
        <f t="shared" si="3"/>
        <v/>
      </c>
      <c r="T266" s="566" t="e">
        <f ca="1">_xludf.IFNA(_xlfn.XLOOKUP(Table3[[#This Row],[SKU]],'00_Yield_Rates'!$B$2:$B$17,'00_Yield_Rates'!$E$2:$E$17),"")</f>
        <v>#NAME?</v>
      </c>
    </row>
    <row r="267" spans="1:20">
      <c r="A267" s="591" t="s">
        <v>124</v>
      </c>
      <c r="B267" s="593">
        <v>7607</v>
      </c>
      <c r="C267" s="593">
        <v>61055</v>
      </c>
      <c r="D267" s="593" t="s">
        <v>125</v>
      </c>
      <c r="E267" s="593" t="s">
        <v>24</v>
      </c>
      <c r="F267" s="593">
        <v>9.2949999999999999</v>
      </c>
      <c r="G267" s="593">
        <v>8</v>
      </c>
      <c r="H267" s="593" t="s">
        <v>126</v>
      </c>
      <c r="I267" s="601" t="s">
        <v>140</v>
      </c>
      <c r="J267" s="607" t="s">
        <v>310</v>
      </c>
      <c r="K267" s="595" t="s">
        <v>129</v>
      </c>
      <c r="L267" s="596" t="s">
        <v>227</v>
      </c>
      <c r="M267" s="596">
        <v>135.13</v>
      </c>
      <c r="N267" s="597" t="s">
        <v>44</v>
      </c>
      <c r="O267" s="593">
        <v>25</v>
      </c>
      <c r="P267" s="144">
        <v>61055</v>
      </c>
      <c r="R267" s="165" t="e">
        <f>_xlfn.XLOOKUP(Table3[[#This Row],[SKU]],'05_Daily_Orders'!$B$2:$B$328,'05_Daily_Orders'!G:G)</f>
        <v>#VALUE!</v>
      </c>
      <c r="S267" s="166" t="str">
        <f t="shared" si="3"/>
        <v/>
      </c>
      <c r="T267" s="566" t="e">
        <f ca="1">_xludf.IFNA(_xlfn.XLOOKUP(Table3[[#This Row],[SKU]],'00_Yield_Rates'!$B$2:$B$17,'00_Yield_Rates'!$E$2:$E$17),"")</f>
        <v>#NAME?</v>
      </c>
    </row>
    <row r="268" spans="1:20">
      <c r="A268" s="591" t="s">
        <v>124</v>
      </c>
      <c r="B268" s="593">
        <v>7608</v>
      </c>
      <c r="C268" s="593">
        <v>61055</v>
      </c>
      <c r="D268" s="593" t="s">
        <v>125</v>
      </c>
      <c r="E268" s="593" t="s">
        <v>24</v>
      </c>
      <c r="F268" s="593">
        <v>9.2949999999999999</v>
      </c>
      <c r="G268" s="593">
        <v>8</v>
      </c>
      <c r="H268" s="593" t="s">
        <v>126</v>
      </c>
      <c r="I268" s="601" t="s">
        <v>140</v>
      </c>
      <c r="J268" s="607" t="s">
        <v>311</v>
      </c>
      <c r="K268" s="595" t="s">
        <v>129</v>
      </c>
      <c r="L268" s="596" t="s">
        <v>227</v>
      </c>
      <c r="M268" s="596">
        <v>91.73</v>
      </c>
      <c r="N268" s="597" t="s">
        <v>44</v>
      </c>
      <c r="O268" s="593">
        <v>25</v>
      </c>
      <c r="P268" s="144">
        <v>61055</v>
      </c>
      <c r="R268" s="165" t="e">
        <f>_xlfn.XLOOKUP(Table3[[#This Row],[SKU]],'05_Daily_Orders'!$B$2:$B$328,'05_Daily_Orders'!G:G)</f>
        <v>#VALUE!</v>
      </c>
      <c r="S268" s="166" t="str">
        <f t="shared" si="3"/>
        <v/>
      </c>
      <c r="T268" s="566" t="e">
        <f ca="1">_xludf.IFNA(_xlfn.XLOOKUP(Table3[[#This Row],[SKU]],'00_Yield_Rates'!$B$2:$B$17,'00_Yield_Rates'!$E$2:$E$17),"")</f>
        <v>#NAME?</v>
      </c>
    </row>
    <row r="269" spans="1:20">
      <c r="A269" s="591" t="s">
        <v>124</v>
      </c>
      <c r="B269" s="600">
        <v>7811</v>
      </c>
      <c r="C269" s="593">
        <v>61050</v>
      </c>
      <c r="D269" s="593" t="s">
        <v>125</v>
      </c>
      <c r="E269" s="593" t="s">
        <v>24</v>
      </c>
      <c r="F269" s="596"/>
      <c r="G269" s="601">
        <v>12</v>
      </c>
      <c r="H269" s="601" t="s">
        <v>151</v>
      </c>
      <c r="I269" s="601" t="s">
        <v>127</v>
      </c>
      <c r="J269" s="602" t="s">
        <v>312</v>
      </c>
      <c r="K269" s="595" t="s">
        <v>129</v>
      </c>
      <c r="L269" s="598" t="s">
        <v>227</v>
      </c>
      <c r="M269" s="599">
        <v>102.94</v>
      </c>
      <c r="N269" s="597" t="s">
        <v>44</v>
      </c>
      <c r="O269" s="593">
        <v>25</v>
      </c>
      <c r="P269" s="144">
        <v>61050</v>
      </c>
      <c r="R269" s="165" t="e">
        <f>_xlfn.XLOOKUP(Table3[[#This Row],[SKU]],'05_Daily_Orders'!$B$2:$B$328,'05_Daily_Orders'!G:G)</f>
        <v>#VALUE!</v>
      </c>
      <c r="S269" s="166" t="str">
        <f t="shared" si="3"/>
        <v/>
      </c>
      <c r="T269" s="566" t="e">
        <f ca="1">_xludf.IFNA(_xlfn.XLOOKUP(Table3[[#This Row],[SKU]],'00_Yield_Rates'!$B$2:$B$17,'00_Yield_Rates'!$E$2:$E$17),"")</f>
        <v>#NAME?</v>
      </c>
    </row>
    <row r="270" spans="1:20">
      <c r="A270" s="591" t="s">
        <v>124</v>
      </c>
      <c r="B270" s="592">
        <v>7812</v>
      </c>
      <c r="C270" s="593">
        <v>61050</v>
      </c>
      <c r="D270" s="593" t="s">
        <v>125</v>
      </c>
      <c r="E270" s="593" t="s">
        <v>24</v>
      </c>
      <c r="F270" s="596"/>
      <c r="G270" s="601">
        <v>8</v>
      </c>
      <c r="H270" s="601" t="s">
        <v>198</v>
      </c>
      <c r="I270" s="601" t="s">
        <v>127</v>
      </c>
      <c r="J270" s="602" t="s">
        <v>313</v>
      </c>
      <c r="K270" s="595" t="s">
        <v>129</v>
      </c>
      <c r="L270" s="595" t="s">
        <v>227</v>
      </c>
      <c r="M270" s="596">
        <v>96.16</v>
      </c>
      <c r="N270" s="597" t="s">
        <v>44</v>
      </c>
      <c r="O270" s="593">
        <v>23</v>
      </c>
      <c r="P270" s="144">
        <v>61050</v>
      </c>
      <c r="R270" s="165" t="e">
        <f>_xlfn.XLOOKUP(Table3[[#This Row],[SKU]],'05_Daily_Orders'!$B$2:$B$328,'05_Daily_Orders'!G:G)</f>
        <v>#VALUE!</v>
      </c>
      <c r="S270" s="166" t="str">
        <f t="shared" si="3"/>
        <v/>
      </c>
      <c r="T270" s="566" t="e">
        <f ca="1">_xludf.IFNA(_xlfn.XLOOKUP(Table3[[#This Row],[SKU]],'00_Yield_Rates'!$B$2:$B$17,'00_Yield_Rates'!$E$2:$E$17),"")</f>
        <v>#NAME?</v>
      </c>
    </row>
    <row r="271" spans="1:20">
      <c r="A271" s="591" t="s">
        <v>124</v>
      </c>
      <c r="B271" s="592">
        <v>7813</v>
      </c>
      <c r="C271" s="593">
        <v>61050</v>
      </c>
      <c r="D271" s="593" t="s">
        <v>125</v>
      </c>
      <c r="E271" s="593" t="s">
        <v>24</v>
      </c>
      <c r="F271" s="596"/>
      <c r="G271" s="601">
        <v>8</v>
      </c>
      <c r="H271" s="601" t="s">
        <v>126</v>
      </c>
      <c r="I271" s="601" t="s">
        <v>140</v>
      </c>
      <c r="J271" s="602" t="s">
        <v>314</v>
      </c>
      <c r="K271" s="595" t="s">
        <v>129</v>
      </c>
      <c r="L271" s="595" t="s">
        <v>227</v>
      </c>
      <c r="M271" s="596">
        <v>147.01</v>
      </c>
      <c r="N271" s="597" t="s">
        <v>44</v>
      </c>
      <c r="O271" s="593">
        <v>25</v>
      </c>
      <c r="P271" s="144">
        <v>61050</v>
      </c>
      <c r="R271" s="165" t="e">
        <f>_xlfn.XLOOKUP(Table3[[#This Row],[SKU]],'05_Daily_Orders'!$B$2:$B$328,'05_Daily_Orders'!G:G)</f>
        <v>#VALUE!</v>
      </c>
      <c r="S271" s="166" t="str">
        <f t="shared" si="3"/>
        <v/>
      </c>
      <c r="T271" s="566" t="e">
        <f ca="1">_xludf.IFNA(_xlfn.XLOOKUP(Table3[[#This Row],[SKU]],'00_Yield_Rates'!$B$2:$B$17,'00_Yield_Rates'!$E$2:$E$17),"")</f>
        <v>#NAME?</v>
      </c>
    </row>
    <row r="272" spans="1:20">
      <c r="A272" s="591" t="s">
        <v>124</v>
      </c>
      <c r="B272" s="592">
        <v>7814</v>
      </c>
      <c r="C272" s="593">
        <v>61069</v>
      </c>
      <c r="D272" s="593" t="s">
        <v>125</v>
      </c>
      <c r="E272" s="601" t="s">
        <v>24</v>
      </c>
      <c r="F272" s="596"/>
      <c r="G272" s="601">
        <v>12</v>
      </c>
      <c r="H272" s="601" t="s">
        <v>132</v>
      </c>
      <c r="I272" s="601" t="s">
        <v>127</v>
      </c>
      <c r="J272" s="602" t="s">
        <v>315</v>
      </c>
      <c r="K272" s="595" t="s">
        <v>129</v>
      </c>
      <c r="L272" s="595" t="s">
        <v>227</v>
      </c>
      <c r="M272" s="596">
        <v>4.51</v>
      </c>
      <c r="N272" s="597" t="s">
        <v>44</v>
      </c>
      <c r="O272" s="593">
        <v>25</v>
      </c>
      <c r="P272" s="144">
        <v>61069</v>
      </c>
      <c r="R272" s="165" t="e">
        <f>_xlfn.XLOOKUP(Table3[[#This Row],[SKU]],'05_Daily_Orders'!$B$2:$B$328,'05_Daily_Orders'!G:G)</f>
        <v>#VALUE!</v>
      </c>
      <c r="S272" s="166" t="str">
        <f t="shared" si="3"/>
        <v/>
      </c>
      <c r="T272" s="566" t="e">
        <f ca="1">_xludf.IFNA(_xlfn.XLOOKUP(Table3[[#This Row],[SKU]],'00_Yield_Rates'!$B$2:$B$17,'00_Yield_Rates'!$E$2:$E$17),"")</f>
        <v>#NAME?</v>
      </c>
    </row>
    <row r="273" spans="1:20">
      <c r="A273" s="591" t="s">
        <v>124</v>
      </c>
      <c r="B273" s="592">
        <v>7815</v>
      </c>
      <c r="C273" s="593">
        <v>61054</v>
      </c>
      <c r="D273" s="593" t="s">
        <v>125</v>
      </c>
      <c r="E273" s="601" t="s">
        <v>200</v>
      </c>
      <c r="F273" s="596"/>
      <c r="G273" s="601">
        <v>12</v>
      </c>
      <c r="H273" s="593" t="s">
        <v>132</v>
      </c>
      <c r="I273" s="601" t="s">
        <v>316</v>
      </c>
      <c r="J273" s="602" t="s">
        <v>317</v>
      </c>
      <c r="K273" s="595" t="s">
        <v>142</v>
      </c>
      <c r="L273" s="595" t="s">
        <v>227</v>
      </c>
      <c r="M273" s="596">
        <v>16.32</v>
      </c>
      <c r="N273" s="597" t="s">
        <v>44</v>
      </c>
      <c r="O273" s="593">
        <v>25</v>
      </c>
      <c r="P273" s="144">
        <v>61054</v>
      </c>
      <c r="R273" s="165" t="e">
        <f>_xlfn.XLOOKUP(Table3[[#This Row],[SKU]],'05_Daily_Orders'!$B$2:$B$328,'05_Daily_Orders'!G:G)</f>
        <v>#VALUE!</v>
      </c>
      <c r="S273" s="166" t="str">
        <f t="shared" si="3"/>
        <v/>
      </c>
      <c r="T273" s="566" t="e">
        <f ca="1">_xludf.IFNA(_xlfn.XLOOKUP(Table3[[#This Row],[SKU]],'00_Yield_Rates'!$B$2:$B$17,'00_Yield_Rates'!$E$2:$E$17),"")</f>
        <v>#NAME?</v>
      </c>
    </row>
    <row r="274" spans="1:20">
      <c r="A274" s="591" t="s">
        <v>124</v>
      </c>
      <c r="B274" s="600">
        <v>7816</v>
      </c>
      <c r="C274" s="593">
        <v>61086</v>
      </c>
      <c r="D274" s="593" t="s">
        <v>125</v>
      </c>
      <c r="E274" s="593" t="s">
        <v>21</v>
      </c>
      <c r="F274" s="596"/>
      <c r="G274" s="601">
        <v>8</v>
      </c>
      <c r="H274" s="601" t="s">
        <v>198</v>
      </c>
      <c r="I274" s="601" t="s">
        <v>316</v>
      </c>
      <c r="J274" s="602" t="s">
        <v>318</v>
      </c>
      <c r="K274" s="595" t="s">
        <v>142</v>
      </c>
      <c r="L274" s="598" t="s">
        <v>227</v>
      </c>
      <c r="M274" s="599">
        <v>27.66</v>
      </c>
      <c r="N274" s="606" t="s">
        <v>44</v>
      </c>
      <c r="O274" s="593">
        <v>25</v>
      </c>
      <c r="P274" s="144">
        <v>61086</v>
      </c>
      <c r="R274" s="165" t="e">
        <f>_xlfn.XLOOKUP(Table3[[#This Row],[SKU]],'05_Daily_Orders'!$B$2:$B$328,'05_Daily_Orders'!G:G)</f>
        <v>#VALUE!</v>
      </c>
      <c r="S274" s="166" t="str">
        <f t="shared" si="3"/>
        <v/>
      </c>
      <c r="T274" s="566" t="e">
        <f ca="1">_xludf.IFNA(_xlfn.XLOOKUP(Table3[[#This Row],[SKU]],'00_Yield_Rates'!$B$2:$B$17,'00_Yield_Rates'!$E$2:$E$17),"")</f>
        <v>#NAME?</v>
      </c>
    </row>
    <row r="275" spans="1:20">
      <c r="A275" s="591" t="s">
        <v>124</v>
      </c>
      <c r="B275" s="600">
        <v>7817</v>
      </c>
      <c r="C275" s="593">
        <v>61077</v>
      </c>
      <c r="D275" s="593" t="s">
        <v>125</v>
      </c>
      <c r="E275" s="593" t="s">
        <v>30</v>
      </c>
      <c r="F275" s="596"/>
      <c r="G275" s="593">
        <v>8</v>
      </c>
      <c r="H275" s="593" t="s">
        <v>198</v>
      </c>
      <c r="I275" s="593" t="s">
        <v>127</v>
      </c>
      <c r="J275" s="594" t="s">
        <v>319</v>
      </c>
      <c r="K275" s="598" t="s">
        <v>129</v>
      </c>
      <c r="L275" s="595" t="s">
        <v>227</v>
      </c>
      <c r="M275" s="596">
        <v>44.44</v>
      </c>
      <c r="N275" s="597" t="s">
        <v>44</v>
      </c>
      <c r="O275" s="593">
        <v>20</v>
      </c>
      <c r="P275" s="144">
        <v>61077</v>
      </c>
      <c r="R275" s="165" t="e">
        <f>_xlfn.XLOOKUP(Table3[[#This Row],[SKU]],'05_Daily_Orders'!$B$2:$B$328,'05_Daily_Orders'!G:G)</f>
        <v>#VALUE!</v>
      </c>
      <c r="S275" s="166" t="str">
        <f t="shared" si="3"/>
        <v/>
      </c>
      <c r="T275" s="566" t="e">
        <f ca="1">_xludf.IFNA(_xlfn.XLOOKUP(Table3[[#This Row],[SKU]],'00_Yield_Rates'!$B$2:$B$17,'00_Yield_Rates'!$E$2:$E$17),"")</f>
        <v>#NAME?</v>
      </c>
    </row>
    <row r="276" spans="1:20">
      <c r="A276" s="591" t="s">
        <v>124</v>
      </c>
      <c r="B276" s="600">
        <v>7818</v>
      </c>
      <c r="C276" s="593" t="s">
        <v>114</v>
      </c>
      <c r="D276" s="593" t="s">
        <v>125</v>
      </c>
      <c r="E276" s="593" t="s">
        <v>146</v>
      </c>
      <c r="F276" s="596"/>
      <c r="G276" s="593">
        <v>8</v>
      </c>
      <c r="H276" s="593" t="s">
        <v>198</v>
      </c>
      <c r="I276" s="593" t="s">
        <v>127</v>
      </c>
      <c r="J276" s="594" t="s">
        <v>320</v>
      </c>
      <c r="K276" s="598" t="s">
        <v>129</v>
      </c>
      <c r="L276" s="595" t="s">
        <v>227</v>
      </c>
      <c r="M276" s="596">
        <v>44.92</v>
      </c>
      <c r="N276" s="597" t="s">
        <v>44</v>
      </c>
      <c r="O276" s="593">
        <v>25</v>
      </c>
      <c r="P276" s="144" t="s">
        <v>114</v>
      </c>
      <c r="R276" s="165" t="e">
        <f>_xlfn.XLOOKUP(Table3[[#This Row],[SKU]],'05_Daily_Orders'!$B$2:$B$328,'05_Daily_Orders'!G:G)</f>
        <v>#VALUE!</v>
      </c>
      <c r="S276" s="166" t="str">
        <f t="shared" si="3"/>
        <v/>
      </c>
      <c r="T276" s="566" t="e">
        <f ca="1">_xludf.IFNA(_xlfn.XLOOKUP(Table3[[#This Row],[SKU]],'00_Yield_Rates'!$B$2:$B$17,'00_Yield_Rates'!$E$2:$E$17),"")</f>
        <v>#NAME?</v>
      </c>
    </row>
    <row r="277" spans="1:20">
      <c r="A277" s="591" t="s">
        <v>124</v>
      </c>
      <c r="B277" s="600">
        <v>7819</v>
      </c>
      <c r="C277" s="593" t="s">
        <v>97</v>
      </c>
      <c r="D277" s="593" t="s">
        <v>125</v>
      </c>
      <c r="E277" s="593" t="s">
        <v>34</v>
      </c>
      <c r="F277" s="596"/>
      <c r="G277" s="601">
        <v>8</v>
      </c>
      <c r="H277" s="593" t="s">
        <v>198</v>
      </c>
      <c r="I277" s="601" t="s">
        <v>140</v>
      </c>
      <c r="J277" s="602" t="s">
        <v>321</v>
      </c>
      <c r="K277" s="595" t="s">
        <v>142</v>
      </c>
      <c r="L277" s="598" t="s">
        <v>227</v>
      </c>
      <c r="M277" s="599">
        <v>24.48</v>
      </c>
      <c r="N277" s="597" t="s">
        <v>44</v>
      </c>
      <c r="O277" s="593">
        <v>25</v>
      </c>
      <c r="P277" s="144" t="s">
        <v>97</v>
      </c>
      <c r="R277" s="165" t="e">
        <f>_xlfn.XLOOKUP(Table3[[#This Row],[SKU]],'05_Daily_Orders'!$B$2:$B$328,'05_Daily_Orders'!G:G)</f>
        <v>#VALUE!</v>
      </c>
      <c r="S277" s="166" t="str">
        <f t="shared" si="3"/>
        <v/>
      </c>
      <c r="T277" s="566" t="e">
        <f ca="1">_xludf.IFNA(_xlfn.XLOOKUP(Table3[[#This Row],[SKU]],'00_Yield_Rates'!$B$2:$B$17,'00_Yield_Rates'!$E$2:$E$17),"")</f>
        <v>#NAME?</v>
      </c>
    </row>
    <row r="278" spans="1:20">
      <c r="A278" s="591" t="s">
        <v>124</v>
      </c>
      <c r="B278" s="600">
        <v>7821</v>
      </c>
      <c r="C278" s="593">
        <v>61050</v>
      </c>
      <c r="D278" s="593" t="s">
        <v>125</v>
      </c>
      <c r="E278" s="593" t="s">
        <v>24</v>
      </c>
      <c r="F278" s="596"/>
      <c r="G278" s="601">
        <v>8</v>
      </c>
      <c r="H278" s="593" t="s">
        <v>126</v>
      </c>
      <c r="I278" s="601" t="s">
        <v>140</v>
      </c>
      <c r="J278" s="602" t="s">
        <v>314</v>
      </c>
      <c r="K278" s="595" t="s">
        <v>129</v>
      </c>
      <c r="L278" s="595" t="s">
        <v>227</v>
      </c>
      <c r="M278" s="596">
        <v>111.22</v>
      </c>
      <c r="N278" s="597" t="s">
        <v>44</v>
      </c>
      <c r="O278" s="593">
        <v>25</v>
      </c>
      <c r="P278" s="144">
        <v>61050</v>
      </c>
      <c r="R278" s="165" t="e">
        <f>_xlfn.XLOOKUP(Table3[[#This Row],[SKU]],'05_Daily_Orders'!$B$2:$B$328,'05_Daily_Orders'!G:G)</f>
        <v>#VALUE!</v>
      </c>
      <c r="S278" s="166" t="str">
        <f t="shared" si="3"/>
        <v/>
      </c>
      <c r="T278" s="566" t="e">
        <f ca="1">_xludf.IFNA(_xlfn.XLOOKUP(Table3[[#This Row],[SKU]],'00_Yield_Rates'!$B$2:$B$17,'00_Yield_Rates'!$E$2:$E$17),"")</f>
        <v>#NAME?</v>
      </c>
    </row>
    <row r="279" spans="1:20">
      <c r="A279" s="591" t="s">
        <v>124</v>
      </c>
      <c r="B279" s="600">
        <v>7823</v>
      </c>
      <c r="C279" s="593">
        <v>61077</v>
      </c>
      <c r="D279" s="593" t="s">
        <v>125</v>
      </c>
      <c r="E279" s="593" t="s">
        <v>30</v>
      </c>
      <c r="F279" s="596">
        <v>6.4512988560533797</v>
      </c>
      <c r="G279" s="601">
        <v>8</v>
      </c>
      <c r="H279" s="601" t="s">
        <v>301</v>
      </c>
      <c r="I279" s="601" t="s">
        <v>127</v>
      </c>
      <c r="J279" s="602" t="s">
        <v>322</v>
      </c>
      <c r="K279" s="598" t="s">
        <v>129</v>
      </c>
      <c r="L279" s="595" t="s">
        <v>227</v>
      </c>
      <c r="M279" s="596">
        <v>36.840000000000003</v>
      </c>
      <c r="N279" s="597" t="s">
        <v>44</v>
      </c>
      <c r="O279" s="593">
        <v>25</v>
      </c>
      <c r="P279" s="144">
        <v>61077</v>
      </c>
      <c r="R279" s="165" t="e">
        <f>_xlfn.XLOOKUP(Table3[[#This Row],[SKU]],'05_Daily_Orders'!$B$2:$B$328,'05_Daily_Orders'!G:G)</f>
        <v>#VALUE!</v>
      </c>
      <c r="S279" s="166" t="str">
        <f t="shared" si="3"/>
        <v/>
      </c>
      <c r="T279" s="566" t="e">
        <f ca="1">_xludf.IFNA(_xlfn.XLOOKUP(Table3[[#This Row],[SKU]],'00_Yield_Rates'!$B$2:$B$17,'00_Yield_Rates'!$E$2:$E$17),"")</f>
        <v>#NAME?</v>
      </c>
    </row>
    <row r="280" spans="1:20">
      <c r="A280" s="591" t="s">
        <v>124</v>
      </c>
      <c r="B280" s="592">
        <v>7824</v>
      </c>
      <c r="C280" s="593" t="s">
        <v>114</v>
      </c>
      <c r="D280" s="593" t="s">
        <v>125</v>
      </c>
      <c r="E280" s="593" t="s">
        <v>146</v>
      </c>
      <c r="F280" s="596">
        <v>6.0889089775561098</v>
      </c>
      <c r="G280" s="601">
        <v>8</v>
      </c>
      <c r="H280" s="601" t="s">
        <v>301</v>
      </c>
      <c r="I280" s="601" t="s">
        <v>127</v>
      </c>
      <c r="J280" s="602" t="s">
        <v>323</v>
      </c>
      <c r="K280" s="598" t="s">
        <v>129</v>
      </c>
      <c r="L280" s="595" t="s">
        <v>227</v>
      </c>
      <c r="M280" s="596">
        <v>43.35</v>
      </c>
      <c r="N280" s="597" t="s">
        <v>44</v>
      </c>
      <c r="O280" s="593">
        <v>25</v>
      </c>
      <c r="P280" s="144" t="s">
        <v>114</v>
      </c>
      <c r="R280" s="165" t="e">
        <f>_xlfn.XLOOKUP(Table3[[#This Row],[SKU]],'05_Daily_Orders'!$B$2:$B$328,'05_Daily_Orders'!G:G)</f>
        <v>#VALUE!</v>
      </c>
      <c r="S280" s="166" t="str">
        <f t="shared" si="3"/>
        <v/>
      </c>
      <c r="T280" s="566" t="e">
        <f ca="1">_xludf.IFNA(_xlfn.XLOOKUP(Table3[[#This Row],[SKU]],'00_Yield_Rates'!$B$2:$B$17,'00_Yield_Rates'!$E$2:$E$17),"")</f>
        <v>#NAME?</v>
      </c>
    </row>
    <row r="281" spans="1:20">
      <c r="A281" s="591" t="s">
        <v>124</v>
      </c>
      <c r="B281" s="592">
        <v>7825</v>
      </c>
      <c r="C281" s="593" t="s">
        <v>97</v>
      </c>
      <c r="D281" s="593" t="s">
        <v>125</v>
      </c>
      <c r="E281" s="593" t="s">
        <v>34</v>
      </c>
      <c r="F281" s="596">
        <v>6.14130255722631</v>
      </c>
      <c r="G281" s="601">
        <v>8</v>
      </c>
      <c r="H281" s="601" t="s">
        <v>301</v>
      </c>
      <c r="I281" s="601" t="s">
        <v>140</v>
      </c>
      <c r="J281" s="602" t="s">
        <v>324</v>
      </c>
      <c r="K281" s="595" t="s">
        <v>142</v>
      </c>
      <c r="L281" s="595" t="s">
        <v>227</v>
      </c>
      <c r="M281" s="596">
        <v>24</v>
      </c>
      <c r="N281" s="597" t="s">
        <v>44</v>
      </c>
      <c r="O281" s="593">
        <v>25</v>
      </c>
      <c r="P281" s="144" t="s">
        <v>97</v>
      </c>
      <c r="R281" s="165" t="e">
        <f>_xlfn.XLOOKUP(Table3[[#This Row],[SKU]],'05_Daily_Orders'!$B$2:$B$328,'05_Daily_Orders'!G:G)</f>
        <v>#VALUE!</v>
      </c>
      <c r="S281" s="166" t="str">
        <f t="shared" si="3"/>
        <v/>
      </c>
      <c r="T281" s="566" t="e">
        <f ca="1">_xludf.IFNA(_xlfn.XLOOKUP(Table3[[#This Row],[SKU]],'00_Yield_Rates'!$B$2:$B$17,'00_Yield_Rates'!$E$2:$E$17),"")</f>
        <v>#NAME?</v>
      </c>
    </row>
    <row r="282" spans="1:20">
      <c r="A282" s="591" t="s">
        <v>124</v>
      </c>
      <c r="B282" s="592">
        <v>7826</v>
      </c>
      <c r="C282" s="593" t="s">
        <v>106</v>
      </c>
      <c r="D282" s="593" t="s">
        <v>125</v>
      </c>
      <c r="E282" s="593" t="s">
        <v>24</v>
      </c>
      <c r="F282" s="596">
        <v>8.2729787507634907</v>
      </c>
      <c r="G282" s="601">
        <v>12</v>
      </c>
      <c r="H282" s="601" t="s">
        <v>264</v>
      </c>
      <c r="I282" s="601" t="s">
        <v>127</v>
      </c>
      <c r="J282" s="602" t="s">
        <v>325</v>
      </c>
      <c r="K282" s="595" t="s">
        <v>129</v>
      </c>
      <c r="L282" s="595" t="s">
        <v>227</v>
      </c>
      <c r="M282" s="596">
        <v>98.5</v>
      </c>
      <c r="N282" s="597" t="s">
        <v>44</v>
      </c>
      <c r="O282" s="593">
        <v>20</v>
      </c>
      <c r="P282" s="144" t="s">
        <v>106</v>
      </c>
      <c r="R282" s="165" t="e">
        <f>_xlfn.XLOOKUP(Table3[[#This Row],[SKU]],'05_Daily_Orders'!$B$2:$B$328,'05_Daily_Orders'!G:G)</f>
        <v>#VALUE!</v>
      </c>
      <c r="S282" s="166" t="str">
        <f t="shared" si="3"/>
        <v/>
      </c>
      <c r="T282" s="566" t="e">
        <f ca="1">_xludf.IFNA(_xlfn.XLOOKUP(Table3[[#This Row],[SKU]],'00_Yield_Rates'!$B$2:$B$17,'00_Yield_Rates'!$E$2:$E$17),"")</f>
        <v>#NAME?</v>
      </c>
    </row>
    <row r="283" spans="1:20">
      <c r="A283" s="591" t="s">
        <v>124</v>
      </c>
      <c r="B283" s="592">
        <v>7827</v>
      </c>
      <c r="C283" s="593">
        <v>61050</v>
      </c>
      <c r="D283" s="593" t="s">
        <v>125</v>
      </c>
      <c r="E283" s="593" t="s">
        <v>24</v>
      </c>
      <c r="F283" s="596">
        <v>10.902292276861401</v>
      </c>
      <c r="G283" s="601">
        <v>8</v>
      </c>
      <c r="H283" s="601" t="s">
        <v>126</v>
      </c>
      <c r="I283" s="601" t="s">
        <v>140</v>
      </c>
      <c r="J283" s="602" t="s">
        <v>326</v>
      </c>
      <c r="K283" s="595" t="s">
        <v>129</v>
      </c>
      <c r="L283" s="595" t="s">
        <v>227</v>
      </c>
      <c r="M283" s="596">
        <v>140.76</v>
      </c>
      <c r="N283" s="597" t="s">
        <v>44</v>
      </c>
      <c r="O283" s="593">
        <v>25</v>
      </c>
      <c r="P283" s="144">
        <v>61050</v>
      </c>
      <c r="R283" s="165" t="e">
        <f>_xlfn.XLOOKUP(Table3[[#This Row],[SKU]],'05_Daily_Orders'!$B$2:$B$328,'05_Daily_Orders'!G:G)</f>
        <v>#VALUE!</v>
      </c>
      <c r="S283" s="166" t="str">
        <f t="shared" si="3"/>
        <v/>
      </c>
      <c r="T283" s="566" t="e">
        <f ca="1">_xludf.IFNA(_xlfn.XLOOKUP(Table3[[#This Row],[SKU]],'00_Yield_Rates'!$B$2:$B$17,'00_Yield_Rates'!$E$2:$E$17),"")</f>
        <v>#NAME?</v>
      </c>
    </row>
    <row r="284" spans="1:20">
      <c r="A284" s="591" t="s">
        <v>124</v>
      </c>
      <c r="B284" s="592">
        <v>7828</v>
      </c>
      <c r="C284" s="593">
        <v>61052</v>
      </c>
      <c r="D284" s="593" t="s">
        <v>125</v>
      </c>
      <c r="E284" s="601" t="s">
        <v>200</v>
      </c>
      <c r="F284" s="596">
        <v>4.3051513266998302</v>
      </c>
      <c r="G284" s="593">
        <v>12</v>
      </c>
      <c r="H284" s="593" t="s">
        <v>264</v>
      </c>
      <c r="I284" s="593" t="s">
        <v>316</v>
      </c>
      <c r="J284" s="594" t="s">
        <v>327</v>
      </c>
      <c r="K284" s="595" t="s">
        <v>142</v>
      </c>
      <c r="L284" s="596" t="s">
        <v>227</v>
      </c>
      <c r="M284" s="596">
        <v>4.54</v>
      </c>
      <c r="N284" s="597" t="s">
        <v>44</v>
      </c>
      <c r="O284" s="593">
        <v>25</v>
      </c>
      <c r="P284" s="144">
        <v>61052</v>
      </c>
      <c r="R284" s="165" t="e">
        <f>_xlfn.XLOOKUP(Table3[[#This Row],[SKU]],'05_Daily_Orders'!$B$2:$B$328,'05_Daily_Orders'!G:G)</f>
        <v>#VALUE!</v>
      </c>
      <c r="S284" s="166" t="str">
        <f t="shared" si="3"/>
        <v/>
      </c>
      <c r="T284" s="566" t="e">
        <f ca="1">_xludf.IFNA(_xlfn.XLOOKUP(Table3[[#This Row],[SKU]],'00_Yield_Rates'!$B$2:$B$17,'00_Yield_Rates'!$E$2:$E$17),"")</f>
        <v>#NAME?</v>
      </c>
    </row>
    <row r="285" spans="1:20">
      <c r="A285" s="591" t="s">
        <v>124</v>
      </c>
      <c r="B285" s="592">
        <v>7829</v>
      </c>
      <c r="C285" s="593">
        <v>61054</v>
      </c>
      <c r="D285" s="593" t="s">
        <v>125</v>
      </c>
      <c r="E285" s="593" t="s">
        <v>21</v>
      </c>
      <c r="F285" s="596">
        <v>4.4159971487406899</v>
      </c>
      <c r="G285" s="593">
        <v>12</v>
      </c>
      <c r="H285" s="593" t="s">
        <v>264</v>
      </c>
      <c r="I285" s="593" t="s">
        <v>316</v>
      </c>
      <c r="J285" s="594" t="s">
        <v>328</v>
      </c>
      <c r="K285" s="595" t="s">
        <v>142</v>
      </c>
      <c r="L285" s="596" t="s">
        <v>227</v>
      </c>
      <c r="M285" s="596">
        <v>14.61</v>
      </c>
      <c r="N285" s="597" t="s">
        <v>44</v>
      </c>
      <c r="O285" s="593">
        <v>25</v>
      </c>
      <c r="P285" s="144">
        <v>61054</v>
      </c>
      <c r="R285" s="165" t="e">
        <f>_xlfn.XLOOKUP(Table3[[#This Row],[SKU]],'05_Daily_Orders'!$B$2:$B$328,'05_Daily_Orders'!G:G)</f>
        <v>#VALUE!</v>
      </c>
      <c r="S285" s="166" t="str">
        <f t="shared" si="3"/>
        <v/>
      </c>
      <c r="T285" s="566" t="e">
        <f ca="1">_xludf.IFNA(_xlfn.XLOOKUP(Table3[[#This Row],[SKU]],'00_Yield_Rates'!$B$2:$B$17,'00_Yield_Rates'!$E$2:$E$17),"")</f>
        <v>#NAME?</v>
      </c>
    </row>
    <row r="286" spans="1:20">
      <c r="A286" s="591" t="s">
        <v>124</v>
      </c>
      <c r="B286" s="592">
        <v>7830</v>
      </c>
      <c r="C286" s="593" t="s">
        <v>122</v>
      </c>
      <c r="D286" s="593" t="s">
        <v>125</v>
      </c>
      <c r="E286" s="593" t="s">
        <v>21</v>
      </c>
      <c r="F286" s="596">
        <v>5.8150162967561601</v>
      </c>
      <c r="G286" s="601">
        <v>8</v>
      </c>
      <c r="H286" s="601" t="s">
        <v>301</v>
      </c>
      <c r="I286" s="601" t="s">
        <v>140</v>
      </c>
      <c r="J286" s="602" t="s">
        <v>329</v>
      </c>
      <c r="K286" s="595" t="s">
        <v>142</v>
      </c>
      <c r="L286" s="598" t="s">
        <v>227</v>
      </c>
      <c r="M286" s="599">
        <v>25.37</v>
      </c>
      <c r="N286" s="597" t="s">
        <v>44</v>
      </c>
      <c r="O286" s="593">
        <v>25</v>
      </c>
      <c r="P286" s="144">
        <v>61050</v>
      </c>
      <c r="R286" s="165" t="e">
        <f>_xlfn.XLOOKUP(Table3[[#This Row],[SKU]],'05_Daily_Orders'!$B$2:$B$328,'05_Daily_Orders'!G:G)</f>
        <v>#VALUE!</v>
      </c>
      <c r="S286" s="166" t="str">
        <f t="shared" ref="S286:S307" si="4">IFERROR(R286*1,"")</f>
        <v/>
      </c>
      <c r="T286" s="566" t="e">
        <f ca="1">_xludf.IFNA(_xlfn.XLOOKUP(Table3[[#This Row],[SKU]],'00_Yield_Rates'!$B$2:$B$17,'00_Yield_Rates'!$E$2:$E$17),"")</f>
        <v>#NAME?</v>
      </c>
    </row>
    <row r="287" spans="1:20">
      <c r="A287" s="591" t="s">
        <v>124</v>
      </c>
      <c r="B287" s="592">
        <v>7831</v>
      </c>
      <c r="C287" s="593" t="s">
        <v>106</v>
      </c>
      <c r="D287" s="593" t="s">
        <v>125</v>
      </c>
      <c r="E287" s="593" t="s">
        <v>24</v>
      </c>
      <c r="F287" s="596">
        <v>9.3727030913012204</v>
      </c>
      <c r="G287" s="601">
        <v>8</v>
      </c>
      <c r="H287" s="601" t="s">
        <v>126</v>
      </c>
      <c r="I287" s="601" t="s">
        <v>140</v>
      </c>
      <c r="J287" s="602" t="s">
        <v>330</v>
      </c>
      <c r="K287" s="595" t="s">
        <v>129</v>
      </c>
      <c r="L287" s="598" t="s">
        <v>227</v>
      </c>
      <c r="M287" s="599">
        <v>109.26</v>
      </c>
      <c r="N287" s="597" t="s">
        <v>44</v>
      </c>
      <c r="O287" s="593">
        <v>25</v>
      </c>
      <c r="P287" s="144" t="s">
        <v>106</v>
      </c>
      <c r="R287" s="165" t="e">
        <f>_xlfn.XLOOKUP(Table3[[#This Row],[SKU]],'05_Daily_Orders'!$B$2:$B$328,'05_Daily_Orders'!G:G)</f>
        <v>#VALUE!</v>
      </c>
      <c r="S287" s="166" t="str">
        <f t="shared" si="4"/>
        <v/>
      </c>
      <c r="T287" s="566" t="e">
        <f ca="1">_xludf.IFNA(_xlfn.XLOOKUP(Table3[[#This Row],[SKU]],'00_Yield_Rates'!$B$2:$B$17,'00_Yield_Rates'!$E$2:$E$17),"")</f>
        <v>#NAME?</v>
      </c>
    </row>
    <row r="288" spans="1:20">
      <c r="A288" s="591" t="s">
        <v>124</v>
      </c>
      <c r="B288" s="592">
        <v>7833</v>
      </c>
      <c r="C288" s="593">
        <v>203135</v>
      </c>
      <c r="D288" s="593" t="s">
        <v>125</v>
      </c>
      <c r="E288" s="601" t="s">
        <v>153</v>
      </c>
      <c r="F288" s="596">
        <v>9.83239310477658</v>
      </c>
      <c r="G288" s="601">
        <v>6</v>
      </c>
      <c r="H288" s="601" t="s">
        <v>264</v>
      </c>
      <c r="I288" s="601"/>
      <c r="J288" s="602" t="s">
        <v>331</v>
      </c>
      <c r="K288" s="598" t="s">
        <v>129</v>
      </c>
      <c r="L288" s="595" t="s">
        <v>227</v>
      </c>
      <c r="M288" s="596">
        <v>155.46</v>
      </c>
      <c r="N288" s="597"/>
      <c r="O288" s="593">
        <v>25</v>
      </c>
      <c r="P288" s="144">
        <v>203135</v>
      </c>
      <c r="R288" s="165" t="e">
        <f>_xlfn.XLOOKUP(Table3[[#This Row],[SKU]],'05_Daily_Orders'!$B$2:$B$328,'05_Daily_Orders'!G:G)</f>
        <v>#VALUE!</v>
      </c>
      <c r="S288" s="166" t="str">
        <f t="shared" si="4"/>
        <v/>
      </c>
      <c r="T288" s="566" t="e">
        <f ca="1">_xludf.IFNA(_xlfn.XLOOKUP(Table3[[#This Row],[SKU]],'00_Yield_Rates'!$B$2:$B$17,'00_Yield_Rates'!$E$2:$E$17),"")</f>
        <v>#NAME?</v>
      </c>
    </row>
    <row r="289" spans="1:20">
      <c r="A289" s="591" t="s">
        <v>124</v>
      </c>
      <c r="B289" s="592">
        <v>7834</v>
      </c>
      <c r="C289" s="593">
        <v>203135</v>
      </c>
      <c r="D289" s="593" t="s">
        <v>125</v>
      </c>
      <c r="E289" s="601" t="s">
        <v>153</v>
      </c>
      <c r="F289" s="596">
        <v>9.83239310477658</v>
      </c>
      <c r="G289" s="601">
        <v>6</v>
      </c>
      <c r="H289" s="601" t="s">
        <v>264</v>
      </c>
      <c r="I289" s="601"/>
      <c r="J289" s="602" t="s">
        <v>331</v>
      </c>
      <c r="K289" s="598" t="s">
        <v>129</v>
      </c>
      <c r="L289" s="595" t="s">
        <v>227</v>
      </c>
      <c r="M289" s="596">
        <v>155.46</v>
      </c>
      <c r="N289" s="597"/>
      <c r="O289" s="593">
        <v>25</v>
      </c>
      <c r="P289" s="144">
        <v>203135</v>
      </c>
      <c r="R289" s="165" t="e">
        <f>_xlfn.XLOOKUP(Table3[[#This Row],[SKU]],'05_Daily_Orders'!$B$2:$B$328,'05_Daily_Orders'!G:G)</f>
        <v>#VALUE!</v>
      </c>
      <c r="S289" s="166" t="str">
        <f t="shared" si="4"/>
        <v/>
      </c>
      <c r="T289" s="566" t="e">
        <f ca="1">_xludf.IFNA(_xlfn.XLOOKUP(Table3[[#This Row],[SKU]],'00_Yield_Rates'!$B$2:$B$17,'00_Yield_Rates'!$E$2:$E$17),"")</f>
        <v>#NAME?</v>
      </c>
    </row>
    <row r="290" spans="1:20">
      <c r="A290" s="591" t="s">
        <v>124</v>
      </c>
      <c r="B290" s="592">
        <v>7840</v>
      </c>
      <c r="C290" s="593" t="s">
        <v>106</v>
      </c>
      <c r="D290" s="593" t="s">
        <v>125</v>
      </c>
      <c r="E290" s="593" t="s">
        <v>24</v>
      </c>
      <c r="F290" s="596">
        <v>0</v>
      </c>
      <c r="G290" s="601">
        <v>8</v>
      </c>
      <c r="H290" s="601" t="s">
        <v>151</v>
      </c>
      <c r="I290" s="601" t="s">
        <v>127</v>
      </c>
      <c r="J290" s="602" t="s">
        <v>312</v>
      </c>
      <c r="K290" s="595" t="s">
        <v>129</v>
      </c>
      <c r="L290" s="595" t="s">
        <v>227</v>
      </c>
      <c r="M290" s="596">
        <v>100.95</v>
      </c>
      <c r="N290" s="597" t="s">
        <v>44</v>
      </c>
      <c r="O290" s="593">
        <v>25</v>
      </c>
      <c r="P290" s="144" t="s">
        <v>106</v>
      </c>
      <c r="R290" s="165" t="e">
        <f>_xlfn.XLOOKUP(Table3[[#This Row],[SKU]],'05_Daily_Orders'!$B$2:$B$328,'05_Daily_Orders'!G:G)</f>
        <v>#VALUE!</v>
      </c>
      <c r="S290" s="166" t="str">
        <f t="shared" si="4"/>
        <v/>
      </c>
      <c r="T290" s="566" t="e">
        <f ca="1">_xludf.IFNA(_xlfn.XLOOKUP(Table3[[#This Row],[SKU]],'00_Yield_Rates'!$B$2:$B$17,'00_Yield_Rates'!$E$2:$E$17),"")</f>
        <v>#NAME?</v>
      </c>
    </row>
    <row r="291" spans="1:20">
      <c r="A291" s="591" t="s">
        <v>124</v>
      </c>
      <c r="B291" s="592">
        <v>7841</v>
      </c>
      <c r="C291" s="593" t="s">
        <v>106</v>
      </c>
      <c r="D291" s="593" t="s">
        <v>125</v>
      </c>
      <c r="E291" s="593" t="s">
        <v>24</v>
      </c>
      <c r="F291" s="596"/>
      <c r="G291" s="593">
        <v>8</v>
      </c>
      <c r="H291" s="593" t="s">
        <v>198</v>
      </c>
      <c r="I291" s="593" t="s">
        <v>127</v>
      </c>
      <c r="J291" s="594" t="s">
        <v>313</v>
      </c>
      <c r="K291" s="595" t="s">
        <v>129</v>
      </c>
      <c r="L291" s="596" t="s">
        <v>227</v>
      </c>
      <c r="M291" s="596">
        <v>96.16</v>
      </c>
      <c r="N291" s="597" t="s">
        <v>44</v>
      </c>
      <c r="O291" s="593">
        <v>25</v>
      </c>
      <c r="P291" s="144" t="s">
        <v>106</v>
      </c>
      <c r="R291" s="165" t="e">
        <f>_xlfn.XLOOKUP(Table3[[#This Row],[SKU]],'05_Daily_Orders'!$B$2:$B$328,'05_Daily_Orders'!G:G)</f>
        <v>#VALUE!</v>
      </c>
      <c r="S291" s="166" t="str">
        <f t="shared" si="4"/>
        <v/>
      </c>
      <c r="T291" s="566" t="e">
        <f ca="1">_xludf.IFNA(_xlfn.XLOOKUP(Table3[[#This Row],[SKU]],'00_Yield_Rates'!$B$2:$B$17,'00_Yield_Rates'!$E$2:$E$17),"")</f>
        <v>#NAME?</v>
      </c>
    </row>
    <row r="292" spans="1:20">
      <c r="A292" s="591" t="s">
        <v>124</v>
      </c>
      <c r="B292" s="592">
        <v>7842</v>
      </c>
      <c r="C292" s="593" t="s">
        <v>106</v>
      </c>
      <c r="D292" s="593" t="s">
        <v>125</v>
      </c>
      <c r="E292" s="593" t="s">
        <v>24</v>
      </c>
      <c r="F292" s="596"/>
      <c r="G292" s="601">
        <v>8</v>
      </c>
      <c r="H292" s="601" t="s">
        <v>126</v>
      </c>
      <c r="I292" s="601" t="s">
        <v>140</v>
      </c>
      <c r="J292" s="602" t="s">
        <v>314</v>
      </c>
      <c r="K292" s="595" t="s">
        <v>129</v>
      </c>
      <c r="L292" s="595" t="s">
        <v>227</v>
      </c>
      <c r="M292" s="596">
        <v>144.16999999999999</v>
      </c>
      <c r="N292" s="597" t="s">
        <v>44</v>
      </c>
      <c r="O292" s="593">
        <v>25</v>
      </c>
      <c r="P292" s="144" t="s">
        <v>106</v>
      </c>
      <c r="R292" s="165" t="e">
        <f>_xlfn.XLOOKUP(Table3[[#This Row],[SKU]],'05_Daily_Orders'!$B$2:$B$328,'05_Daily_Orders'!G:G)</f>
        <v>#VALUE!</v>
      </c>
      <c r="S292" s="166" t="str">
        <f t="shared" si="4"/>
        <v/>
      </c>
      <c r="T292" s="566" t="e">
        <f ca="1">_xludf.IFNA(_xlfn.XLOOKUP(Table3[[#This Row],[SKU]],'00_Yield_Rates'!$B$2:$B$17,'00_Yield_Rates'!$E$2:$E$17),"")</f>
        <v>#NAME?</v>
      </c>
    </row>
    <row r="293" spans="1:20">
      <c r="A293" s="591" t="s">
        <v>124</v>
      </c>
      <c r="B293" s="592">
        <v>7843</v>
      </c>
      <c r="C293" s="593" t="s">
        <v>102</v>
      </c>
      <c r="D293" s="593" t="s">
        <v>125</v>
      </c>
      <c r="E293" s="593" t="s">
        <v>24</v>
      </c>
      <c r="F293" s="596"/>
      <c r="G293" s="601">
        <v>8</v>
      </c>
      <c r="H293" s="601" t="s">
        <v>198</v>
      </c>
      <c r="I293" s="601" t="s">
        <v>127</v>
      </c>
      <c r="J293" s="594" t="s">
        <v>332</v>
      </c>
      <c r="K293" s="595" t="s">
        <v>129</v>
      </c>
      <c r="L293" s="598" t="s">
        <v>227</v>
      </c>
      <c r="M293" s="599">
        <v>106.28</v>
      </c>
      <c r="N293" s="597" t="s">
        <v>23</v>
      </c>
      <c r="O293" s="593">
        <v>25</v>
      </c>
      <c r="P293" s="144" t="s">
        <v>102</v>
      </c>
      <c r="R293" s="165" t="e">
        <f>_xlfn.XLOOKUP(Table3[[#This Row],[SKU]],'05_Daily_Orders'!$B$2:$B$328,'05_Daily_Orders'!G:G)</f>
        <v>#VALUE!</v>
      </c>
      <c r="S293" s="166" t="str">
        <f t="shared" si="4"/>
        <v/>
      </c>
      <c r="T293" s="566" t="e">
        <f ca="1">_xludf.IFNA(_xlfn.XLOOKUP(Table3[[#This Row],[SKU]],'00_Yield_Rates'!$B$2:$B$17,'00_Yield_Rates'!$E$2:$E$17),"")</f>
        <v>#NAME?</v>
      </c>
    </row>
    <row r="294" spans="1:20">
      <c r="A294" s="591" t="s">
        <v>124</v>
      </c>
      <c r="B294" s="592">
        <v>7851</v>
      </c>
      <c r="C294" s="593">
        <v>61050</v>
      </c>
      <c r="D294" s="593" t="s">
        <v>125</v>
      </c>
      <c r="E294" s="593" t="s">
        <v>24</v>
      </c>
      <c r="F294" s="596">
        <v>5.4179964013547801</v>
      </c>
      <c r="G294" s="601">
        <v>12</v>
      </c>
      <c r="H294" s="601" t="s">
        <v>264</v>
      </c>
      <c r="I294" s="601" t="s">
        <v>127</v>
      </c>
      <c r="J294" s="594" t="s">
        <v>325</v>
      </c>
      <c r="K294" s="595" t="s">
        <v>129</v>
      </c>
      <c r="L294" s="598" t="s">
        <v>227</v>
      </c>
      <c r="M294" s="599">
        <v>46.88</v>
      </c>
      <c r="N294" s="597" t="s">
        <v>44</v>
      </c>
      <c r="O294" s="593">
        <v>25</v>
      </c>
      <c r="P294" s="144">
        <v>61050</v>
      </c>
      <c r="R294" s="165" t="e">
        <f>_xlfn.XLOOKUP(Table3[[#This Row],[SKU]],'05_Daily_Orders'!$B$2:$B$328,'05_Daily_Orders'!G:G)</f>
        <v>#VALUE!</v>
      </c>
      <c r="S294" s="166" t="str">
        <f t="shared" si="4"/>
        <v/>
      </c>
      <c r="T294" s="566" t="e">
        <f ca="1">_xludf.IFNA(_xlfn.XLOOKUP(Table3[[#This Row],[SKU]],'00_Yield_Rates'!$B$2:$B$17,'00_Yield_Rates'!$E$2:$E$17),"")</f>
        <v>#NAME?</v>
      </c>
    </row>
    <row r="295" spans="1:20">
      <c r="A295" s="591" t="s">
        <v>124</v>
      </c>
      <c r="B295" s="592">
        <v>7852</v>
      </c>
      <c r="C295" s="593">
        <v>61050</v>
      </c>
      <c r="D295" s="593" t="s">
        <v>125</v>
      </c>
      <c r="E295" s="593" t="s">
        <v>24</v>
      </c>
      <c r="F295" s="596">
        <v>7.1096843935164697</v>
      </c>
      <c r="G295" s="593">
        <v>8</v>
      </c>
      <c r="H295" s="593" t="s">
        <v>301</v>
      </c>
      <c r="I295" s="593" t="s">
        <v>140</v>
      </c>
      <c r="J295" s="594" t="s">
        <v>333</v>
      </c>
      <c r="K295" s="595" t="s">
        <v>129</v>
      </c>
      <c r="L295" s="598" t="s">
        <v>227</v>
      </c>
      <c r="M295" s="599">
        <v>102.6</v>
      </c>
      <c r="N295" s="597" t="s">
        <v>44</v>
      </c>
      <c r="O295" s="593">
        <v>25</v>
      </c>
      <c r="P295" s="144">
        <v>61050</v>
      </c>
      <c r="R295" s="165" t="e">
        <f>_xlfn.XLOOKUP(Table3[[#This Row],[SKU]],'05_Daily_Orders'!$B$2:$B$328,'05_Daily_Orders'!G:G)</f>
        <v>#VALUE!</v>
      </c>
      <c r="S295" s="166" t="str">
        <f t="shared" si="4"/>
        <v/>
      </c>
      <c r="T295" s="566" t="e">
        <f ca="1">_xludf.IFNA(_xlfn.XLOOKUP(Table3[[#This Row],[SKU]],'00_Yield_Rates'!$B$2:$B$17,'00_Yield_Rates'!$E$2:$E$17),"")</f>
        <v>#NAME?</v>
      </c>
    </row>
    <row r="296" spans="1:20">
      <c r="A296" s="591" t="s">
        <v>124</v>
      </c>
      <c r="B296" s="600">
        <v>7853</v>
      </c>
      <c r="C296" s="593">
        <v>61077</v>
      </c>
      <c r="D296" s="593" t="s">
        <v>125</v>
      </c>
      <c r="E296" s="593" t="s">
        <v>30</v>
      </c>
      <c r="F296" s="596">
        <v>6.4518882343575799</v>
      </c>
      <c r="G296" s="593">
        <v>8</v>
      </c>
      <c r="H296" s="593" t="s">
        <v>301</v>
      </c>
      <c r="I296" s="593" t="s">
        <v>140</v>
      </c>
      <c r="J296" s="594" t="s">
        <v>322</v>
      </c>
      <c r="K296" s="598" t="s">
        <v>129</v>
      </c>
      <c r="L296" s="595" t="s">
        <v>227</v>
      </c>
      <c r="M296" s="596">
        <v>36.840000000000003</v>
      </c>
      <c r="N296" s="597" t="s">
        <v>44</v>
      </c>
      <c r="O296" s="593">
        <v>25</v>
      </c>
      <c r="P296" s="144">
        <v>61077</v>
      </c>
      <c r="R296" s="165" t="e">
        <f>_xlfn.XLOOKUP(Table3[[#This Row],[SKU]],'05_Daily_Orders'!$B$2:$B$328,'05_Daily_Orders'!G:G)</f>
        <v>#VALUE!</v>
      </c>
      <c r="S296" s="166" t="str">
        <f t="shared" si="4"/>
        <v/>
      </c>
      <c r="T296" s="566" t="e">
        <f ca="1">_xludf.IFNA(_xlfn.XLOOKUP(Table3[[#This Row],[SKU]],'00_Yield_Rates'!$B$2:$B$17,'00_Yield_Rates'!$E$2:$E$17),"")</f>
        <v>#NAME?</v>
      </c>
    </row>
    <row r="297" spans="1:20">
      <c r="A297" s="591" t="s">
        <v>124</v>
      </c>
      <c r="B297" s="600">
        <v>7854</v>
      </c>
      <c r="C297" s="593" t="s">
        <v>114</v>
      </c>
      <c r="D297" s="593" t="s">
        <v>125</v>
      </c>
      <c r="E297" s="593" t="s">
        <v>146</v>
      </c>
      <c r="F297" s="596">
        <v>6.1087076211823996</v>
      </c>
      <c r="G297" s="593">
        <v>8</v>
      </c>
      <c r="H297" s="593" t="s">
        <v>301</v>
      </c>
      <c r="I297" s="593" t="s">
        <v>140</v>
      </c>
      <c r="J297" s="594" t="s">
        <v>323</v>
      </c>
      <c r="K297" s="598" t="s">
        <v>129</v>
      </c>
      <c r="L297" s="595" t="s">
        <v>227</v>
      </c>
      <c r="M297" s="596">
        <v>43.35</v>
      </c>
      <c r="N297" s="597" t="s">
        <v>44</v>
      </c>
      <c r="O297" s="593">
        <v>25</v>
      </c>
      <c r="P297" s="144" t="s">
        <v>114</v>
      </c>
      <c r="R297" s="165" t="e">
        <f>_xlfn.XLOOKUP(Table3[[#This Row],[SKU]],'05_Daily_Orders'!$B$2:$B$328,'05_Daily_Orders'!G:G)</f>
        <v>#VALUE!</v>
      </c>
      <c r="S297" s="166" t="str">
        <f t="shared" si="4"/>
        <v/>
      </c>
      <c r="T297" s="566" t="e">
        <f ca="1">_xludf.IFNA(_xlfn.XLOOKUP(Table3[[#This Row],[SKU]],'00_Yield_Rates'!$B$2:$B$17,'00_Yield_Rates'!$E$2:$E$17),"")</f>
        <v>#NAME?</v>
      </c>
    </row>
    <row r="298" spans="1:20">
      <c r="A298" s="591" t="s">
        <v>124</v>
      </c>
      <c r="B298" s="600">
        <v>7855</v>
      </c>
      <c r="C298" s="593" t="s">
        <v>97</v>
      </c>
      <c r="D298" s="593" t="s">
        <v>125</v>
      </c>
      <c r="E298" s="593" t="s">
        <v>34</v>
      </c>
      <c r="F298" s="596">
        <v>6.1274308623793097</v>
      </c>
      <c r="G298" s="601">
        <v>8</v>
      </c>
      <c r="H298" s="593" t="s">
        <v>301</v>
      </c>
      <c r="I298" s="601" t="s">
        <v>140</v>
      </c>
      <c r="J298" s="602" t="s">
        <v>324</v>
      </c>
      <c r="K298" s="595" t="s">
        <v>142</v>
      </c>
      <c r="L298" s="598" t="s">
        <v>227</v>
      </c>
      <c r="M298" s="599">
        <v>24</v>
      </c>
      <c r="N298" s="597" t="s">
        <v>44</v>
      </c>
      <c r="O298" s="593">
        <v>25</v>
      </c>
      <c r="P298" s="144" t="s">
        <v>97</v>
      </c>
      <c r="R298" s="165" t="e">
        <f>_xlfn.XLOOKUP(Table3[[#This Row],[SKU]],'05_Daily_Orders'!$B$2:$B$328,'05_Daily_Orders'!G:G)</f>
        <v>#VALUE!</v>
      </c>
      <c r="S298" s="166" t="str">
        <f t="shared" si="4"/>
        <v/>
      </c>
      <c r="T298" s="566" t="e">
        <f ca="1">_xludf.IFNA(_xlfn.XLOOKUP(Table3[[#This Row],[SKU]],'00_Yield_Rates'!$B$2:$B$17,'00_Yield_Rates'!$E$2:$E$17),"")</f>
        <v>#NAME?</v>
      </c>
    </row>
    <row r="299" spans="1:20">
      <c r="A299" s="591" t="s">
        <v>124</v>
      </c>
      <c r="B299" s="600">
        <v>7858</v>
      </c>
      <c r="C299" s="593">
        <v>61052</v>
      </c>
      <c r="D299" s="593" t="s">
        <v>125</v>
      </c>
      <c r="E299" s="601" t="s">
        <v>24</v>
      </c>
      <c r="F299" s="596">
        <v>4.3108975834292202</v>
      </c>
      <c r="G299" s="601">
        <v>12</v>
      </c>
      <c r="H299" s="601" t="s">
        <v>264</v>
      </c>
      <c r="I299" s="601" t="s">
        <v>127</v>
      </c>
      <c r="J299" s="602" t="s">
        <v>327</v>
      </c>
      <c r="K299" s="595" t="s">
        <v>129</v>
      </c>
      <c r="L299" s="595" t="s">
        <v>227</v>
      </c>
      <c r="M299" s="596">
        <v>4.3099999999999996</v>
      </c>
      <c r="N299" s="597" t="s">
        <v>44</v>
      </c>
      <c r="O299" s="593">
        <v>25</v>
      </c>
      <c r="P299" s="144">
        <v>61052</v>
      </c>
      <c r="R299" s="165" t="e">
        <f>_xlfn.XLOOKUP(Table3[[#This Row],[SKU]],'05_Daily_Orders'!$B$2:$B$328,'05_Daily_Orders'!G:G)</f>
        <v>#VALUE!</v>
      </c>
      <c r="S299" s="166" t="str">
        <f t="shared" si="4"/>
        <v/>
      </c>
      <c r="T299" s="566" t="e">
        <f ca="1">_xludf.IFNA(_xlfn.XLOOKUP(Table3[[#This Row],[SKU]],'00_Yield_Rates'!$B$2:$B$17,'00_Yield_Rates'!$E$2:$E$17),"")</f>
        <v>#NAME?</v>
      </c>
    </row>
    <row r="300" spans="1:20">
      <c r="A300" s="591" t="s">
        <v>124</v>
      </c>
      <c r="B300" s="600">
        <v>7859</v>
      </c>
      <c r="C300" s="593">
        <v>61054</v>
      </c>
      <c r="D300" s="593" t="s">
        <v>125</v>
      </c>
      <c r="E300" s="601" t="s">
        <v>200</v>
      </c>
      <c r="F300" s="596">
        <v>4.0924554455445499</v>
      </c>
      <c r="G300" s="601">
        <v>12</v>
      </c>
      <c r="H300" s="601" t="s">
        <v>264</v>
      </c>
      <c r="I300" s="601" t="s">
        <v>316</v>
      </c>
      <c r="J300" s="602" t="s">
        <v>328</v>
      </c>
      <c r="K300" s="595" t="s">
        <v>142</v>
      </c>
      <c r="L300" s="595" t="s">
        <v>227</v>
      </c>
      <c r="M300" s="596">
        <v>14.61</v>
      </c>
      <c r="N300" s="597" t="s">
        <v>44</v>
      </c>
      <c r="O300" s="593">
        <v>25</v>
      </c>
      <c r="P300" s="144">
        <v>61054</v>
      </c>
      <c r="R300" s="165" t="e">
        <f>_xlfn.XLOOKUP(Table3[[#This Row],[SKU]],'05_Daily_Orders'!$B$2:$B$328,'05_Daily_Orders'!G:G)</f>
        <v>#VALUE!</v>
      </c>
      <c r="S300" s="166" t="str">
        <f t="shared" si="4"/>
        <v/>
      </c>
      <c r="T300" s="566" t="e">
        <f ca="1">_xludf.IFNA(_xlfn.XLOOKUP(Table3[[#This Row],[SKU]],'00_Yield_Rates'!$B$2:$B$17,'00_Yield_Rates'!$E$2:$E$17),"")</f>
        <v>#NAME?</v>
      </c>
    </row>
    <row r="301" spans="1:20">
      <c r="A301" s="591" t="s">
        <v>124</v>
      </c>
      <c r="B301" s="600">
        <v>7860</v>
      </c>
      <c r="C301" s="593">
        <v>61086</v>
      </c>
      <c r="D301" s="593" t="s">
        <v>125</v>
      </c>
      <c r="E301" s="593" t="s">
        <v>21</v>
      </c>
      <c r="F301" s="596">
        <v>5.7773160073597003</v>
      </c>
      <c r="G301" s="601">
        <v>8</v>
      </c>
      <c r="H301" s="593" t="s">
        <v>301</v>
      </c>
      <c r="I301" s="601" t="s">
        <v>140</v>
      </c>
      <c r="J301" s="602" t="s">
        <v>334</v>
      </c>
      <c r="K301" s="595" t="s">
        <v>142</v>
      </c>
      <c r="L301" s="598" t="s">
        <v>227</v>
      </c>
      <c r="M301" s="599">
        <v>25.37</v>
      </c>
      <c r="N301" s="597" t="s">
        <v>44</v>
      </c>
      <c r="O301" s="593">
        <v>25</v>
      </c>
      <c r="P301" s="144">
        <v>61086</v>
      </c>
      <c r="R301" s="165" t="e">
        <f>_xlfn.XLOOKUP(Table3[[#This Row],[SKU]],'05_Daily_Orders'!$B$2:$B$328,'05_Daily_Orders'!G:G)</f>
        <v>#VALUE!</v>
      </c>
      <c r="S301" s="166" t="str">
        <f t="shared" si="4"/>
        <v/>
      </c>
      <c r="T301" s="566" t="e">
        <f ca="1">_xludf.IFNA(_xlfn.XLOOKUP(Table3[[#This Row],[SKU]],'00_Yield_Rates'!$B$2:$B$17,'00_Yield_Rates'!$E$2:$E$17),"")</f>
        <v>#NAME?</v>
      </c>
    </row>
    <row r="302" spans="1:20">
      <c r="A302" s="591" t="s">
        <v>124</v>
      </c>
      <c r="B302" s="600">
        <v>7862</v>
      </c>
      <c r="C302" s="593" t="s">
        <v>110</v>
      </c>
      <c r="D302" s="593" t="s">
        <v>125</v>
      </c>
      <c r="E302" s="593" t="s">
        <v>146</v>
      </c>
      <c r="F302" s="596"/>
      <c r="G302" s="593">
        <v>8</v>
      </c>
      <c r="H302" s="593" t="s">
        <v>126</v>
      </c>
      <c r="I302" s="593" t="s">
        <v>140</v>
      </c>
      <c r="J302" s="594" t="s">
        <v>233</v>
      </c>
      <c r="K302" s="598" t="s">
        <v>129</v>
      </c>
      <c r="L302" s="595" t="s">
        <v>227</v>
      </c>
      <c r="M302" s="596">
        <v>55.11</v>
      </c>
      <c r="N302" s="597" t="s">
        <v>23</v>
      </c>
      <c r="O302" s="593">
        <v>25</v>
      </c>
      <c r="P302" s="144" t="s">
        <v>110</v>
      </c>
      <c r="R302" s="165" t="e">
        <f>_xlfn.XLOOKUP(Table3[[#This Row],[SKU]],'05_Daily_Orders'!$B$2:$B$328,'05_Daily_Orders'!G:G)</f>
        <v>#VALUE!</v>
      </c>
      <c r="S302" s="166" t="str">
        <f t="shared" si="4"/>
        <v/>
      </c>
      <c r="T302" s="566" t="e">
        <f ca="1">_xludf.IFNA(_xlfn.XLOOKUP(Table3[[#This Row],[SKU]],'00_Yield_Rates'!$B$2:$B$17,'00_Yield_Rates'!$E$2:$E$17),"")</f>
        <v>#NAME?</v>
      </c>
    </row>
    <row r="303" spans="1:20">
      <c r="A303" s="591" t="s">
        <v>124</v>
      </c>
      <c r="B303" s="600">
        <v>7863</v>
      </c>
      <c r="C303" s="593" t="s">
        <v>102</v>
      </c>
      <c r="D303" s="593" t="s">
        <v>125</v>
      </c>
      <c r="E303" s="593" t="s">
        <v>24</v>
      </c>
      <c r="F303" s="596"/>
      <c r="G303" s="593">
        <v>8</v>
      </c>
      <c r="H303" s="593" t="s">
        <v>126</v>
      </c>
      <c r="I303" s="593" t="s">
        <v>140</v>
      </c>
      <c r="J303" s="594" t="s">
        <v>231</v>
      </c>
      <c r="K303" s="598" t="s">
        <v>129</v>
      </c>
      <c r="L303" s="595" t="s">
        <v>227</v>
      </c>
      <c r="M303" s="596">
        <v>99.75</v>
      </c>
      <c r="N303" s="597" t="s">
        <v>23</v>
      </c>
      <c r="O303" s="593">
        <v>25</v>
      </c>
      <c r="P303" s="144" t="s">
        <v>102</v>
      </c>
      <c r="R303" s="165" t="e">
        <f>_xlfn.XLOOKUP(Table3[[#This Row],[SKU]],'05_Daily_Orders'!$B$2:$B$328,'05_Daily_Orders'!G:G)</f>
        <v>#VALUE!</v>
      </c>
      <c r="S303" s="166" t="str">
        <f t="shared" si="4"/>
        <v/>
      </c>
      <c r="T303" s="566" t="e">
        <f ca="1">_xludf.IFNA(_xlfn.XLOOKUP(Table3[[#This Row],[SKU]],'00_Yield_Rates'!$B$2:$B$17,'00_Yield_Rates'!$E$2:$E$17),"")</f>
        <v>#NAME?</v>
      </c>
    </row>
    <row r="304" spans="1:20">
      <c r="A304" s="591" t="s">
        <v>124</v>
      </c>
      <c r="B304" s="600">
        <v>7864</v>
      </c>
      <c r="C304" s="593">
        <v>203891</v>
      </c>
      <c r="D304" s="593" t="s">
        <v>125</v>
      </c>
      <c r="E304" s="593" t="s">
        <v>256</v>
      </c>
      <c r="F304" s="596"/>
      <c r="G304" s="593">
        <v>3</v>
      </c>
      <c r="H304" s="593" t="s">
        <v>257</v>
      </c>
      <c r="I304" s="593" t="s">
        <v>140</v>
      </c>
      <c r="J304" s="594" t="s">
        <v>335</v>
      </c>
      <c r="K304" s="598" t="s">
        <v>129</v>
      </c>
      <c r="L304" s="596" t="s">
        <v>227</v>
      </c>
      <c r="M304" s="596">
        <v>141.76</v>
      </c>
      <c r="N304" s="597" t="s">
        <v>23</v>
      </c>
      <c r="O304" s="593">
        <v>25</v>
      </c>
      <c r="P304" s="144">
        <v>203891</v>
      </c>
      <c r="R304" s="165" t="e">
        <f>_xlfn.XLOOKUP(Table3[[#This Row],[SKU]],'05_Daily_Orders'!$B$2:$B$328,'05_Daily_Orders'!G:G)</f>
        <v>#VALUE!</v>
      </c>
      <c r="S304" s="166" t="str">
        <f t="shared" si="4"/>
        <v/>
      </c>
      <c r="T304" s="566" t="e">
        <f ca="1">_xludf.IFNA(_xlfn.XLOOKUP(Table3[[#This Row],[SKU]],'00_Yield_Rates'!$B$2:$B$17,'00_Yield_Rates'!$E$2:$E$17),"")</f>
        <v>#NAME?</v>
      </c>
    </row>
    <row r="305" spans="1:20">
      <c r="A305" s="591" t="s">
        <v>124</v>
      </c>
      <c r="B305" s="608">
        <v>7865</v>
      </c>
      <c r="C305" s="593">
        <v>61082</v>
      </c>
      <c r="D305" s="593" t="s">
        <v>125</v>
      </c>
      <c r="E305" s="593" t="s">
        <v>30</v>
      </c>
      <c r="F305" s="596"/>
      <c r="G305" s="601">
        <v>8</v>
      </c>
      <c r="H305" s="601" t="s">
        <v>126</v>
      </c>
      <c r="I305" s="601" t="s">
        <v>140</v>
      </c>
      <c r="J305" s="602" t="s">
        <v>336</v>
      </c>
      <c r="K305" s="598" t="s">
        <v>129</v>
      </c>
      <c r="L305" s="598" t="s">
        <v>227</v>
      </c>
      <c r="M305" s="599">
        <v>41.37</v>
      </c>
      <c r="N305" s="606" t="s">
        <v>23</v>
      </c>
      <c r="O305" s="593">
        <v>25</v>
      </c>
      <c r="P305" s="144">
        <v>61082</v>
      </c>
      <c r="R305" s="165" t="e">
        <f>_xlfn.XLOOKUP(Table3[[#This Row],[SKU]],'05_Daily_Orders'!$B$2:$B$328,'05_Daily_Orders'!G:G)</f>
        <v>#VALUE!</v>
      </c>
      <c r="S305" s="166" t="str">
        <f t="shared" si="4"/>
        <v/>
      </c>
      <c r="T305" s="566" t="e">
        <f ca="1">_xludf.IFNA(_xlfn.XLOOKUP(Table3[[#This Row],[SKU]],'00_Yield_Rates'!$B$2:$B$17,'00_Yield_Rates'!$E$2:$E$17),"")</f>
        <v>#NAME?</v>
      </c>
    </row>
    <row r="306" spans="1:20">
      <c r="A306" s="591" t="s">
        <v>124</v>
      </c>
      <c r="B306" s="608">
        <v>7866</v>
      </c>
      <c r="C306" s="593">
        <v>61061</v>
      </c>
      <c r="D306" s="593" t="s">
        <v>125</v>
      </c>
      <c r="E306" s="593" t="s">
        <v>26</v>
      </c>
      <c r="F306" s="596"/>
      <c r="G306" s="601">
        <v>8</v>
      </c>
      <c r="H306" s="601" t="s">
        <v>126</v>
      </c>
      <c r="I306" s="601" t="s">
        <v>140</v>
      </c>
      <c r="J306" s="602" t="s">
        <v>337</v>
      </c>
      <c r="K306" s="598" t="s">
        <v>129</v>
      </c>
      <c r="L306" s="598" t="s">
        <v>227</v>
      </c>
      <c r="M306" s="599">
        <v>69.13</v>
      </c>
      <c r="N306" s="606" t="s">
        <v>23</v>
      </c>
      <c r="O306" s="593">
        <v>25</v>
      </c>
      <c r="P306" s="144">
        <v>61061</v>
      </c>
      <c r="R306" s="165" t="e">
        <f>_xlfn.XLOOKUP(Table3[[#This Row],[SKU]],'05_Daily_Orders'!$B$2:$B$328,'05_Daily_Orders'!G:G)</f>
        <v>#VALUE!</v>
      </c>
      <c r="S306" s="166" t="str">
        <f t="shared" si="4"/>
        <v/>
      </c>
      <c r="T306" s="566" t="e">
        <f ca="1">_xludf.IFNA(_xlfn.XLOOKUP(Table3[[#This Row],[SKU]],'00_Yield_Rates'!$B$2:$B$17,'00_Yield_Rates'!$E$2:$E$17),"")</f>
        <v>#NAME?</v>
      </c>
    </row>
    <row r="307" spans="1:20">
      <c r="A307" s="591" t="s">
        <v>124</v>
      </c>
      <c r="B307" s="600">
        <v>7867</v>
      </c>
      <c r="C307" s="593" t="s">
        <v>118</v>
      </c>
      <c r="D307" s="593" t="s">
        <v>125</v>
      </c>
      <c r="E307" s="593" t="s">
        <v>21</v>
      </c>
      <c r="F307" s="596"/>
      <c r="G307" s="593">
        <v>8</v>
      </c>
      <c r="H307" s="593" t="s">
        <v>126</v>
      </c>
      <c r="I307" s="593" t="s">
        <v>140</v>
      </c>
      <c r="J307" s="594" t="s">
        <v>338</v>
      </c>
      <c r="K307" s="598" t="s">
        <v>142</v>
      </c>
      <c r="L307" s="595" t="s">
        <v>227</v>
      </c>
      <c r="M307" s="596">
        <v>16.25</v>
      </c>
      <c r="N307" s="597" t="s">
        <v>23</v>
      </c>
      <c r="O307" s="593">
        <v>25</v>
      </c>
      <c r="P307" s="144" t="s">
        <v>118</v>
      </c>
      <c r="R307" s="165" t="e">
        <f>_xlfn.XLOOKUP(Table3[[#This Row],[SKU]],'05_Daily_Orders'!$B$2:$B$328,'05_Daily_Orders'!G:G)</f>
        <v>#VALUE!</v>
      </c>
      <c r="S307" s="166" t="str">
        <f t="shared" si="4"/>
        <v/>
      </c>
      <c r="T307" s="566" t="e">
        <f ca="1">_xludf.IFNA(_xlfn.XLOOKUP(Table3[[#This Row],[SKU]],'00_Yield_Rates'!$B$2:$B$17,'00_Yield_Rates'!$E$2:$E$17),"")</f>
        <v>#NAME?</v>
      </c>
    </row>
    <row r="308" spans="1:20">
      <c r="A308" s="591" t="s">
        <v>124</v>
      </c>
      <c r="B308" s="592">
        <v>7868</v>
      </c>
      <c r="C308" s="593">
        <v>61064</v>
      </c>
      <c r="D308" s="593" t="s">
        <v>125</v>
      </c>
      <c r="E308" s="593" t="s">
        <v>24</v>
      </c>
      <c r="F308" s="593">
        <v>3.73</v>
      </c>
      <c r="G308" s="593">
        <v>8</v>
      </c>
      <c r="H308" s="593" t="s">
        <v>301</v>
      </c>
      <c r="I308" s="593" t="s">
        <v>140</v>
      </c>
      <c r="J308" s="594" t="s">
        <v>339</v>
      </c>
      <c r="K308" s="609" t="s">
        <v>129</v>
      </c>
      <c r="L308" s="609" t="s">
        <v>227</v>
      </c>
      <c r="M308" s="596">
        <v>60.61</v>
      </c>
      <c r="N308" s="597" t="s">
        <v>44</v>
      </c>
      <c r="O308" s="593">
        <v>25</v>
      </c>
      <c r="P308" s="144">
        <v>61064</v>
      </c>
      <c r="R308" s="165" t="e">
        <f>_xlfn.XLOOKUP(Table3[[#This Row],[SKU]],'05_Daily_Orders'!$B$2:$B$328,'05_Daily_Orders'!G:G)</f>
        <v>#VALUE!</v>
      </c>
      <c r="S308" s="166"/>
      <c r="T308" s="566" t="e">
        <f ca="1">_xludf.IFNA(_xlfn.XLOOKUP(Table3[[#This Row],[SKU]],'00_Yield_Rates'!$B$2:$B$17,'00_Yield_Rates'!$E$2:$E$17),"")</f>
        <v>#NAME?</v>
      </c>
    </row>
    <row r="309" spans="1:20">
      <c r="A309" s="591" t="s">
        <v>124</v>
      </c>
      <c r="B309" s="592">
        <v>7869</v>
      </c>
      <c r="C309" s="593">
        <v>61064</v>
      </c>
      <c r="D309" s="593" t="s">
        <v>125</v>
      </c>
      <c r="E309" s="593" t="s">
        <v>24</v>
      </c>
      <c r="F309" s="593">
        <v>3.73</v>
      </c>
      <c r="G309" s="593">
        <v>8</v>
      </c>
      <c r="H309" s="593" t="s">
        <v>301</v>
      </c>
      <c r="I309" s="593" t="s">
        <v>140</v>
      </c>
      <c r="J309" s="594" t="s">
        <v>339</v>
      </c>
      <c r="K309" s="609" t="s">
        <v>129</v>
      </c>
      <c r="L309" s="609" t="s">
        <v>227</v>
      </c>
      <c r="M309" s="596">
        <v>60.61</v>
      </c>
      <c r="N309" s="597" t="s">
        <v>44</v>
      </c>
      <c r="O309" s="593">
        <v>25</v>
      </c>
      <c r="P309" s="144">
        <v>61064</v>
      </c>
      <c r="R309" s="165" t="e">
        <f>_xlfn.XLOOKUP(Table3[[#This Row],[SKU]],'05_Daily_Orders'!$B$2:$B$328,'05_Daily_Orders'!G:G)</f>
        <v>#VALUE!</v>
      </c>
      <c r="S309" s="166"/>
      <c r="T309" s="566" t="e">
        <f ca="1">_xludf.IFNA(_xlfn.XLOOKUP(Table3[[#This Row],[SKU]],'00_Yield_Rates'!$B$2:$B$17,'00_Yield_Rates'!$E$2:$E$17),"")</f>
        <v>#NAME?</v>
      </c>
    </row>
    <row r="310" spans="1:20">
      <c r="A310" s="591" t="s">
        <v>124</v>
      </c>
      <c r="B310" s="608">
        <v>7912</v>
      </c>
      <c r="C310" s="593" t="s">
        <v>100</v>
      </c>
      <c r="D310" s="593" t="s">
        <v>135</v>
      </c>
      <c r="E310" s="593" t="s">
        <v>40</v>
      </c>
      <c r="F310" s="596"/>
      <c r="G310" s="601">
        <v>8</v>
      </c>
      <c r="H310" s="601" t="s">
        <v>139</v>
      </c>
      <c r="I310" s="601" t="s">
        <v>140</v>
      </c>
      <c r="J310" s="602" t="s">
        <v>340</v>
      </c>
      <c r="K310" s="595" t="s">
        <v>129</v>
      </c>
      <c r="L310" s="598" t="s">
        <v>297</v>
      </c>
      <c r="M310" s="599">
        <v>58.98</v>
      </c>
      <c r="N310" s="597" t="s">
        <v>23</v>
      </c>
      <c r="O310" s="593">
        <v>25</v>
      </c>
      <c r="P310" s="144" t="s">
        <v>100</v>
      </c>
      <c r="R310" s="165" t="e">
        <f>_xlfn.XLOOKUP(Table3[[#This Row],[SKU]],'05_Daily_Orders'!$B$2:$B$328,'05_Daily_Orders'!G:G)</f>
        <v>#VALUE!</v>
      </c>
      <c r="S310" s="166" t="str">
        <f t="shared" ref="S310:S356" si="5">IFERROR(R310*1,"")</f>
        <v/>
      </c>
      <c r="T310" s="566" t="e">
        <f ca="1">_xludf.IFNA(_xlfn.XLOOKUP(Table3[[#This Row],[SKU]],'00_Yield_Rates'!$B$2:$B$17,'00_Yield_Rates'!$E$2:$E$17),"")</f>
        <v>#NAME?</v>
      </c>
    </row>
    <row r="311" spans="1:20">
      <c r="A311" s="591" t="s">
        <v>124</v>
      </c>
      <c r="B311" s="600">
        <v>7939</v>
      </c>
      <c r="C311" s="593">
        <v>61010</v>
      </c>
      <c r="D311" s="593" t="s">
        <v>135</v>
      </c>
      <c r="E311" s="593" t="s">
        <v>174</v>
      </c>
      <c r="F311" s="596"/>
      <c r="G311" s="593">
        <v>6</v>
      </c>
      <c r="H311" s="593" t="s">
        <v>143</v>
      </c>
      <c r="I311" s="593"/>
      <c r="J311" s="594" t="s">
        <v>341</v>
      </c>
      <c r="K311" s="595" t="s">
        <v>129</v>
      </c>
      <c r="L311" s="595" t="s">
        <v>297</v>
      </c>
      <c r="M311" s="596">
        <v>32.770000000000003</v>
      </c>
      <c r="N311" s="597" t="s">
        <v>23</v>
      </c>
      <c r="O311" s="593">
        <v>25</v>
      </c>
      <c r="P311" s="144">
        <v>61010</v>
      </c>
      <c r="R311" s="165" t="e">
        <f>_xlfn.XLOOKUP(Table3[[#This Row],[SKU]],'05_Daily_Orders'!$B$2:$B$328,'05_Daily_Orders'!G:G)</f>
        <v>#VALUE!</v>
      </c>
      <c r="S311" s="166" t="str">
        <f t="shared" si="5"/>
        <v/>
      </c>
      <c r="T311" s="566" t="e">
        <f ca="1">_xludf.IFNA(_xlfn.XLOOKUP(Table3[[#This Row],[SKU]],'00_Yield_Rates'!$B$2:$B$17,'00_Yield_Rates'!$E$2:$E$17),"")</f>
        <v>#NAME?</v>
      </c>
    </row>
    <row r="312" spans="1:20">
      <c r="A312" s="591" t="s">
        <v>124</v>
      </c>
      <c r="B312" s="600">
        <v>7976</v>
      </c>
      <c r="C312" s="593">
        <v>61061</v>
      </c>
      <c r="D312" s="593" t="s">
        <v>135</v>
      </c>
      <c r="E312" s="593" t="s">
        <v>26</v>
      </c>
      <c r="F312" s="596"/>
      <c r="G312" s="601">
        <v>6</v>
      </c>
      <c r="H312" s="593" t="s">
        <v>143</v>
      </c>
      <c r="I312" s="601" t="s">
        <v>144</v>
      </c>
      <c r="J312" s="602" t="s">
        <v>342</v>
      </c>
      <c r="K312" s="598" t="s">
        <v>129</v>
      </c>
      <c r="L312" s="598" t="s">
        <v>130</v>
      </c>
      <c r="M312" s="599">
        <v>92.02</v>
      </c>
      <c r="N312" s="597" t="s">
        <v>23</v>
      </c>
      <c r="O312" s="593">
        <v>25</v>
      </c>
      <c r="P312" s="144">
        <v>61061</v>
      </c>
      <c r="R312" s="165" t="e">
        <f>_xlfn.XLOOKUP(Table3[[#This Row],[SKU]],'05_Daily_Orders'!$B$2:$B$328,'05_Daily_Orders'!G:G)</f>
        <v>#VALUE!</v>
      </c>
      <c r="S312" s="166" t="str">
        <f t="shared" si="5"/>
        <v/>
      </c>
      <c r="T312" s="566" t="e">
        <f ca="1">_xludf.IFNA(_xlfn.XLOOKUP(Table3[[#This Row],[SKU]],'00_Yield_Rates'!$B$2:$B$17,'00_Yield_Rates'!$E$2:$E$17),"")</f>
        <v>#NAME?</v>
      </c>
    </row>
    <row r="313" spans="1:20">
      <c r="A313" s="591" t="s">
        <v>124</v>
      </c>
      <c r="B313" s="600">
        <v>7978</v>
      </c>
      <c r="C313" s="593" t="s">
        <v>102</v>
      </c>
      <c r="D313" s="593" t="s">
        <v>135</v>
      </c>
      <c r="E313" s="593" t="s">
        <v>24</v>
      </c>
      <c r="F313" s="596"/>
      <c r="G313" s="601">
        <v>18</v>
      </c>
      <c r="H313" s="593" t="s">
        <v>132</v>
      </c>
      <c r="I313" s="601" t="s">
        <v>127</v>
      </c>
      <c r="J313" s="602" t="s">
        <v>343</v>
      </c>
      <c r="K313" s="595" t="s">
        <v>129</v>
      </c>
      <c r="L313" s="595" t="s">
        <v>134</v>
      </c>
      <c r="M313" s="596">
        <v>88.9</v>
      </c>
      <c r="N313" s="597" t="s">
        <v>23</v>
      </c>
      <c r="O313" s="593">
        <v>25</v>
      </c>
      <c r="P313" s="144" t="s">
        <v>102</v>
      </c>
      <c r="R313" s="165" t="e">
        <f>_xlfn.XLOOKUP(Table3[[#This Row],[SKU]],'05_Daily_Orders'!$B$2:$B$328,'05_Daily_Orders'!G:G)</f>
        <v>#VALUE!</v>
      </c>
      <c r="S313" s="166" t="str">
        <f t="shared" si="5"/>
        <v/>
      </c>
      <c r="T313" s="566" t="e">
        <f ca="1">_xludf.IFNA(_xlfn.XLOOKUP(Table3[[#This Row],[SKU]],'00_Yield_Rates'!$B$2:$B$17,'00_Yield_Rates'!$E$2:$E$17),"")</f>
        <v>#NAME?</v>
      </c>
    </row>
    <row r="314" spans="1:20">
      <c r="A314" s="591" t="s">
        <v>124</v>
      </c>
      <c r="B314" s="600">
        <v>7979</v>
      </c>
      <c r="C314" s="593" t="s">
        <v>102</v>
      </c>
      <c r="D314" s="593" t="s">
        <v>135</v>
      </c>
      <c r="E314" s="593" t="s">
        <v>24</v>
      </c>
      <c r="F314" s="596"/>
      <c r="G314" s="593">
        <v>8</v>
      </c>
      <c r="H314" s="593" t="s">
        <v>139</v>
      </c>
      <c r="I314" s="601" t="s">
        <v>140</v>
      </c>
      <c r="J314" s="605" t="s">
        <v>169</v>
      </c>
      <c r="K314" s="595" t="s">
        <v>129</v>
      </c>
      <c r="L314" s="595" t="s">
        <v>297</v>
      </c>
      <c r="M314" s="596">
        <v>128.02000000000001</v>
      </c>
      <c r="N314" s="597" t="s">
        <v>23</v>
      </c>
      <c r="O314" s="593">
        <v>25</v>
      </c>
      <c r="P314" s="144" t="s">
        <v>102</v>
      </c>
      <c r="R314" s="165" t="e">
        <f>_xlfn.XLOOKUP(Table3[[#This Row],[SKU]],'05_Daily_Orders'!$B$2:$B$328,'05_Daily_Orders'!G:G)</f>
        <v>#VALUE!</v>
      </c>
      <c r="S314" s="166" t="str">
        <f t="shared" si="5"/>
        <v/>
      </c>
      <c r="T314" s="566" t="e">
        <f ca="1">_xludf.IFNA(_xlfn.XLOOKUP(Table3[[#This Row],[SKU]],'00_Yield_Rates'!$B$2:$B$17,'00_Yield_Rates'!$E$2:$E$17),"")</f>
        <v>#NAME?</v>
      </c>
    </row>
    <row r="315" spans="1:20">
      <c r="A315" s="591" t="s">
        <v>124</v>
      </c>
      <c r="B315" s="600">
        <v>200168</v>
      </c>
      <c r="C315" s="593">
        <v>61061</v>
      </c>
      <c r="D315" s="593" t="s">
        <v>135</v>
      </c>
      <c r="E315" s="593" t="s">
        <v>26</v>
      </c>
      <c r="F315" s="596">
        <v>9.1657597549607104</v>
      </c>
      <c r="G315" s="601">
        <v>8</v>
      </c>
      <c r="H315" s="593" t="s">
        <v>139</v>
      </c>
      <c r="I315" s="601" t="s">
        <v>140</v>
      </c>
      <c r="J315" s="610" t="s">
        <v>344</v>
      </c>
      <c r="K315" s="598" t="s">
        <v>129</v>
      </c>
      <c r="L315" s="595" t="s">
        <v>130</v>
      </c>
      <c r="M315" s="596">
        <v>89.74</v>
      </c>
      <c r="N315" s="597" t="s">
        <v>23</v>
      </c>
      <c r="O315" s="593">
        <v>25</v>
      </c>
      <c r="P315" s="144">
        <v>61061</v>
      </c>
      <c r="R315" s="165" t="e">
        <f>_xlfn.XLOOKUP(Table3[[#This Row],[SKU]],'05_Daily_Orders'!$B$2:$B$328,'05_Daily_Orders'!G:G)</f>
        <v>#VALUE!</v>
      </c>
      <c r="S315" s="166" t="str">
        <f t="shared" si="5"/>
        <v/>
      </c>
      <c r="T315" s="566" t="e">
        <f ca="1">_xludf.IFNA(_xlfn.XLOOKUP(Table3[[#This Row],[SKU]],'00_Yield_Rates'!$B$2:$B$17,'00_Yield_Rates'!$E$2:$E$17),"")</f>
        <v>#NAME?</v>
      </c>
    </row>
    <row r="316" spans="1:20">
      <c r="A316" s="591" t="s">
        <v>124</v>
      </c>
      <c r="B316" s="600">
        <v>200703</v>
      </c>
      <c r="C316" s="611" t="s">
        <v>106</v>
      </c>
      <c r="D316" s="593" t="s">
        <v>135</v>
      </c>
      <c r="E316" s="593" t="s">
        <v>24</v>
      </c>
      <c r="F316" s="596">
        <v>3.6839776525642201</v>
      </c>
      <c r="G316" s="593">
        <v>8</v>
      </c>
      <c r="H316" s="593" t="s">
        <v>151</v>
      </c>
      <c r="I316" s="593" t="s">
        <v>127</v>
      </c>
      <c r="J316" s="594" t="s">
        <v>345</v>
      </c>
      <c r="K316" s="595" t="s">
        <v>129</v>
      </c>
      <c r="L316" s="595" t="s">
        <v>130</v>
      </c>
      <c r="M316" s="609">
        <v>75.650000000000006</v>
      </c>
      <c r="N316" s="597" t="s">
        <v>44</v>
      </c>
      <c r="O316" s="593">
        <v>25</v>
      </c>
      <c r="P316" s="144" t="s">
        <v>106</v>
      </c>
      <c r="R316" s="165" t="e">
        <f>_xlfn.XLOOKUP(Table3[[#This Row],[SKU]],'05_Daily_Orders'!$B$2:$B$328,'05_Daily_Orders'!G:G)</f>
        <v>#VALUE!</v>
      </c>
      <c r="S316" s="166" t="str">
        <f t="shared" si="5"/>
        <v/>
      </c>
      <c r="T316" s="566" t="e">
        <f ca="1">_xludf.IFNA(_xlfn.XLOOKUP(Table3[[#This Row],[SKU]],'00_Yield_Rates'!$B$2:$B$17,'00_Yield_Rates'!$E$2:$E$17),"")</f>
        <v>#NAME?</v>
      </c>
    </row>
    <row r="317" spans="1:20">
      <c r="A317" s="591" t="s">
        <v>124</v>
      </c>
      <c r="B317" s="600">
        <v>200704</v>
      </c>
      <c r="C317" s="611">
        <v>203021</v>
      </c>
      <c r="D317" s="593" t="s">
        <v>135</v>
      </c>
      <c r="E317" s="593" t="s">
        <v>153</v>
      </c>
      <c r="F317" s="596">
        <v>8.6019644137391609</v>
      </c>
      <c r="G317" s="593">
        <v>6</v>
      </c>
      <c r="H317" s="593" t="s">
        <v>132</v>
      </c>
      <c r="I317" s="593" t="s">
        <v>127</v>
      </c>
      <c r="J317" s="594" t="s">
        <v>346</v>
      </c>
      <c r="K317" s="598" t="s">
        <v>129</v>
      </c>
      <c r="L317" s="595" t="s">
        <v>130</v>
      </c>
      <c r="M317" s="609">
        <v>130.09</v>
      </c>
      <c r="N317" s="597" t="s">
        <v>44</v>
      </c>
      <c r="O317" s="593">
        <v>25</v>
      </c>
      <c r="P317" s="144">
        <v>203021</v>
      </c>
      <c r="R317" s="165" t="e">
        <f>_xlfn.XLOOKUP(Table3[[#This Row],[SKU]],'05_Daily_Orders'!$B$2:$B$328,'05_Daily_Orders'!G:G)</f>
        <v>#VALUE!</v>
      </c>
      <c r="S317" s="166" t="str">
        <f t="shared" si="5"/>
        <v/>
      </c>
      <c r="T317" s="566" t="e">
        <f ca="1">_xludf.IFNA(_xlfn.XLOOKUP(Table3[[#This Row],[SKU]],'00_Yield_Rates'!$B$2:$B$17,'00_Yield_Rates'!$E$2:$E$17),"")</f>
        <v>#NAME?</v>
      </c>
    </row>
    <row r="318" spans="1:20">
      <c r="A318" s="591" t="s">
        <v>124</v>
      </c>
      <c r="B318" s="600">
        <v>200705</v>
      </c>
      <c r="C318" s="611">
        <v>61072</v>
      </c>
      <c r="D318" s="593" t="s">
        <v>135</v>
      </c>
      <c r="E318" s="593" t="s">
        <v>146</v>
      </c>
      <c r="F318" s="596">
        <v>3.84381518404907</v>
      </c>
      <c r="G318" s="593">
        <v>8</v>
      </c>
      <c r="H318" s="601" t="s">
        <v>151</v>
      </c>
      <c r="I318" s="593" t="s">
        <v>127</v>
      </c>
      <c r="J318" s="594" t="s">
        <v>347</v>
      </c>
      <c r="K318" s="598" t="s">
        <v>129</v>
      </c>
      <c r="L318" s="595" t="s">
        <v>130</v>
      </c>
      <c r="M318" s="609">
        <v>70.319999999999993</v>
      </c>
      <c r="N318" s="597" t="s">
        <v>44</v>
      </c>
      <c r="O318" s="593">
        <v>25</v>
      </c>
      <c r="P318" s="144">
        <v>61072</v>
      </c>
      <c r="R318" s="165" t="e">
        <f>_xlfn.XLOOKUP(Table3[[#This Row],[SKU]],'05_Daily_Orders'!$B$2:$B$328,'05_Daily_Orders'!G:G)</f>
        <v>#VALUE!</v>
      </c>
      <c r="S318" s="166" t="str">
        <f t="shared" si="5"/>
        <v/>
      </c>
      <c r="T318" s="566" t="e">
        <f ca="1">_xludf.IFNA(_xlfn.XLOOKUP(Table3[[#This Row],[SKU]],'00_Yield_Rates'!$B$2:$B$17,'00_Yield_Rates'!$E$2:$E$17),"")</f>
        <v>#NAME?</v>
      </c>
    </row>
    <row r="319" spans="1:20">
      <c r="A319" s="591" t="s">
        <v>124</v>
      </c>
      <c r="B319" s="600">
        <v>200706</v>
      </c>
      <c r="C319" s="611" t="s">
        <v>122</v>
      </c>
      <c r="D319" s="593" t="s">
        <v>135</v>
      </c>
      <c r="E319" s="593" t="s">
        <v>21</v>
      </c>
      <c r="F319" s="596">
        <v>4.13464986498649</v>
      </c>
      <c r="G319" s="593">
        <v>8</v>
      </c>
      <c r="H319" s="593" t="s">
        <v>151</v>
      </c>
      <c r="I319" s="593" t="s">
        <v>127</v>
      </c>
      <c r="J319" s="594" t="s">
        <v>348</v>
      </c>
      <c r="K319" s="595" t="s">
        <v>142</v>
      </c>
      <c r="L319" s="595" t="s">
        <v>130</v>
      </c>
      <c r="M319" s="609">
        <v>25.34</v>
      </c>
      <c r="N319" s="597" t="s">
        <v>44</v>
      </c>
      <c r="O319" s="593">
        <v>25</v>
      </c>
      <c r="P319" s="144" t="s">
        <v>122</v>
      </c>
      <c r="R319" s="165" t="e">
        <f>_xlfn.XLOOKUP(Table3[[#This Row],[SKU]],'05_Daily_Orders'!$B$2:$B$328,'05_Daily_Orders'!G:G)</f>
        <v>#VALUE!</v>
      </c>
      <c r="S319" s="166" t="str">
        <f t="shared" si="5"/>
        <v/>
      </c>
      <c r="T319" s="566" t="e">
        <f ca="1">_xludf.IFNA(_xlfn.XLOOKUP(Table3[[#This Row],[SKU]],'00_Yield_Rates'!$B$2:$B$17,'00_Yield_Rates'!$E$2:$E$17),"")</f>
        <v>#NAME?</v>
      </c>
    </row>
    <row r="320" spans="1:20">
      <c r="A320" s="591" t="s">
        <v>124</v>
      </c>
      <c r="B320" s="600">
        <v>200707</v>
      </c>
      <c r="C320" s="611">
        <v>61077</v>
      </c>
      <c r="D320" s="593" t="s">
        <v>135</v>
      </c>
      <c r="E320" s="593" t="s">
        <v>30</v>
      </c>
      <c r="F320" s="596">
        <v>4.2676022972002796</v>
      </c>
      <c r="G320" s="593">
        <v>8</v>
      </c>
      <c r="H320" s="593" t="s">
        <v>151</v>
      </c>
      <c r="I320" s="593" t="s">
        <v>127</v>
      </c>
      <c r="J320" s="594" t="s">
        <v>349</v>
      </c>
      <c r="K320" s="598" t="s">
        <v>129</v>
      </c>
      <c r="L320" s="595" t="s">
        <v>130</v>
      </c>
      <c r="M320" s="609">
        <v>51.14</v>
      </c>
      <c r="N320" s="597" t="s">
        <v>44</v>
      </c>
      <c r="O320" s="593">
        <v>25</v>
      </c>
      <c r="P320" s="144">
        <v>61077</v>
      </c>
      <c r="R320" s="165" t="e">
        <f>_xlfn.XLOOKUP(Table3[[#This Row],[SKU]],'05_Daily_Orders'!$B$2:$B$328,'05_Daily_Orders'!G:G)</f>
        <v>#VALUE!</v>
      </c>
      <c r="S320" s="166" t="str">
        <f t="shared" si="5"/>
        <v/>
      </c>
      <c r="T320" s="566" t="e">
        <f ca="1">_xludf.IFNA(_xlfn.XLOOKUP(Table3[[#This Row],[SKU]],'00_Yield_Rates'!$B$2:$B$17,'00_Yield_Rates'!$E$2:$E$17),"")</f>
        <v>#NAME?</v>
      </c>
    </row>
    <row r="321" spans="1:20">
      <c r="A321" s="591" t="s">
        <v>124</v>
      </c>
      <c r="B321" s="600">
        <v>200708</v>
      </c>
      <c r="C321" s="611">
        <v>61014</v>
      </c>
      <c r="D321" s="593" t="s">
        <v>135</v>
      </c>
      <c r="E321" s="593" t="s">
        <v>34</v>
      </c>
      <c r="F321" s="596"/>
      <c r="G321" s="593">
        <v>8</v>
      </c>
      <c r="H321" s="593" t="s">
        <v>151</v>
      </c>
      <c r="I321" s="593" t="s">
        <v>127</v>
      </c>
      <c r="J321" s="594" t="s">
        <v>350</v>
      </c>
      <c r="K321" s="595" t="s">
        <v>142</v>
      </c>
      <c r="L321" s="595" t="s">
        <v>130</v>
      </c>
      <c r="M321" s="609">
        <v>29.13</v>
      </c>
      <c r="N321" s="597" t="s">
        <v>44</v>
      </c>
      <c r="O321" s="593">
        <v>25</v>
      </c>
      <c r="P321" s="144">
        <v>61014</v>
      </c>
      <c r="R321" s="165" t="e">
        <f>_xlfn.XLOOKUP(Table3[[#This Row],[SKU]],'05_Daily_Orders'!$B$2:$B$328,'05_Daily_Orders'!G:G)</f>
        <v>#VALUE!</v>
      </c>
      <c r="S321" s="166" t="str">
        <f t="shared" si="5"/>
        <v/>
      </c>
      <c r="T321" s="566" t="e">
        <f ca="1">_xludf.IFNA(_xlfn.XLOOKUP(Table3[[#This Row],[SKU]],'00_Yield_Rates'!$B$2:$B$17,'00_Yield_Rates'!$E$2:$E$17),"")</f>
        <v>#NAME?</v>
      </c>
    </row>
    <row r="322" spans="1:20">
      <c r="A322" s="591" t="s">
        <v>124</v>
      </c>
      <c r="B322" s="600">
        <v>200709</v>
      </c>
      <c r="C322" s="611" t="s">
        <v>106</v>
      </c>
      <c r="D322" s="593" t="s">
        <v>131</v>
      </c>
      <c r="E322" s="593" t="s">
        <v>24</v>
      </c>
      <c r="F322" s="596">
        <v>3.7843751633303699</v>
      </c>
      <c r="G322" s="593">
        <v>8</v>
      </c>
      <c r="H322" s="593" t="s">
        <v>151</v>
      </c>
      <c r="I322" s="593" t="s">
        <v>127</v>
      </c>
      <c r="J322" s="594" t="s">
        <v>351</v>
      </c>
      <c r="K322" s="595" t="s">
        <v>129</v>
      </c>
      <c r="L322" s="595" t="s">
        <v>130</v>
      </c>
      <c r="M322" s="609">
        <v>75.650000000000006</v>
      </c>
      <c r="N322" s="597" t="s">
        <v>44</v>
      </c>
      <c r="O322" s="593">
        <v>25</v>
      </c>
      <c r="P322" s="144" t="s">
        <v>106</v>
      </c>
      <c r="R322" s="165" t="e">
        <f>_xlfn.XLOOKUP(Table3[[#This Row],[SKU]],'05_Daily_Orders'!$B$2:$B$328,'05_Daily_Orders'!G:G)</f>
        <v>#VALUE!</v>
      </c>
      <c r="S322" s="166" t="str">
        <f t="shared" si="5"/>
        <v/>
      </c>
      <c r="T322" s="566" t="e">
        <f ca="1">_xludf.IFNA(_xlfn.XLOOKUP(Table3[[#This Row],[SKU]],'00_Yield_Rates'!$B$2:$B$17,'00_Yield_Rates'!$E$2:$E$17),"")</f>
        <v>#NAME?</v>
      </c>
    </row>
    <row r="323" spans="1:20">
      <c r="A323" s="591" t="s">
        <v>124</v>
      </c>
      <c r="B323" s="600">
        <v>200710</v>
      </c>
      <c r="C323" s="611">
        <v>203021</v>
      </c>
      <c r="D323" s="593" t="s">
        <v>131</v>
      </c>
      <c r="E323" s="593" t="s">
        <v>153</v>
      </c>
      <c r="F323" s="596">
        <v>8.5554342813220607</v>
      </c>
      <c r="G323" s="593">
        <v>6</v>
      </c>
      <c r="H323" s="593" t="s">
        <v>132</v>
      </c>
      <c r="I323" s="593" t="s">
        <v>127</v>
      </c>
      <c r="J323" s="594" t="s">
        <v>352</v>
      </c>
      <c r="K323" s="598" t="s">
        <v>129</v>
      </c>
      <c r="L323" s="595" t="s">
        <v>130</v>
      </c>
      <c r="M323" s="609">
        <v>130.09</v>
      </c>
      <c r="N323" s="597"/>
      <c r="O323" s="593">
        <v>25</v>
      </c>
      <c r="P323" s="144">
        <v>203021</v>
      </c>
      <c r="R323" s="165" t="e">
        <f>_xlfn.XLOOKUP(Table3[[#This Row],[SKU]],'05_Daily_Orders'!$B$2:$B$328,'05_Daily_Orders'!G:G)</f>
        <v>#VALUE!</v>
      </c>
      <c r="S323" s="166" t="str">
        <f t="shared" si="5"/>
        <v/>
      </c>
      <c r="T323" s="566" t="e">
        <f ca="1">_xludf.IFNA(_xlfn.XLOOKUP(Table3[[#This Row],[SKU]],'00_Yield_Rates'!$B$2:$B$17,'00_Yield_Rates'!$E$2:$E$17),"")</f>
        <v>#NAME?</v>
      </c>
    </row>
    <row r="324" spans="1:20">
      <c r="A324" s="591" t="s">
        <v>124</v>
      </c>
      <c r="B324" s="600">
        <v>200711</v>
      </c>
      <c r="C324" s="611">
        <v>61072</v>
      </c>
      <c r="D324" s="593" t="s">
        <v>131</v>
      </c>
      <c r="E324" s="593" t="s">
        <v>146</v>
      </c>
      <c r="F324" s="596">
        <v>3.88366227596631</v>
      </c>
      <c r="G324" s="593">
        <v>8</v>
      </c>
      <c r="H324" s="593" t="s">
        <v>151</v>
      </c>
      <c r="I324" s="593" t="s">
        <v>127</v>
      </c>
      <c r="J324" s="594" t="s">
        <v>353</v>
      </c>
      <c r="K324" s="598" t="s">
        <v>129</v>
      </c>
      <c r="L324" s="595" t="s">
        <v>130</v>
      </c>
      <c r="M324" s="609">
        <v>70.319999999999993</v>
      </c>
      <c r="N324" s="597" t="s">
        <v>44</v>
      </c>
      <c r="O324" s="593">
        <v>25</v>
      </c>
      <c r="P324" s="144">
        <v>61072</v>
      </c>
      <c r="R324" s="165" t="e">
        <f>_xlfn.XLOOKUP(Table3[[#This Row],[SKU]],'05_Daily_Orders'!$B$2:$B$328,'05_Daily_Orders'!G:G)</f>
        <v>#VALUE!</v>
      </c>
      <c r="S324" s="166" t="str">
        <f t="shared" si="5"/>
        <v/>
      </c>
      <c r="T324" s="566" t="e">
        <f ca="1">_xludf.IFNA(_xlfn.XLOOKUP(Table3[[#This Row],[SKU]],'00_Yield_Rates'!$B$2:$B$17,'00_Yield_Rates'!$E$2:$E$17),"")</f>
        <v>#NAME?</v>
      </c>
    </row>
    <row r="325" spans="1:20">
      <c r="A325" s="591" t="s">
        <v>124</v>
      </c>
      <c r="B325" s="600">
        <v>200712</v>
      </c>
      <c r="C325" s="593" t="s">
        <v>122</v>
      </c>
      <c r="D325" s="593" t="s">
        <v>131</v>
      </c>
      <c r="E325" s="593" t="s">
        <v>21</v>
      </c>
      <c r="F325" s="596">
        <v>4.2083100203458796</v>
      </c>
      <c r="G325" s="593">
        <v>8</v>
      </c>
      <c r="H325" s="593" t="s">
        <v>151</v>
      </c>
      <c r="I325" s="593" t="s">
        <v>127</v>
      </c>
      <c r="J325" s="594" t="s">
        <v>354</v>
      </c>
      <c r="K325" s="595" t="s">
        <v>142</v>
      </c>
      <c r="L325" s="595" t="s">
        <v>130</v>
      </c>
      <c r="M325" s="609">
        <v>25.34</v>
      </c>
      <c r="N325" s="597" t="s">
        <v>44</v>
      </c>
      <c r="O325" s="593">
        <v>25</v>
      </c>
      <c r="P325" s="144" t="s">
        <v>122</v>
      </c>
      <c r="R325" s="165" t="e">
        <f>_xlfn.XLOOKUP(Table3[[#This Row],[SKU]],'05_Daily_Orders'!$B$2:$B$328,'05_Daily_Orders'!G:G)</f>
        <v>#VALUE!</v>
      </c>
      <c r="S325" s="166" t="str">
        <f t="shared" si="5"/>
        <v/>
      </c>
      <c r="T325" s="566" t="e">
        <f ca="1">_xludf.IFNA(_xlfn.XLOOKUP(Table3[[#This Row],[SKU]],'00_Yield_Rates'!$B$2:$B$17,'00_Yield_Rates'!$E$2:$E$17),"")</f>
        <v>#NAME?</v>
      </c>
    </row>
    <row r="326" spans="1:20">
      <c r="A326" s="591" t="s">
        <v>124</v>
      </c>
      <c r="B326" s="600">
        <v>200713</v>
      </c>
      <c r="C326" s="593">
        <v>61077</v>
      </c>
      <c r="D326" s="593" t="s">
        <v>131</v>
      </c>
      <c r="E326" s="593" t="s">
        <v>30</v>
      </c>
      <c r="F326" s="596">
        <v>4.2918690909090902</v>
      </c>
      <c r="G326" s="593">
        <v>8</v>
      </c>
      <c r="H326" s="601" t="s">
        <v>151</v>
      </c>
      <c r="I326" s="593" t="s">
        <v>127</v>
      </c>
      <c r="J326" s="594" t="s">
        <v>355</v>
      </c>
      <c r="K326" s="598" t="s">
        <v>129</v>
      </c>
      <c r="L326" s="595" t="s">
        <v>130</v>
      </c>
      <c r="M326" s="609">
        <v>51.14</v>
      </c>
      <c r="N326" s="597" t="s">
        <v>44</v>
      </c>
      <c r="O326" s="593">
        <v>25</v>
      </c>
      <c r="P326" s="144">
        <v>61077</v>
      </c>
      <c r="R326" s="165" t="e">
        <f>_xlfn.XLOOKUP(Table3[[#This Row],[SKU]],'05_Daily_Orders'!$B$2:$B$328,'05_Daily_Orders'!G:G)</f>
        <v>#VALUE!</v>
      </c>
      <c r="S326" s="166" t="str">
        <f t="shared" si="5"/>
        <v/>
      </c>
      <c r="T326" s="566" t="e">
        <f ca="1">_xludf.IFNA(_xlfn.XLOOKUP(Table3[[#This Row],[SKU]],'00_Yield_Rates'!$B$2:$B$17,'00_Yield_Rates'!$E$2:$E$17),"")</f>
        <v>#NAME?</v>
      </c>
    </row>
    <row r="327" spans="1:20">
      <c r="A327" s="591" t="s">
        <v>124</v>
      </c>
      <c r="B327" s="600">
        <v>200714</v>
      </c>
      <c r="C327" s="593">
        <v>61014</v>
      </c>
      <c r="D327" s="593" t="s">
        <v>131</v>
      </c>
      <c r="E327" s="593" t="s">
        <v>34</v>
      </c>
      <c r="F327" s="596">
        <v>3.7048650269946002</v>
      </c>
      <c r="G327" s="593">
        <v>8</v>
      </c>
      <c r="H327" s="593" t="s">
        <v>151</v>
      </c>
      <c r="I327" s="593" t="s">
        <v>127</v>
      </c>
      <c r="J327" s="594" t="s">
        <v>356</v>
      </c>
      <c r="K327" s="595" t="s">
        <v>142</v>
      </c>
      <c r="L327" s="609" t="s">
        <v>130</v>
      </c>
      <c r="M327" s="609">
        <v>29.13</v>
      </c>
      <c r="N327" s="597" t="s">
        <v>44</v>
      </c>
      <c r="O327" s="593">
        <v>25</v>
      </c>
      <c r="P327" s="144">
        <v>61014</v>
      </c>
      <c r="R327" s="165" t="e">
        <f>_xlfn.XLOOKUP(Table3[[#This Row],[SKU]],'05_Daily_Orders'!$B$2:$B$328,'05_Daily_Orders'!G:G)</f>
        <v>#VALUE!</v>
      </c>
      <c r="S327" s="166" t="str">
        <f t="shared" si="5"/>
        <v/>
      </c>
      <c r="T327" s="566" t="e">
        <f ca="1">_xludf.IFNA(_xlfn.XLOOKUP(Table3[[#This Row],[SKU]],'00_Yield_Rates'!$B$2:$B$17,'00_Yield_Rates'!$E$2:$E$17),"")</f>
        <v>#NAME?</v>
      </c>
    </row>
    <row r="328" spans="1:20">
      <c r="A328" s="591" t="s">
        <v>124</v>
      </c>
      <c r="B328" s="600">
        <v>200715</v>
      </c>
      <c r="C328" s="593" t="s">
        <v>106</v>
      </c>
      <c r="D328" s="593" t="s">
        <v>135</v>
      </c>
      <c r="E328" s="593" t="s">
        <v>24</v>
      </c>
      <c r="F328" s="596">
        <v>8.9776693730866501</v>
      </c>
      <c r="G328" s="593">
        <v>8</v>
      </c>
      <c r="H328" s="593" t="s">
        <v>139</v>
      </c>
      <c r="I328" s="593" t="s">
        <v>140</v>
      </c>
      <c r="J328" s="594" t="s">
        <v>357</v>
      </c>
      <c r="K328" s="595" t="s">
        <v>129</v>
      </c>
      <c r="L328" s="595" t="s">
        <v>130</v>
      </c>
      <c r="M328" s="609">
        <v>144.32</v>
      </c>
      <c r="N328" s="597" t="s">
        <v>44</v>
      </c>
      <c r="O328" s="593">
        <v>25</v>
      </c>
      <c r="P328" s="144" t="s">
        <v>106</v>
      </c>
      <c r="R328" s="165" t="e">
        <f>_xlfn.XLOOKUP(Table3[[#This Row],[SKU]],'05_Daily_Orders'!$B$2:$B$328,'05_Daily_Orders'!G:G)</f>
        <v>#VALUE!</v>
      </c>
      <c r="S328" s="166" t="str">
        <f t="shared" si="5"/>
        <v/>
      </c>
      <c r="T328" s="566" t="e">
        <f ca="1">_xludf.IFNA(_xlfn.XLOOKUP(Table3[[#This Row],[SKU]],'00_Yield_Rates'!$B$2:$B$17,'00_Yield_Rates'!$E$2:$E$17),"")</f>
        <v>#NAME?</v>
      </c>
    </row>
    <row r="329" spans="1:20">
      <c r="A329" s="591" t="s">
        <v>124</v>
      </c>
      <c r="B329" s="592">
        <v>200716</v>
      </c>
      <c r="C329" s="593">
        <v>61077</v>
      </c>
      <c r="D329" s="593" t="s">
        <v>135</v>
      </c>
      <c r="E329" s="593" t="s">
        <v>30</v>
      </c>
      <c r="F329" s="596">
        <v>8.5537448737319206</v>
      </c>
      <c r="G329" s="593">
        <v>8</v>
      </c>
      <c r="H329" s="593" t="s">
        <v>139</v>
      </c>
      <c r="I329" s="593" t="s">
        <v>140</v>
      </c>
      <c r="J329" s="594" t="s">
        <v>358</v>
      </c>
      <c r="K329" s="598" t="s">
        <v>129</v>
      </c>
      <c r="L329" s="609" t="s">
        <v>130</v>
      </c>
      <c r="M329" s="596">
        <v>72.03</v>
      </c>
      <c r="N329" s="593" t="s">
        <v>44</v>
      </c>
      <c r="O329" s="593">
        <v>25</v>
      </c>
      <c r="P329" s="144">
        <v>61077</v>
      </c>
      <c r="R329" s="165" t="e">
        <f>_xlfn.XLOOKUP(Table3[[#This Row],[SKU]],'05_Daily_Orders'!$B$2:$B$328,'05_Daily_Orders'!G:G)</f>
        <v>#VALUE!</v>
      </c>
      <c r="S329" s="166" t="str">
        <f t="shared" si="5"/>
        <v/>
      </c>
      <c r="T329" s="566" t="e">
        <f ca="1">_xludf.IFNA(_xlfn.XLOOKUP(Table3[[#This Row],[SKU]],'00_Yield_Rates'!$B$2:$B$17,'00_Yield_Rates'!$E$2:$E$17),"")</f>
        <v>#NAME?</v>
      </c>
    </row>
    <row r="330" spans="1:20">
      <c r="A330" s="591" t="s">
        <v>124</v>
      </c>
      <c r="B330" s="592">
        <v>200717</v>
      </c>
      <c r="C330" s="593">
        <v>61072</v>
      </c>
      <c r="D330" s="593" t="s">
        <v>135</v>
      </c>
      <c r="E330" s="593" t="s">
        <v>146</v>
      </c>
      <c r="F330" s="596">
        <v>7.7917399080224801</v>
      </c>
      <c r="G330" s="593">
        <v>8</v>
      </c>
      <c r="H330" s="593" t="s">
        <v>139</v>
      </c>
      <c r="I330" s="593" t="s">
        <v>140</v>
      </c>
      <c r="J330" s="594" t="s">
        <v>359</v>
      </c>
      <c r="K330" s="598" t="s">
        <v>129</v>
      </c>
      <c r="L330" s="609" t="s">
        <v>130</v>
      </c>
      <c r="M330" s="596">
        <v>58.08</v>
      </c>
      <c r="N330" s="593" t="s">
        <v>44</v>
      </c>
      <c r="O330" s="593">
        <v>25</v>
      </c>
      <c r="P330" s="144">
        <v>61072</v>
      </c>
      <c r="R330" s="165" t="e">
        <f>_xlfn.XLOOKUP(Table3[[#This Row],[SKU]],'05_Daily_Orders'!$B$2:$B$328,'05_Daily_Orders'!G:G)</f>
        <v>#VALUE!</v>
      </c>
      <c r="S330" s="166" t="str">
        <f t="shared" si="5"/>
        <v/>
      </c>
      <c r="T330" s="566" t="e">
        <f ca="1">_xludf.IFNA(_xlfn.XLOOKUP(Table3[[#This Row],[SKU]],'00_Yield_Rates'!$B$2:$B$17,'00_Yield_Rates'!$E$2:$E$17),"")</f>
        <v>#NAME?</v>
      </c>
    </row>
    <row r="331" spans="1:20">
      <c r="A331" s="591" t="s">
        <v>124</v>
      </c>
      <c r="B331" s="592">
        <v>200718</v>
      </c>
      <c r="C331" s="593">
        <v>61050</v>
      </c>
      <c r="D331" s="593" t="s">
        <v>135</v>
      </c>
      <c r="E331" s="593" t="s">
        <v>24</v>
      </c>
      <c r="F331" s="596"/>
      <c r="G331" s="593">
        <v>8</v>
      </c>
      <c r="H331" s="593" t="s">
        <v>139</v>
      </c>
      <c r="I331" s="593" t="s">
        <v>140</v>
      </c>
      <c r="J331" s="594" t="s">
        <v>360</v>
      </c>
      <c r="K331" s="595" t="s">
        <v>129</v>
      </c>
      <c r="L331" s="609" t="s">
        <v>130</v>
      </c>
      <c r="M331" s="596">
        <v>83.42</v>
      </c>
      <c r="N331" s="593" t="s">
        <v>44</v>
      </c>
      <c r="O331" s="593">
        <v>25</v>
      </c>
      <c r="P331" s="144">
        <v>61050</v>
      </c>
      <c r="R331" s="165" t="e">
        <f>_xlfn.XLOOKUP(Table3[[#This Row],[SKU]],'05_Daily_Orders'!$B$2:$B$328,'05_Daily_Orders'!G:G)</f>
        <v>#VALUE!</v>
      </c>
      <c r="S331" s="166" t="str">
        <f t="shared" si="5"/>
        <v/>
      </c>
      <c r="T331" s="566" t="e">
        <f ca="1">_xludf.IFNA(_xlfn.XLOOKUP(Table3[[#This Row],[SKU]],'00_Yield_Rates'!$B$2:$B$17,'00_Yield_Rates'!$E$2:$E$17),"")</f>
        <v>#NAME?</v>
      </c>
    </row>
    <row r="332" spans="1:20">
      <c r="A332" s="591" t="s">
        <v>124</v>
      </c>
      <c r="B332" s="592">
        <v>200721</v>
      </c>
      <c r="C332" s="593">
        <v>61077</v>
      </c>
      <c r="D332" s="593" t="s">
        <v>135</v>
      </c>
      <c r="E332" s="593" t="s">
        <v>30</v>
      </c>
      <c r="F332" s="593"/>
      <c r="G332" s="593">
        <v>8</v>
      </c>
      <c r="H332" s="593" t="s">
        <v>139</v>
      </c>
      <c r="I332" s="593" t="s">
        <v>140</v>
      </c>
      <c r="J332" s="594" t="s">
        <v>361</v>
      </c>
      <c r="K332" s="598" t="s">
        <v>129</v>
      </c>
      <c r="L332" s="609" t="s">
        <v>130</v>
      </c>
      <c r="M332" s="596">
        <v>65.81</v>
      </c>
      <c r="N332" s="593" t="s">
        <v>44</v>
      </c>
      <c r="O332" s="593">
        <v>25</v>
      </c>
      <c r="P332" s="144">
        <v>61077</v>
      </c>
      <c r="R332" s="165" t="e">
        <f>_xlfn.XLOOKUP(Table3[[#This Row],[SKU]],'05_Daily_Orders'!$B$2:$B$328,'05_Daily_Orders'!G:G)</f>
        <v>#VALUE!</v>
      </c>
      <c r="S332" s="166" t="str">
        <f t="shared" si="5"/>
        <v/>
      </c>
      <c r="T332" s="566" t="e">
        <f ca="1">_xludf.IFNA(_xlfn.XLOOKUP(Table3[[#This Row],[SKU]],'00_Yield_Rates'!$B$2:$B$17,'00_Yield_Rates'!$E$2:$E$17),"")</f>
        <v>#NAME?</v>
      </c>
    </row>
    <row r="333" spans="1:20">
      <c r="A333" s="591" t="s">
        <v>124</v>
      </c>
      <c r="B333" s="592">
        <v>200722</v>
      </c>
      <c r="C333" s="593">
        <v>61072</v>
      </c>
      <c r="D333" s="593" t="s">
        <v>135</v>
      </c>
      <c r="E333" s="593" t="s">
        <v>146</v>
      </c>
      <c r="F333" s="593"/>
      <c r="G333" s="593">
        <v>8</v>
      </c>
      <c r="H333" s="593" t="s">
        <v>139</v>
      </c>
      <c r="I333" s="593" t="s">
        <v>140</v>
      </c>
      <c r="J333" s="594" t="s">
        <v>362</v>
      </c>
      <c r="K333" s="598" t="s">
        <v>129</v>
      </c>
      <c r="L333" s="609" t="s">
        <v>130</v>
      </c>
      <c r="M333" s="596">
        <v>69.39</v>
      </c>
      <c r="N333" s="593" t="s">
        <v>44</v>
      </c>
      <c r="O333" s="593">
        <v>25</v>
      </c>
      <c r="P333" s="144">
        <v>61072</v>
      </c>
      <c r="R333" s="165" t="e">
        <f>_xlfn.XLOOKUP(Table3[[#This Row],[SKU]],'05_Daily_Orders'!$B$2:$B$328,'05_Daily_Orders'!G:G)</f>
        <v>#VALUE!</v>
      </c>
      <c r="S333" s="166" t="str">
        <f t="shared" si="5"/>
        <v/>
      </c>
      <c r="T333" s="566" t="e">
        <f ca="1">_xludf.IFNA(_xlfn.XLOOKUP(Table3[[#This Row],[SKU]],'00_Yield_Rates'!$B$2:$B$17,'00_Yield_Rates'!$E$2:$E$17),"")</f>
        <v>#NAME?</v>
      </c>
    </row>
    <row r="334" spans="1:20">
      <c r="A334" s="591" t="s">
        <v>124</v>
      </c>
      <c r="B334" s="592">
        <v>200723</v>
      </c>
      <c r="C334" s="593" t="s">
        <v>106</v>
      </c>
      <c r="D334" s="593" t="s">
        <v>135</v>
      </c>
      <c r="E334" s="593" t="s">
        <v>24</v>
      </c>
      <c r="F334" s="593">
        <v>9.3194408602150496</v>
      </c>
      <c r="G334" s="593">
        <v>8</v>
      </c>
      <c r="H334" s="593" t="s">
        <v>139</v>
      </c>
      <c r="I334" s="593" t="s">
        <v>140</v>
      </c>
      <c r="J334" s="594" t="s">
        <v>357</v>
      </c>
      <c r="K334" s="595" t="s">
        <v>129</v>
      </c>
      <c r="L334" s="609" t="s">
        <v>130</v>
      </c>
      <c r="M334" s="596">
        <v>144.32</v>
      </c>
      <c r="N334" s="593" t="s">
        <v>44</v>
      </c>
      <c r="O334" s="593">
        <v>25</v>
      </c>
      <c r="P334" s="144" t="s">
        <v>106</v>
      </c>
      <c r="R334" s="165" t="e">
        <f>_xlfn.XLOOKUP(Table3[[#This Row],[SKU]],'05_Daily_Orders'!$B$2:$B$328,'05_Daily_Orders'!G:G)</f>
        <v>#VALUE!</v>
      </c>
      <c r="S334" s="166" t="str">
        <f t="shared" si="5"/>
        <v/>
      </c>
      <c r="T334" s="566" t="e">
        <f ca="1">_xludf.IFNA(_xlfn.XLOOKUP(Table3[[#This Row],[SKU]],'00_Yield_Rates'!$B$2:$B$17,'00_Yield_Rates'!$E$2:$E$17),"")</f>
        <v>#NAME?</v>
      </c>
    </row>
    <row r="335" spans="1:20">
      <c r="A335" s="591" t="s">
        <v>124</v>
      </c>
      <c r="B335" s="592">
        <v>200724</v>
      </c>
      <c r="C335" s="593">
        <v>61071</v>
      </c>
      <c r="D335" s="593" t="s">
        <v>135</v>
      </c>
      <c r="E335" s="593" t="s">
        <v>146</v>
      </c>
      <c r="F335" s="596">
        <v>3.70871594281089</v>
      </c>
      <c r="G335" s="593">
        <v>8</v>
      </c>
      <c r="H335" s="593" t="s">
        <v>151</v>
      </c>
      <c r="I335" s="593" t="s">
        <v>127</v>
      </c>
      <c r="J335" s="594" t="s">
        <v>363</v>
      </c>
      <c r="K335" s="598" t="s">
        <v>129</v>
      </c>
      <c r="L335" s="609" t="s">
        <v>130</v>
      </c>
      <c r="M335" s="596">
        <v>51.47</v>
      </c>
      <c r="N335" s="593" t="s">
        <v>44</v>
      </c>
      <c r="O335" s="593">
        <v>25</v>
      </c>
      <c r="P335" s="144">
        <v>61071</v>
      </c>
      <c r="R335" s="165" t="e">
        <f>_xlfn.XLOOKUP(Table3[[#This Row],[SKU]],'05_Daily_Orders'!$B$2:$B$328,'05_Daily_Orders'!G:G)</f>
        <v>#VALUE!</v>
      </c>
      <c r="S335" s="166" t="str">
        <f t="shared" si="5"/>
        <v/>
      </c>
      <c r="T335" s="566" t="e">
        <f ca="1">_xludf.IFNA(_xlfn.XLOOKUP(Table3[[#This Row],[SKU]],'00_Yield_Rates'!$B$2:$B$17,'00_Yield_Rates'!$E$2:$E$17),"")</f>
        <v>#NAME?</v>
      </c>
    </row>
    <row r="336" spans="1:20">
      <c r="A336" s="591" t="s">
        <v>124</v>
      </c>
      <c r="B336" s="592">
        <v>200725</v>
      </c>
      <c r="C336" s="593">
        <v>61050</v>
      </c>
      <c r="D336" s="593" t="s">
        <v>131</v>
      </c>
      <c r="E336" s="593" t="s">
        <v>24</v>
      </c>
      <c r="F336" s="593">
        <v>9.3194408602150496</v>
      </c>
      <c r="G336" s="593">
        <v>8</v>
      </c>
      <c r="H336" s="593" t="s">
        <v>139</v>
      </c>
      <c r="I336" s="593" t="s">
        <v>140</v>
      </c>
      <c r="J336" s="594" t="s">
        <v>364</v>
      </c>
      <c r="K336" s="609" t="s">
        <v>129</v>
      </c>
      <c r="L336" s="609" t="s">
        <v>130</v>
      </c>
      <c r="M336" s="596">
        <v>107.9</v>
      </c>
      <c r="N336" s="593" t="s">
        <v>44</v>
      </c>
      <c r="O336" s="593">
        <v>25</v>
      </c>
      <c r="P336" s="144">
        <v>61050</v>
      </c>
      <c r="R336" s="165" t="e">
        <f>_xlfn.XLOOKUP(Table3[[#This Row],[SKU]],'05_Daily_Orders'!$B$2:$B$328,'05_Daily_Orders'!G:G)</f>
        <v>#VALUE!</v>
      </c>
      <c r="S336" s="166" t="str">
        <f t="shared" si="5"/>
        <v/>
      </c>
      <c r="T336" s="566" t="e">
        <f ca="1">_xludf.IFNA(_xlfn.XLOOKUP(Table3[[#This Row],[SKU]],'00_Yield_Rates'!$B$2:$B$17,'00_Yield_Rates'!$E$2:$E$17),"")</f>
        <v>#NAME?</v>
      </c>
    </row>
    <row r="337" spans="1:20">
      <c r="A337" s="591" t="s">
        <v>124</v>
      </c>
      <c r="B337" s="592">
        <v>200726</v>
      </c>
      <c r="C337" s="593">
        <v>61077</v>
      </c>
      <c r="D337" s="593" t="s">
        <v>131</v>
      </c>
      <c r="E337" s="593" t="s">
        <v>30</v>
      </c>
      <c r="F337" s="596">
        <v>8.5537448737319206</v>
      </c>
      <c r="G337" s="593">
        <v>8</v>
      </c>
      <c r="H337" s="593" t="s">
        <v>139</v>
      </c>
      <c r="I337" s="593" t="s">
        <v>140</v>
      </c>
      <c r="J337" s="594" t="s">
        <v>365</v>
      </c>
      <c r="K337" s="609" t="s">
        <v>129</v>
      </c>
      <c r="L337" s="609" t="s">
        <v>130</v>
      </c>
      <c r="M337" s="596">
        <v>71.430000000000007</v>
      </c>
      <c r="N337" s="593" t="s">
        <v>44</v>
      </c>
      <c r="O337" s="593">
        <v>25</v>
      </c>
      <c r="P337" s="144">
        <v>61077</v>
      </c>
      <c r="R337" s="165" t="e">
        <f>_xlfn.XLOOKUP(Table3[[#This Row],[SKU]],'05_Daily_Orders'!$B$2:$B$328,'05_Daily_Orders'!G:G)</f>
        <v>#VALUE!</v>
      </c>
      <c r="S337" s="166" t="str">
        <f t="shared" si="5"/>
        <v/>
      </c>
      <c r="T337" s="566" t="e">
        <f ca="1">_xludf.IFNA(_xlfn.XLOOKUP(Table3[[#This Row],[SKU]],'00_Yield_Rates'!$B$2:$B$17,'00_Yield_Rates'!$E$2:$E$17),"")</f>
        <v>#NAME?</v>
      </c>
    </row>
    <row r="338" spans="1:20">
      <c r="A338" s="591" t="s">
        <v>124</v>
      </c>
      <c r="B338" s="592">
        <v>200727</v>
      </c>
      <c r="C338" s="593">
        <v>61072</v>
      </c>
      <c r="D338" s="593" t="s">
        <v>131</v>
      </c>
      <c r="E338" s="593" t="s">
        <v>146</v>
      </c>
      <c r="F338" s="593">
        <v>8.0399191303195003</v>
      </c>
      <c r="G338" s="593">
        <v>8</v>
      </c>
      <c r="H338" s="593" t="s">
        <v>139</v>
      </c>
      <c r="I338" s="593" t="s">
        <v>140</v>
      </c>
      <c r="J338" s="594" t="s">
        <v>366</v>
      </c>
      <c r="K338" s="609" t="s">
        <v>129</v>
      </c>
      <c r="L338" s="609" t="s">
        <v>130</v>
      </c>
      <c r="M338" s="596">
        <v>68.64</v>
      </c>
      <c r="N338" s="593" t="s">
        <v>44</v>
      </c>
      <c r="O338" s="593">
        <v>25</v>
      </c>
      <c r="P338" s="144">
        <v>61072</v>
      </c>
      <c r="R338" s="165" t="e">
        <f>_xlfn.XLOOKUP(Table3[[#This Row],[SKU]],'05_Daily_Orders'!$B$2:$B$328,'05_Daily_Orders'!G:G)</f>
        <v>#VALUE!</v>
      </c>
      <c r="S338" s="166" t="str">
        <f t="shared" si="5"/>
        <v/>
      </c>
      <c r="T338" s="566" t="e">
        <f ca="1">_xludf.IFNA(_xlfn.XLOOKUP(Table3[[#This Row],[SKU]],'00_Yield_Rates'!$B$2:$B$17,'00_Yield_Rates'!$E$2:$E$17),"")</f>
        <v>#NAME?</v>
      </c>
    </row>
    <row r="339" spans="1:20">
      <c r="A339" s="591" t="s">
        <v>124</v>
      </c>
      <c r="B339" s="592">
        <v>200736</v>
      </c>
      <c r="C339" s="593">
        <v>61077</v>
      </c>
      <c r="D339" s="593" t="s">
        <v>135</v>
      </c>
      <c r="E339" s="593" t="s">
        <v>30</v>
      </c>
      <c r="F339" s="593"/>
      <c r="G339" s="593">
        <v>8</v>
      </c>
      <c r="H339" s="601" t="s">
        <v>139</v>
      </c>
      <c r="I339" s="601" t="s">
        <v>140</v>
      </c>
      <c r="J339" s="594" t="s">
        <v>367</v>
      </c>
      <c r="K339" s="598" t="s">
        <v>129</v>
      </c>
      <c r="L339" s="609" t="s">
        <v>130</v>
      </c>
      <c r="M339" s="596">
        <v>72.03</v>
      </c>
      <c r="N339" s="593" t="s">
        <v>44</v>
      </c>
      <c r="O339" s="593">
        <v>25</v>
      </c>
      <c r="P339" s="144">
        <v>61077</v>
      </c>
      <c r="R339" s="165" t="e">
        <f>_xlfn.XLOOKUP(Table3[[#This Row],[SKU]],'05_Daily_Orders'!$B$2:$B$328,'05_Daily_Orders'!G:G)</f>
        <v>#VALUE!</v>
      </c>
      <c r="S339" s="166" t="str">
        <f t="shared" si="5"/>
        <v/>
      </c>
      <c r="T339" s="566" t="e">
        <f ca="1">_xludf.IFNA(_xlfn.XLOOKUP(Table3[[#This Row],[SKU]],'00_Yield_Rates'!$B$2:$B$17,'00_Yield_Rates'!$E$2:$E$17),"")</f>
        <v>#NAME?</v>
      </c>
    </row>
    <row r="340" spans="1:20">
      <c r="A340" s="591" t="s">
        <v>124</v>
      </c>
      <c r="B340" s="592">
        <v>200737</v>
      </c>
      <c r="C340" s="593">
        <v>61072</v>
      </c>
      <c r="D340" s="593" t="s">
        <v>135</v>
      </c>
      <c r="E340" s="593" t="s">
        <v>146</v>
      </c>
      <c r="F340" s="596"/>
      <c r="G340" s="593">
        <v>8</v>
      </c>
      <c r="H340" s="601" t="s">
        <v>139</v>
      </c>
      <c r="I340" s="593" t="s">
        <v>140</v>
      </c>
      <c r="J340" s="612" t="s">
        <v>368</v>
      </c>
      <c r="K340" s="598" t="s">
        <v>129</v>
      </c>
      <c r="L340" s="609" t="s">
        <v>130</v>
      </c>
      <c r="M340" s="596">
        <v>58.08</v>
      </c>
      <c r="N340" s="593" t="s">
        <v>44</v>
      </c>
      <c r="O340" s="593">
        <v>25</v>
      </c>
      <c r="P340" s="144">
        <v>61072</v>
      </c>
      <c r="R340" s="165" t="e">
        <f>_xlfn.XLOOKUP(Table3[[#This Row],[SKU]],'05_Daily_Orders'!$B$2:$B$328,'05_Daily_Orders'!G:G)</f>
        <v>#VALUE!</v>
      </c>
      <c r="S340" s="166" t="str">
        <f t="shared" si="5"/>
        <v/>
      </c>
      <c r="T340" s="566" t="e">
        <f ca="1">_xludf.IFNA(_xlfn.XLOOKUP(Table3[[#This Row],[SKU]],'00_Yield_Rates'!$B$2:$B$17,'00_Yield_Rates'!$E$2:$E$17),"")</f>
        <v>#NAME?</v>
      </c>
    </row>
    <row r="341" spans="1:20">
      <c r="A341" s="591" t="s">
        <v>124</v>
      </c>
      <c r="B341" s="592">
        <v>200738</v>
      </c>
      <c r="C341" s="593">
        <v>203021</v>
      </c>
      <c r="D341" s="593" t="s">
        <v>135</v>
      </c>
      <c r="E341" s="593" t="s">
        <v>153</v>
      </c>
      <c r="F341" s="593"/>
      <c r="G341" s="593">
        <v>6</v>
      </c>
      <c r="H341" s="593" t="s">
        <v>132</v>
      </c>
      <c r="I341" s="593" t="s">
        <v>127</v>
      </c>
      <c r="J341" s="594" t="s">
        <v>369</v>
      </c>
      <c r="K341" s="598" t="s">
        <v>129</v>
      </c>
      <c r="L341" s="609" t="s">
        <v>130</v>
      </c>
      <c r="M341" s="596">
        <v>130.09</v>
      </c>
      <c r="N341" s="593" t="s">
        <v>44</v>
      </c>
      <c r="O341" s="593">
        <v>25</v>
      </c>
      <c r="P341" s="144">
        <v>203021</v>
      </c>
      <c r="R341" s="165" t="e">
        <f>_xlfn.XLOOKUP(Table3[[#This Row],[SKU]],'05_Daily_Orders'!$B$2:$B$328,'05_Daily_Orders'!G:G)</f>
        <v>#VALUE!</v>
      </c>
      <c r="S341" s="166" t="str">
        <f t="shared" si="5"/>
        <v/>
      </c>
      <c r="T341" s="566" t="e">
        <f ca="1">_xludf.IFNA(_xlfn.XLOOKUP(Table3[[#This Row],[SKU]],'00_Yield_Rates'!$B$2:$B$17,'00_Yield_Rates'!$E$2:$E$17),"")</f>
        <v>#NAME?</v>
      </c>
    </row>
    <row r="342" spans="1:20">
      <c r="A342" s="591" t="s">
        <v>124</v>
      </c>
      <c r="B342" s="592">
        <v>200745</v>
      </c>
      <c r="C342" s="593" t="s">
        <v>106</v>
      </c>
      <c r="D342" s="593" t="s">
        <v>370</v>
      </c>
      <c r="E342" s="593" t="s">
        <v>24</v>
      </c>
      <c r="F342" s="593">
        <v>3.2316666666666669</v>
      </c>
      <c r="G342" s="593">
        <v>8</v>
      </c>
      <c r="H342" s="593" t="s">
        <v>151</v>
      </c>
      <c r="I342" s="593" t="s">
        <v>127</v>
      </c>
      <c r="J342" s="594" t="s">
        <v>371</v>
      </c>
      <c r="K342" s="609" t="s">
        <v>129</v>
      </c>
      <c r="L342" s="609" t="s">
        <v>130</v>
      </c>
      <c r="M342" s="596">
        <v>49.32</v>
      </c>
      <c r="N342" s="593" t="s">
        <v>44</v>
      </c>
      <c r="O342" s="593">
        <v>25</v>
      </c>
      <c r="P342" s="144" t="s">
        <v>106</v>
      </c>
      <c r="R342" s="165" t="e">
        <f>_xlfn.XLOOKUP(Table3[[#This Row],[SKU]],'05_Daily_Orders'!$B$2:$B$328,'05_Daily_Orders'!G:G)</f>
        <v>#VALUE!</v>
      </c>
      <c r="S342" s="166" t="str">
        <f t="shared" si="5"/>
        <v/>
      </c>
      <c r="T342" s="566" t="e">
        <f ca="1">_xludf.IFNA(_xlfn.XLOOKUP(Table3[[#This Row],[SKU]],'00_Yield_Rates'!$B$2:$B$17,'00_Yield_Rates'!$E$2:$E$17),"")</f>
        <v>#NAME?</v>
      </c>
    </row>
    <row r="343" spans="1:20">
      <c r="A343" s="591" t="s">
        <v>124</v>
      </c>
      <c r="B343" s="592">
        <v>200746</v>
      </c>
      <c r="C343" s="593">
        <v>61077</v>
      </c>
      <c r="D343" s="593" t="s">
        <v>370</v>
      </c>
      <c r="E343" s="593" t="s">
        <v>30</v>
      </c>
      <c r="F343" s="593">
        <v>4.1749999999999998</v>
      </c>
      <c r="G343" s="593">
        <v>8</v>
      </c>
      <c r="H343" s="593" t="s">
        <v>151</v>
      </c>
      <c r="I343" s="593" t="s">
        <v>127</v>
      </c>
      <c r="J343" s="594" t="s">
        <v>372</v>
      </c>
      <c r="K343" s="609" t="s">
        <v>129</v>
      </c>
      <c r="L343" s="609" t="s">
        <v>130</v>
      </c>
      <c r="M343" s="596">
        <v>41.88</v>
      </c>
      <c r="N343" s="593" t="s">
        <v>44</v>
      </c>
      <c r="O343" s="593">
        <v>25</v>
      </c>
      <c r="P343" s="144">
        <v>61077</v>
      </c>
      <c r="R343" s="165" t="e">
        <f>_xlfn.XLOOKUP(Table3[[#This Row],[SKU]],'05_Daily_Orders'!$B$2:$B$328,'05_Daily_Orders'!G:G)</f>
        <v>#VALUE!</v>
      </c>
      <c r="S343" s="166" t="str">
        <f t="shared" si="5"/>
        <v/>
      </c>
      <c r="T343" s="566" t="e">
        <f ca="1">_xludf.IFNA(_xlfn.XLOOKUP(Table3[[#This Row],[SKU]],'00_Yield_Rates'!$B$2:$B$17,'00_Yield_Rates'!$E$2:$E$17),"")</f>
        <v>#NAME?</v>
      </c>
    </row>
    <row r="344" spans="1:20">
      <c r="A344" s="591" t="s">
        <v>124</v>
      </c>
      <c r="B344" s="592">
        <v>200747</v>
      </c>
      <c r="C344" s="593" t="s">
        <v>122</v>
      </c>
      <c r="D344" s="593" t="s">
        <v>370</v>
      </c>
      <c r="E344" s="593" t="s">
        <v>21</v>
      </c>
      <c r="F344" s="593">
        <v>3.4783333333333331</v>
      </c>
      <c r="G344" s="593">
        <v>8</v>
      </c>
      <c r="H344" s="593" t="s">
        <v>151</v>
      </c>
      <c r="I344" s="593" t="s">
        <v>127</v>
      </c>
      <c r="J344" s="594" t="s">
        <v>373</v>
      </c>
      <c r="K344" s="609" t="s">
        <v>142</v>
      </c>
      <c r="L344" s="609" t="s">
        <v>130</v>
      </c>
      <c r="M344" s="596">
        <v>21.95</v>
      </c>
      <c r="N344" s="593" t="s">
        <v>44</v>
      </c>
      <c r="O344" s="593">
        <v>25</v>
      </c>
      <c r="P344" s="144" t="s">
        <v>122</v>
      </c>
      <c r="R344" s="165" t="e">
        <f>_xlfn.XLOOKUP(Table3[[#This Row],[SKU]],'05_Daily_Orders'!$B$2:$B$328,'05_Daily_Orders'!G:G)</f>
        <v>#VALUE!</v>
      </c>
      <c r="S344" s="166" t="str">
        <f t="shared" si="5"/>
        <v/>
      </c>
      <c r="T344" s="566" t="e">
        <f ca="1">_xludf.IFNA(_xlfn.XLOOKUP(Table3[[#This Row],[SKU]],'00_Yield_Rates'!$B$2:$B$17,'00_Yield_Rates'!$E$2:$E$17),"")</f>
        <v>#NAME?</v>
      </c>
    </row>
    <row r="345" spans="1:20">
      <c r="A345" s="591" t="s">
        <v>124</v>
      </c>
      <c r="B345" s="592">
        <v>200748</v>
      </c>
      <c r="C345" s="593">
        <v>61072</v>
      </c>
      <c r="D345" s="593" t="s">
        <v>370</v>
      </c>
      <c r="E345" s="593" t="s">
        <v>146</v>
      </c>
      <c r="F345" s="593">
        <v>3.6074999999999999</v>
      </c>
      <c r="G345" s="593">
        <v>8</v>
      </c>
      <c r="H345" s="593" t="s">
        <v>151</v>
      </c>
      <c r="I345" s="593" t="s">
        <v>127</v>
      </c>
      <c r="J345" s="594" t="s">
        <v>374</v>
      </c>
      <c r="K345" s="609" t="s">
        <v>129</v>
      </c>
      <c r="L345" s="609" t="s">
        <v>130</v>
      </c>
      <c r="M345" s="596">
        <v>42.34</v>
      </c>
      <c r="N345" s="593" t="s">
        <v>44</v>
      </c>
      <c r="O345" s="593">
        <v>25</v>
      </c>
      <c r="P345" s="144">
        <v>61071</v>
      </c>
      <c r="R345" s="165" t="e">
        <f>_xlfn.XLOOKUP(Table3[[#This Row],[SKU]],'05_Daily_Orders'!$B$2:$B$328,'05_Daily_Orders'!G:G)</f>
        <v>#VALUE!</v>
      </c>
      <c r="S345" s="166" t="str">
        <f t="shared" si="5"/>
        <v/>
      </c>
      <c r="T345" s="566" t="e">
        <f ca="1">_xludf.IFNA(_xlfn.XLOOKUP(Table3[[#This Row],[SKU]],'00_Yield_Rates'!$B$2:$B$17,'00_Yield_Rates'!$E$2:$E$17),"")</f>
        <v>#NAME?</v>
      </c>
    </row>
    <row r="346" spans="1:20">
      <c r="A346" s="591" t="s">
        <v>124</v>
      </c>
      <c r="B346" s="592">
        <v>201851</v>
      </c>
      <c r="C346" s="593">
        <v>61078</v>
      </c>
      <c r="D346" s="593" t="s">
        <v>375</v>
      </c>
      <c r="E346" s="593" t="s">
        <v>30</v>
      </c>
      <c r="F346" s="596">
        <v>20.395613023255802</v>
      </c>
      <c r="G346" s="593">
        <v>6</v>
      </c>
      <c r="H346" s="593" t="s">
        <v>143</v>
      </c>
      <c r="I346" s="593" t="s">
        <v>140</v>
      </c>
      <c r="J346" s="594" t="s">
        <v>376</v>
      </c>
      <c r="K346" s="595" t="s">
        <v>129</v>
      </c>
      <c r="L346" s="609" t="s">
        <v>377</v>
      </c>
      <c r="M346" s="596">
        <v>42.09</v>
      </c>
      <c r="N346" s="593" t="s">
        <v>37</v>
      </c>
      <c r="O346" s="593">
        <v>25</v>
      </c>
      <c r="P346" s="144">
        <v>61078</v>
      </c>
      <c r="R346" s="165" t="e">
        <f>_xlfn.XLOOKUP(Table3[[#This Row],[SKU]],'05_Daily_Orders'!$B$2:$B$328,'05_Daily_Orders'!G:G)</f>
        <v>#VALUE!</v>
      </c>
      <c r="S346" s="166" t="str">
        <f t="shared" si="5"/>
        <v/>
      </c>
      <c r="T346" s="566" t="e">
        <f ca="1">_xludf.IFNA(_xlfn.XLOOKUP(Table3[[#This Row],[SKU]],'00_Yield_Rates'!$B$2:$B$17,'00_Yield_Rates'!$E$2:$E$17),"")</f>
        <v>#NAME?</v>
      </c>
    </row>
    <row r="347" spans="1:20">
      <c r="A347" s="591" t="s">
        <v>124</v>
      </c>
      <c r="B347" s="592">
        <v>201853</v>
      </c>
      <c r="C347" s="593" t="s">
        <v>104</v>
      </c>
      <c r="D347" s="593" t="s">
        <v>375</v>
      </c>
      <c r="E347" s="593" t="s">
        <v>40</v>
      </c>
      <c r="F347" s="596">
        <v>12.9150411673895</v>
      </c>
      <c r="G347" s="593">
        <v>6</v>
      </c>
      <c r="H347" s="593" t="s">
        <v>143</v>
      </c>
      <c r="I347" s="601" t="s">
        <v>140</v>
      </c>
      <c r="J347" s="612" t="s">
        <v>378</v>
      </c>
      <c r="K347" s="595" t="s">
        <v>129</v>
      </c>
      <c r="L347" s="609" t="s">
        <v>377</v>
      </c>
      <c r="M347" s="596">
        <v>62.66</v>
      </c>
      <c r="N347" s="593" t="s">
        <v>44</v>
      </c>
      <c r="O347" s="593">
        <v>25</v>
      </c>
      <c r="P347" s="144" t="s">
        <v>104</v>
      </c>
      <c r="R347" s="165" t="e">
        <f>_xlfn.XLOOKUP(Table3[[#This Row],[SKU]],'05_Daily_Orders'!$B$2:$B$328,'05_Daily_Orders'!G:G)</f>
        <v>#VALUE!</v>
      </c>
      <c r="S347" s="166" t="str">
        <f t="shared" si="5"/>
        <v/>
      </c>
      <c r="T347" s="566" t="e">
        <f ca="1">_xludf.IFNA(_xlfn.XLOOKUP(Table3[[#This Row],[SKU]],'00_Yield_Rates'!$B$2:$B$17,'00_Yield_Rates'!$E$2:$E$17),"")</f>
        <v>#NAME?</v>
      </c>
    </row>
    <row r="348" spans="1:20">
      <c r="A348" s="591" t="s">
        <v>124</v>
      </c>
      <c r="B348" s="592">
        <v>201854</v>
      </c>
      <c r="C348" s="593" t="s">
        <v>120</v>
      </c>
      <c r="D348" s="593" t="s">
        <v>375</v>
      </c>
      <c r="E348" s="593" t="s">
        <v>21</v>
      </c>
      <c r="F348" s="593">
        <v>11.996411544824999</v>
      </c>
      <c r="G348" s="593">
        <v>6</v>
      </c>
      <c r="H348" s="593" t="s">
        <v>143</v>
      </c>
      <c r="I348" s="593" t="s">
        <v>140</v>
      </c>
      <c r="J348" s="612" t="s">
        <v>379</v>
      </c>
      <c r="K348" s="595" t="s">
        <v>142</v>
      </c>
      <c r="L348" s="609" t="s">
        <v>377</v>
      </c>
      <c r="M348" s="596">
        <v>22.76</v>
      </c>
      <c r="N348" s="593" t="s">
        <v>37</v>
      </c>
      <c r="O348" s="593">
        <v>25</v>
      </c>
      <c r="P348" s="144" t="s">
        <v>120</v>
      </c>
      <c r="R348" s="165" t="e">
        <f>_xlfn.XLOOKUP(Table3[[#This Row],[SKU]],'05_Daily_Orders'!$B$2:$B$328,'05_Daily_Orders'!G:G)</f>
        <v>#VALUE!</v>
      </c>
      <c r="S348" s="166" t="str">
        <f t="shared" si="5"/>
        <v/>
      </c>
      <c r="T348" s="566" t="e">
        <f ca="1">_xludf.IFNA(_xlfn.XLOOKUP(Table3[[#This Row],[SKU]],'00_Yield_Rates'!$B$2:$B$17,'00_Yield_Rates'!$E$2:$E$17),"")</f>
        <v>#NAME?</v>
      </c>
    </row>
    <row r="349" spans="1:20">
      <c r="A349" s="591" t="s">
        <v>124</v>
      </c>
      <c r="B349" s="592">
        <v>201855</v>
      </c>
      <c r="C349" s="593">
        <v>61072</v>
      </c>
      <c r="D349" s="593" t="s">
        <v>375</v>
      </c>
      <c r="E349" s="593" t="s">
        <v>146</v>
      </c>
      <c r="F349" s="593">
        <v>16.608195976638498</v>
      </c>
      <c r="G349" s="593">
        <v>6</v>
      </c>
      <c r="H349" s="593" t="s">
        <v>143</v>
      </c>
      <c r="I349" s="593" t="s">
        <v>140</v>
      </c>
      <c r="J349" s="594" t="s">
        <v>380</v>
      </c>
      <c r="K349" s="595" t="s">
        <v>129</v>
      </c>
      <c r="L349" s="609" t="s">
        <v>377</v>
      </c>
      <c r="M349" s="596">
        <v>45.6</v>
      </c>
      <c r="N349" s="593" t="s">
        <v>37</v>
      </c>
      <c r="O349" s="593">
        <v>25</v>
      </c>
      <c r="P349" s="144">
        <v>61072</v>
      </c>
      <c r="R349" s="165" t="e">
        <f>_xlfn.XLOOKUP(Table3[[#This Row],[SKU]],'05_Daily_Orders'!$B$2:$B$328,'05_Daily_Orders'!G:G)</f>
        <v>#VALUE!</v>
      </c>
      <c r="S349" s="166" t="str">
        <f t="shared" si="5"/>
        <v/>
      </c>
      <c r="T349" s="566" t="e">
        <f ca="1">_xludf.IFNA(_xlfn.XLOOKUP(Table3[[#This Row],[SKU]],'00_Yield_Rates'!$B$2:$B$17,'00_Yield_Rates'!$E$2:$E$17),"")</f>
        <v>#NAME?</v>
      </c>
    </row>
    <row r="350" spans="1:20">
      <c r="A350" s="591" t="s">
        <v>124</v>
      </c>
      <c r="B350" s="600">
        <v>201856</v>
      </c>
      <c r="C350" s="593">
        <v>61014</v>
      </c>
      <c r="D350" s="593" t="s">
        <v>375</v>
      </c>
      <c r="E350" s="593" t="s">
        <v>34</v>
      </c>
      <c r="F350" s="596">
        <v>13.193755725190799</v>
      </c>
      <c r="G350" s="601">
        <v>6</v>
      </c>
      <c r="H350" s="593" t="s">
        <v>143</v>
      </c>
      <c r="I350" s="601" t="s">
        <v>140</v>
      </c>
      <c r="J350" s="602" t="s">
        <v>381</v>
      </c>
      <c r="K350" s="595" t="s">
        <v>142</v>
      </c>
      <c r="L350" s="598" t="s">
        <v>377</v>
      </c>
      <c r="M350" s="599">
        <v>28.42</v>
      </c>
      <c r="N350" s="606" t="s">
        <v>37</v>
      </c>
      <c r="O350" s="593">
        <v>25</v>
      </c>
      <c r="P350" s="144">
        <v>61014</v>
      </c>
      <c r="R350" s="165" t="e">
        <f>_xlfn.XLOOKUP(Table3[[#This Row],[SKU]],'05_Daily_Orders'!$B$2:$B$328,'05_Daily_Orders'!G:G)</f>
        <v>#VALUE!</v>
      </c>
      <c r="S350" s="166" t="str">
        <f t="shared" si="5"/>
        <v/>
      </c>
      <c r="T350" s="566" t="e">
        <f ca="1">_xludf.IFNA(_xlfn.XLOOKUP(Table3[[#This Row],[SKU]],'00_Yield_Rates'!$B$2:$B$17,'00_Yield_Rates'!$E$2:$E$17),"")</f>
        <v>#NAME?</v>
      </c>
    </row>
    <row r="351" spans="1:20">
      <c r="A351" s="591" t="s">
        <v>124</v>
      </c>
      <c r="B351" s="600">
        <v>207101</v>
      </c>
      <c r="C351" s="593">
        <v>61077</v>
      </c>
      <c r="D351" s="593" t="s">
        <v>125</v>
      </c>
      <c r="E351" s="593" t="s">
        <v>30</v>
      </c>
      <c r="F351" s="596"/>
      <c r="G351" s="601">
        <v>8</v>
      </c>
      <c r="H351" s="593" t="s">
        <v>139</v>
      </c>
      <c r="I351" s="601" t="s">
        <v>144</v>
      </c>
      <c r="J351" s="602" t="s">
        <v>382</v>
      </c>
      <c r="K351" s="598" t="s">
        <v>129</v>
      </c>
      <c r="L351" s="598" t="s">
        <v>227</v>
      </c>
      <c r="M351" s="599">
        <v>68.58</v>
      </c>
      <c r="N351" s="606" t="s">
        <v>44</v>
      </c>
      <c r="O351" s="593">
        <v>25</v>
      </c>
      <c r="P351" s="144">
        <v>61077</v>
      </c>
      <c r="R351" s="165" t="e">
        <f>_xlfn.XLOOKUP(Table3[[#This Row],[SKU]],'05_Daily_Orders'!$B$2:$B$328,'05_Daily_Orders'!G:G)</f>
        <v>#VALUE!</v>
      </c>
      <c r="S351" s="166" t="str">
        <f t="shared" si="5"/>
        <v/>
      </c>
      <c r="T351" s="566" t="e">
        <f ca="1">_xludf.IFNA(_xlfn.XLOOKUP(Table3[[#This Row],[SKU]],'00_Yield_Rates'!$B$2:$B$17,'00_Yield_Rates'!$E$2:$E$17),"")</f>
        <v>#NAME?</v>
      </c>
    </row>
    <row r="352" spans="1:20">
      <c r="A352" s="591" t="s">
        <v>124</v>
      </c>
      <c r="B352" s="592">
        <v>207102</v>
      </c>
      <c r="C352" s="593">
        <v>61072</v>
      </c>
      <c r="D352" s="593" t="s">
        <v>125</v>
      </c>
      <c r="E352" s="593" t="s">
        <v>146</v>
      </c>
      <c r="F352" s="596"/>
      <c r="G352" s="601">
        <v>8</v>
      </c>
      <c r="H352" s="593" t="s">
        <v>139</v>
      </c>
      <c r="I352" s="601" t="s">
        <v>144</v>
      </c>
      <c r="J352" s="602" t="s">
        <v>383</v>
      </c>
      <c r="K352" s="598" t="s">
        <v>129</v>
      </c>
      <c r="L352" s="598" t="s">
        <v>227</v>
      </c>
      <c r="M352" s="599">
        <v>67.900000000000006</v>
      </c>
      <c r="N352" s="597" t="s">
        <v>44</v>
      </c>
      <c r="O352" s="593">
        <v>25</v>
      </c>
      <c r="P352" s="144">
        <v>61072</v>
      </c>
      <c r="R352" s="165" t="e">
        <f>_xlfn.XLOOKUP(Table3[[#This Row],[SKU]],'05_Daily_Orders'!$B$2:$B$328,'05_Daily_Orders'!G:G)</f>
        <v>#VALUE!</v>
      </c>
      <c r="S352" s="166" t="str">
        <f t="shared" si="5"/>
        <v/>
      </c>
      <c r="T352" s="566" t="e">
        <f ca="1">_xludf.IFNA(_xlfn.XLOOKUP(Table3[[#This Row],[SKU]],'00_Yield_Rates'!$B$2:$B$17,'00_Yield_Rates'!$E$2:$E$17),"")</f>
        <v>#NAME?</v>
      </c>
    </row>
    <row r="353" spans="1:20">
      <c r="A353" s="591" t="s">
        <v>124</v>
      </c>
      <c r="B353" s="592">
        <v>207103</v>
      </c>
      <c r="C353" s="593">
        <v>203136</v>
      </c>
      <c r="D353" s="593" t="s">
        <v>125</v>
      </c>
      <c r="E353" s="593" t="s">
        <v>153</v>
      </c>
      <c r="F353" s="596"/>
      <c r="G353" s="601">
        <v>6</v>
      </c>
      <c r="H353" s="593" t="s">
        <v>132</v>
      </c>
      <c r="I353" s="601" t="s">
        <v>127</v>
      </c>
      <c r="J353" s="602" t="s">
        <v>384</v>
      </c>
      <c r="K353" s="598" t="s">
        <v>129</v>
      </c>
      <c r="L353" s="598" t="s">
        <v>227</v>
      </c>
      <c r="M353" s="599">
        <v>133.91999999999999</v>
      </c>
      <c r="N353" s="597" t="s">
        <v>44</v>
      </c>
      <c r="O353" s="593">
        <v>25</v>
      </c>
      <c r="P353" s="144">
        <v>203136</v>
      </c>
      <c r="R353" s="165" t="e">
        <f>_xlfn.XLOOKUP(Table3[[#This Row],[SKU]],'05_Daily_Orders'!$B$2:$B$328,'05_Daily_Orders'!G:G)</f>
        <v>#VALUE!</v>
      </c>
      <c r="S353" s="166" t="str">
        <f t="shared" si="5"/>
        <v/>
      </c>
      <c r="T353" s="566" t="e">
        <f ca="1">_xludf.IFNA(_xlfn.XLOOKUP(Table3[[#This Row],[SKU]],'00_Yield_Rates'!$B$2:$B$17,'00_Yield_Rates'!$E$2:$E$17),"")</f>
        <v>#NAME?</v>
      </c>
    </row>
    <row r="354" spans="1:20">
      <c r="A354" s="591" t="s">
        <v>124</v>
      </c>
      <c r="B354" s="592">
        <v>207104</v>
      </c>
      <c r="C354" s="593">
        <v>61050</v>
      </c>
      <c r="D354" s="593" t="s">
        <v>125</v>
      </c>
      <c r="E354" s="593" t="s">
        <v>24</v>
      </c>
      <c r="F354" s="596"/>
      <c r="G354" s="601">
        <v>8</v>
      </c>
      <c r="H354" s="593" t="s">
        <v>126</v>
      </c>
      <c r="I354" s="601" t="s">
        <v>140</v>
      </c>
      <c r="J354" s="602" t="s">
        <v>385</v>
      </c>
      <c r="K354" s="595" t="s">
        <v>129</v>
      </c>
      <c r="L354" s="595" t="s">
        <v>130</v>
      </c>
      <c r="M354" s="596">
        <v>97.91</v>
      </c>
      <c r="N354" s="597" t="s">
        <v>44</v>
      </c>
      <c r="O354" s="593">
        <v>25</v>
      </c>
      <c r="P354" s="144">
        <v>61050</v>
      </c>
      <c r="R354" s="165" t="e">
        <f>_xlfn.XLOOKUP(Table3[[#This Row],[SKU]],'05_Daily_Orders'!$B$2:$B$328,'05_Daily_Orders'!G:G)</f>
        <v>#VALUE!</v>
      </c>
      <c r="S354" s="166" t="str">
        <f t="shared" si="5"/>
        <v/>
      </c>
      <c r="T354" s="566" t="e">
        <f ca="1">_xludf.IFNA(_xlfn.XLOOKUP(Table3[[#This Row],[SKU]],'00_Yield_Rates'!$B$2:$B$17,'00_Yield_Rates'!$E$2:$E$17),"")</f>
        <v>#NAME?</v>
      </c>
    </row>
    <row r="355" spans="1:20">
      <c r="A355" s="591" t="s">
        <v>124</v>
      </c>
      <c r="B355" s="592">
        <v>207127</v>
      </c>
      <c r="C355" s="593">
        <v>61014</v>
      </c>
      <c r="D355" s="593" t="s">
        <v>125</v>
      </c>
      <c r="E355" s="593" t="s">
        <v>34</v>
      </c>
      <c r="F355" s="596"/>
      <c r="G355" s="601">
        <v>8</v>
      </c>
      <c r="H355" s="593" t="s">
        <v>198</v>
      </c>
      <c r="I355" s="601" t="s">
        <v>140</v>
      </c>
      <c r="J355" s="602" t="s">
        <v>386</v>
      </c>
      <c r="K355" s="595" t="s">
        <v>142</v>
      </c>
      <c r="L355" s="595" t="s">
        <v>130</v>
      </c>
      <c r="M355" s="596">
        <v>29.34</v>
      </c>
      <c r="N355" s="597" t="s">
        <v>44</v>
      </c>
      <c r="O355" s="593">
        <v>25</v>
      </c>
      <c r="P355" s="144">
        <v>61014</v>
      </c>
      <c r="R355" s="165" t="e">
        <f>_xlfn.XLOOKUP(Table3[[#This Row],[SKU]],'05_Daily_Orders'!$B$2:$B$328,'05_Daily_Orders'!G:G)</f>
        <v>#VALUE!</v>
      </c>
      <c r="S355" s="166" t="str">
        <f t="shared" si="5"/>
        <v/>
      </c>
      <c r="T355" s="566" t="e">
        <f ca="1">_xludf.IFNA(_xlfn.XLOOKUP(Table3[[#This Row],[SKU]],'00_Yield_Rates'!$B$2:$B$17,'00_Yield_Rates'!$E$2:$E$17),"")</f>
        <v>#NAME?</v>
      </c>
    </row>
    <row r="356" spans="1:20">
      <c r="A356" s="591" t="s">
        <v>124</v>
      </c>
      <c r="B356" s="592">
        <v>207128</v>
      </c>
      <c r="C356" s="593">
        <v>203021</v>
      </c>
      <c r="D356" s="593" t="s">
        <v>125</v>
      </c>
      <c r="E356" s="593" t="s">
        <v>153</v>
      </c>
      <c r="F356" s="596"/>
      <c r="G356" s="601">
        <v>6</v>
      </c>
      <c r="H356" s="593" t="s">
        <v>132</v>
      </c>
      <c r="I356" s="601" t="s">
        <v>127</v>
      </c>
      <c r="J356" s="602" t="s">
        <v>387</v>
      </c>
      <c r="K356" s="598" t="s">
        <v>129</v>
      </c>
      <c r="L356" s="595" t="s">
        <v>130</v>
      </c>
      <c r="M356" s="596">
        <v>146.55000000000001</v>
      </c>
      <c r="N356" s="597"/>
      <c r="O356" s="593">
        <v>25</v>
      </c>
      <c r="P356" s="144">
        <v>203021</v>
      </c>
      <c r="R356" s="165" t="e">
        <f>_xlfn.XLOOKUP(Table3[[#This Row],[SKU]],'05_Daily_Orders'!$B$2:$B$328,'05_Daily_Orders'!G:G)</f>
        <v>#VALUE!</v>
      </c>
      <c r="S356" s="166" t="str">
        <f t="shared" si="5"/>
        <v/>
      </c>
      <c r="T356" s="566" t="e">
        <f ca="1">_xludf.IFNA(_xlfn.XLOOKUP(Table3[[#This Row],[SKU]],'00_Yield_Rates'!$B$2:$B$17,'00_Yield_Rates'!$E$2:$E$17),"")</f>
        <v>#NAME?</v>
      </c>
    </row>
    <row r="357" spans="1:20">
      <c r="A357" s="613" t="s">
        <v>388</v>
      </c>
      <c r="B357" s="614">
        <v>2050</v>
      </c>
      <c r="C357" s="615"/>
      <c r="D357" s="615"/>
      <c r="E357" s="615"/>
      <c r="F357" s="615"/>
      <c r="G357" s="615"/>
      <c r="H357" s="615"/>
      <c r="I357" s="615"/>
      <c r="J357" s="616" t="s">
        <v>389</v>
      </c>
      <c r="K357" s="617"/>
      <c r="L357" s="617"/>
      <c r="M357" s="618"/>
      <c r="N357" s="615"/>
      <c r="O357" s="615"/>
      <c r="P357" s="144"/>
      <c r="R357" s="165">
        <f>_xlfn.XLOOKUP(Table3[[#This Row],[SKU]],'04_Bagging_Order'!$H$5:$H$25,'04_Bagging_Order'!$K$5:$K$25)</f>
        <v>140</v>
      </c>
      <c r="S357" s="165"/>
      <c r="T357" s="566" t="e">
        <f ca="1">_xludf.IFNA(_xlfn.XLOOKUP(Table3[[#This Row],[SKU]],'00_Yield_Rates'!$B$2:$B$17,'00_Yield_Rates'!$E$2:$E$17),"")</f>
        <v>#NAME?</v>
      </c>
    </row>
    <row r="358" spans="1:20">
      <c r="A358" s="613" t="s">
        <v>388</v>
      </c>
      <c r="B358" s="614">
        <v>2051</v>
      </c>
      <c r="C358" s="615"/>
      <c r="D358" s="615"/>
      <c r="E358" s="615"/>
      <c r="F358" s="615"/>
      <c r="G358" s="615"/>
      <c r="H358" s="615"/>
      <c r="I358" s="615"/>
      <c r="J358" s="616" t="s">
        <v>390</v>
      </c>
      <c r="K358" s="617"/>
      <c r="L358" s="617"/>
      <c r="M358" s="618"/>
      <c r="N358" s="615"/>
      <c r="O358" s="615"/>
      <c r="P358" s="144"/>
      <c r="R358" s="165">
        <f>_xlfn.XLOOKUP(Table3[[#This Row],[SKU]],'04_Bagging_Order'!$H$5:$H$25,'04_Bagging_Order'!$K$5:$K$25)</f>
        <v>380</v>
      </c>
      <c r="S358" s="165"/>
      <c r="T358" s="566" t="e">
        <f ca="1">_xludf.IFNA(_xlfn.XLOOKUP(Table3[[#This Row],[SKU]],'00_Yield_Rates'!$B$2:$B$17,'00_Yield_Rates'!$E$2:$E$17),"")</f>
        <v>#NAME?</v>
      </c>
    </row>
    <row r="359" spans="1:20">
      <c r="A359" s="613" t="s">
        <v>388</v>
      </c>
      <c r="B359" s="614">
        <v>2081</v>
      </c>
      <c r="C359" s="615"/>
      <c r="D359" s="615"/>
      <c r="E359" s="615"/>
      <c r="F359" s="615"/>
      <c r="G359" s="615"/>
      <c r="H359" s="615"/>
      <c r="I359" s="615"/>
      <c r="J359" s="616" t="s">
        <v>391</v>
      </c>
      <c r="K359" s="617"/>
      <c r="L359" s="617"/>
      <c r="M359" s="618"/>
      <c r="N359" s="615"/>
      <c r="O359" s="615"/>
      <c r="P359" s="144"/>
      <c r="R359" s="165">
        <f>_xlfn.XLOOKUP(Table3[[#This Row],[SKU]],'04_Bagging_Order'!$H$5:$H$25,'04_Bagging_Order'!$K$5:$K$25)</f>
        <v>225</v>
      </c>
      <c r="S359" s="165"/>
      <c r="T359" s="566" t="e">
        <f ca="1">_xludf.IFNA(_xlfn.XLOOKUP(Table3[[#This Row],[SKU]],'00_Yield_Rates'!$B$2:$B$17,'00_Yield_Rates'!$E$2:$E$17),"")</f>
        <v>#NAME?</v>
      </c>
    </row>
    <row r="360" spans="1:20">
      <c r="A360" s="613" t="s">
        <v>388</v>
      </c>
      <c r="B360" s="614">
        <v>7113</v>
      </c>
      <c r="C360" s="615"/>
      <c r="D360" s="615"/>
      <c r="E360" s="615"/>
      <c r="F360" s="615"/>
      <c r="G360" s="615"/>
      <c r="H360" s="615"/>
      <c r="I360" s="615"/>
      <c r="J360" s="616"/>
      <c r="K360" s="617"/>
      <c r="L360" s="617"/>
      <c r="M360" s="618"/>
      <c r="N360" s="615"/>
      <c r="O360" s="615"/>
      <c r="P360" s="144"/>
      <c r="R360" s="165">
        <f>_xlfn.XLOOKUP(Table3[[#This Row],[SKU]],'04_Bagging_Order'!$H$5:$H$25,'04_Bagging_Order'!$K$5:$K$25)</f>
        <v>0</v>
      </c>
      <c r="S360" s="165"/>
      <c r="T360" s="566" t="e">
        <f ca="1">_xludf.IFNA(_xlfn.XLOOKUP(Table3[[#This Row],[SKU]],'00_Yield_Rates'!$B$2:$B$17,'00_Yield_Rates'!$E$2:$E$17),"")</f>
        <v>#NAME?</v>
      </c>
    </row>
    <row r="361" spans="1:20">
      <c r="A361" s="613" t="s">
        <v>388</v>
      </c>
      <c r="B361" s="614">
        <v>200179</v>
      </c>
      <c r="C361" s="615"/>
      <c r="D361" s="615"/>
      <c r="E361" s="615"/>
      <c r="F361" s="615"/>
      <c r="G361" s="615"/>
      <c r="H361" s="615"/>
      <c r="I361" s="615"/>
      <c r="J361" s="616" t="s">
        <v>392</v>
      </c>
      <c r="K361" s="617"/>
      <c r="L361" s="617"/>
      <c r="M361" s="618"/>
      <c r="N361" s="615"/>
      <c r="O361" s="615"/>
      <c r="P361" s="144"/>
      <c r="R361" s="165">
        <f>_xlfn.XLOOKUP(Table3[[#This Row],[SKU]],'04_Bagging_Order'!$H$5:$H$25,'04_Bagging_Order'!$K$5:$K$25)</f>
        <v>0</v>
      </c>
      <c r="S361" s="165"/>
      <c r="T361" s="566" t="e">
        <f ca="1">_xludf.IFNA(_xlfn.XLOOKUP(Table3[[#This Row],[SKU]],'00_Yield_Rates'!$B$2:$B$17,'00_Yield_Rates'!$E$2:$E$17),"")</f>
        <v>#NAME?</v>
      </c>
    </row>
    <row r="362" spans="1:20">
      <c r="A362" s="613" t="s">
        <v>388</v>
      </c>
      <c r="B362" s="614">
        <v>200182</v>
      </c>
      <c r="C362" s="615"/>
      <c r="D362" s="615"/>
      <c r="E362" s="615"/>
      <c r="F362" s="615"/>
      <c r="G362" s="615"/>
      <c r="H362" s="615"/>
      <c r="I362" s="615"/>
      <c r="J362" s="616" t="s">
        <v>393</v>
      </c>
      <c r="K362" s="617"/>
      <c r="L362" s="617"/>
      <c r="M362" s="618"/>
      <c r="N362" s="615"/>
      <c r="O362" s="615"/>
      <c r="P362" s="144"/>
      <c r="R362" s="165">
        <f>_xlfn.XLOOKUP(Table3[[#This Row],[SKU]],'04_Bagging_Order'!$H$5:$H$25,'04_Bagging_Order'!$K$5:$K$25)</f>
        <v>75</v>
      </c>
      <c r="S362" s="165"/>
      <c r="T362" s="566" t="e">
        <f ca="1">_xludf.IFNA(_xlfn.XLOOKUP(Table3[[#This Row],[SKU]],'00_Yield_Rates'!$B$2:$B$17,'00_Yield_Rates'!$E$2:$E$17),"")</f>
        <v>#NAME?</v>
      </c>
    </row>
    <row r="363" spans="1:20">
      <c r="A363" s="613" t="s">
        <v>388</v>
      </c>
      <c r="B363" s="614">
        <v>200183</v>
      </c>
      <c r="C363" s="615"/>
      <c r="D363" s="615"/>
      <c r="E363" s="615"/>
      <c r="F363" s="615"/>
      <c r="G363" s="615"/>
      <c r="H363" s="615"/>
      <c r="I363" s="615"/>
      <c r="J363" s="616" t="s">
        <v>392</v>
      </c>
      <c r="K363" s="617"/>
      <c r="L363" s="617"/>
      <c r="M363" s="618"/>
      <c r="N363" s="615"/>
      <c r="O363" s="615"/>
      <c r="P363" s="144"/>
      <c r="R363" s="165">
        <f>_xlfn.XLOOKUP(Table3[[#This Row],[SKU]],'04_Bagging_Order'!$H$5:$H$25,'04_Bagging_Order'!$K$5:$K$25)</f>
        <v>97</v>
      </c>
      <c r="S363" s="165"/>
      <c r="T363" s="566" t="e">
        <f ca="1">_xludf.IFNA(_xlfn.XLOOKUP(Table3[[#This Row],[SKU]],'00_Yield_Rates'!$B$2:$B$17,'00_Yield_Rates'!$E$2:$E$17),"")</f>
        <v>#NAME?</v>
      </c>
    </row>
    <row r="364" spans="1:20">
      <c r="A364" s="613" t="s">
        <v>388</v>
      </c>
      <c r="B364" s="614">
        <v>200184</v>
      </c>
      <c r="C364" s="615"/>
      <c r="D364" s="615"/>
      <c r="E364" s="615"/>
      <c r="F364" s="615"/>
      <c r="G364" s="615"/>
      <c r="H364" s="615"/>
      <c r="I364" s="615"/>
      <c r="J364" s="616" t="s">
        <v>394</v>
      </c>
      <c r="K364" s="617"/>
      <c r="L364" s="617"/>
      <c r="M364" s="618"/>
      <c r="N364" s="615"/>
      <c r="O364" s="615"/>
      <c r="P364" s="144"/>
      <c r="R364" s="165">
        <f>_xlfn.XLOOKUP(Table3[[#This Row],[SKU]],'04_Bagging_Order'!$H$5:$H$25,'04_Bagging_Order'!$K$5:$K$25)</f>
        <v>39</v>
      </c>
      <c r="S364" s="165"/>
      <c r="T364" s="566" t="e">
        <f ca="1">_xludf.IFNA(_xlfn.XLOOKUP(Table3[[#This Row],[SKU]],'00_Yield_Rates'!$B$2:$B$17,'00_Yield_Rates'!$E$2:$E$17),"")</f>
        <v>#NAME?</v>
      </c>
    </row>
    <row r="365" spans="1:20">
      <c r="A365" s="613" t="s">
        <v>388</v>
      </c>
      <c r="B365" s="614">
        <v>2511</v>
      </c>
      <c r="C365" s="615"/>
      <c r="D365" s="615"/>
      <c r="E365" s="615"/>
      <c r="F365" s="615"/>
      <c r="G365" s="615"/>
      <c r="H365" s="615"/>
      <c r="I365" s="615"/>
      <c r="J365" s="616" t="s">
        <v>395</v>
      </c>
      <c r="K365" s="617"/>
      <c r="L365" s="617"/>
      <c r="M365" s="618"/>
      <c r="N365" s="615"/>
      <c r="O365" s="615"/>
      <c r="P365" s="144"/>
      <c r="R365" s="165">
        <f>_xlfn.XLOOKUP(Table3[[#This Row],[SKU]],'04_Bagging_Order'!$H$5:$H$25,'04_Bagging_Order'!$K$5:$K$25)</f>
        <v>0</v>
      </c>
      <c r="S365" s="165"/>
      <c r="T365" s="566" t="e">
        <f ca="1">_xludf.IFNA(_xlfn.XLOOKUP(Table3[[#This Row],[SKU]],'00_Yield_Rates'!$B$2:$B$17,'00_Yield_Rates'!$E$2:$E$17),"")</f>
        <v>#NAME?</v>
      </c>
    </row>
    <row r="366" spans="1:20">
      <c r="A366" s="613" t="s">
        <v>388</v>
      </c>
      <c r="B366" s="614">
        <v>1077</v>
      </c>
      <c r="C366" s="615"/>
      <c r="D366" s="615"/>
      <c r="E366" s="615"/>
      <c r="F366" s="615"/>
      <c r="G366" s="615"/>
      <c r="H366" s="615"/>
      <c r="I366" s="615"/>
      <c r="J366" s="616"/>
      <c r="K366" s="617"/>
      <c r="L366" s="617"/>
      <c r="M366" s="618"/>
      <c r="N366" s="615"/>
      <c r="O366" s="615"/>
      <c r="P366" s="144"/>
      <c r="R366" s="165">
        <f>_xlfn.XLOOKUP(Table3[[#This Row],[SKU]],'04_Bagging_Order'!$H$5:$H$25,'04_Bagging_Order'!$K$5:$K$25)</f>
        <v>0</v>
      </c>
      <c r="S366" s="165"/>
      <c r="T366" s="566" t="e">
        <f ca="1">_xludf.IFNA(_xlfn.XLOOKUP(Table3[[#This Row],[SKU]],'00_Yield_Rates'!$B$2:$B$17,'00_Yield_Rates'!$E$2:$E$17),"")</f>
        <v>#NAME?</v>
      </c>
    </row>
    <row r="367" spans="1:20">
      <c r="A367" s="613" t="s">
        <v>388</v>
      </c>
      <c r="B367" s="614">
        <v>1078</v>
      </c>
      <c r="C367" s="615"/>
      <c r="D367" s="615"/>
      <c r="E367" s="615"/>
      <c r="F367" s="615"/>
      <c r="G367" s="615"/>
      <c r="H367" s="615"/>
      <c r="I367" s="615"/>
      <c r="J367" s="616"/>
      <c r="K367" s="617"/>
      <c r="L367" s="617"/>
      <c r="M367" s="618"/>
      <c r="N367" s="615"/>
      <c r="O367" s="615"/>
      <c r="P367" s="144"/>
      <c r="R367" s="165">
        <f>_xlfn.XLOOKUP(Table3[[#This Row],[SKU]],'04_Bagging_Order'!$H$5:$H$25,'04_Bagging_Order'!$K$5:$K$25)</f>
        <v>0</v>
      </c>
      <c r="S367" s="165"/>
      <c r="T367" s="566" t="e">
        <f ca="1">_xludf.IFNA(_xlfn.XLOOKUP(Table3[[#This Row],[SKU]],'00_Yield_Rates'!$B$2:$B$17,'00_Yield_Rates'!$E$2:$E$17),"")</f>
        <v>#NAME?</v>
      </c>
    </row>
    <row r="368" spans="1:20">
      <c r="A368" s="613" t="s">
        <v>388</v>
      </c>
      <c r="B368" s="614">
        <v>1080</v>
      </c>
      <c r="C368" s="615"/>
      <c r="D368" s="615"/>
      <c r="E368" s="615"/>
      <c r="F368" s="615"/>
      <c r="G368" s="615"/>
      <c r="H368" s="615"/>
      <c r="I368" s="615"/>
      <c r="J368" s="616"/>
      <c r="K368" s="617"/>
      <c r="L368" s="617"/>
      <c r="M368" s="618"/>
      <c r="N368" s="615"/>
      <c r="O368" s="615"/>
      <c r="P368" s="144"/>
      <c r="R368" s="165">
        <f>_xlfn.XLOOKUP(Table3[[#This Row],[SKU]],'04_Bagging_Order'!$H$5:$H$25,'04_Bagging_Order'!$K$5:$K$25)</f>
        <v>0</v>
      </c>
      <c r="S368" s="165"/>
      <c r="T368" s="566" t="e">
        <f ca="1">_xludf.IFNA(_xlfn.XLOOKUP(Table3[[#This Row],[SKU]],'00_Yield_Rates'!$B$2:$B$17,'00_Yield_Rates'!$E$2:$E$17),"")</f>
        <v>#NAME?</v>
      </c>
    </row>
    <row r="369" spans="1:20">
      <c r="A369" s="613" t="s">
        <v>388</v>
      </c>
      <c r="B369" s="614">
        <v>1574</v>
      </c>
      <c r="C369" s="615"/>
      <c r="D369" s="615"/>
      <c r="E369" s="615"/>
      <c r="F369" s="615"/>
      <c r="G369" s="615"/>
      <c r="H369" s="615"/>
      <c r="I369" s="615"/>
      <c r="J369" s="616"/>
      <c r="K369" s="617"/>
      <c r="L369" s="617"/>
      <c r="M369" s="618"/>
      <c r="N369" s="615"/>
      <c r="O369" s="615"/>
      <c r="P369" s="144"/>
      <c r="R369" s="165">
        <f>_xlfn.XLOOKUP(Table3[[#This Row],[SKU]],'04_Bagging_Order'!$H$5:$H$25,'04_Bagging_Order'!$K$5:$K$25)</f>
        <v>0</v>
      </c>
      <c r="S369" s="165"/>
      <c r="T369" s="566" t="e">
        <f ca="1">_xludf.IFNA(_xlfn.XLOOKUP(Table3[[#This Row],[SKU]],'00_Yield_Rates'!$B$2:$B$17,'00_Yield_Rates'!$E$2:$E$17),"")</f>
        <v>#NAME?</v>
      </c>
    </row>
    <row r="370" spans="1:20">
      <c r="A370" s="613" t="s">
        <v>388</v>
      </c>
      <c r="B370" s="614">
        <v>2112</v>
      </c>
      <c r="C370" s="615"/>
      <c r="D370" s="615"/>
      <c r="E370" s="615"/>
      <c r="F370" s="615"/>
      <c r="G370" s="615"/>
      <c r="H370" s="615"/>
      <c r="I370" s="615"/>
      <c r="J370" s="616" t="s">
        <v>396</v>
      </c>
      <c r="K370" s="617"/>
      <c r="L370" s="617"/>
      <c r="M370" s="618"/>
      <c r="N370" s="615"/>
      <c r="O370" s="615"/>
      <c r="P370" s="144"/>
      <c r="R370" s="165">
        <f>_xlfn.XLOOKUP(Table3[[#This Row],[SKU]],'04_Bagging_Order'!$H$5:$H$25,'04_Bagging_Order'!$K$5:$K$25)</f>
        <v>0</v>
      </c>
      <c r="S370" s="165"/>
      <c r="T370" s="566" t="e">
        <f ca="1">_xludf.IFNA(_xlfn.XLOOKUP(Table3[[#This Row],[SKU]],'00_Yield_Rates'!$B$2:$B$17,'00_Yield_Rates'!$E$2:$E$17),"")</f>
        <v>#NAME?</v>
      </c>
    </row>
    <row r="371" spans="1:20">
      <c r="A371" s="613" t="s">
        <v>388</v>
      </c>
      <c r="B371" s="614">
        <v>2513</v>
      </c>
      <c r="C371" s="615"/>
      <c r="D371" s="615"/>
      <c r="E371" s="615"/>
      <c r="F371" s="615"/>
      <c r="G371" s="615"/>
      <c r="H371" s="615"/>
      <c r="I371" s="615"/>
      <c r="J371" s="616" t="s">
        <v>397</v>
      </c>
      <c r="K371" s="617"/>
      <c r="L371" s="617"/>
      <c r="M371" s="618"/>
      <c r="N371" s="615"/>
      <c r="O371" s="615"/>
      <c r="P371" s="144"/>
      <c r="R371" s="165">
        <f>_xlfn.XLOOKUP(Table3[[#This Row],[SKU]],'04_Bagging_Order'!$H$5:$H$25,'04_Bagging_Order'!$K$5:$K$25)</f>
        <v>84</v>
      </c>
      <c r="S371" s="165"/>
      <c r="T371" s="566" t="e">
        <f ca="1">_xludf.IFNA(_xlfn.XLOOKUP(Table3[[#This Row],[SKU]],'00_Yield_Rates'!$B$2:$B$17,'00_Yield_Rates'!$E$2:$E$17),"")</f>
        <v>#NAME?</v>
      </c>
    </row>
    <row r="372" spans="1:20">
      <c r="A372" s="613" t="s">
        <v>388</v>
      </c>
      <c r="B372" s="614">
        <v>7011</v>
      </c>
      <c r="C372" s="615"/>
      <c r="D372" s="615"/>
      <c r="E372" s="615"/>
      <c r="F372" s="615"/>
      <c r="G372" s="615"/>
      <c r="H372" s="615"/>
      <c r="I372" s="615"/>
      <c r="J372" s="616" t="s">
        <v>398</v>
      </c>
      <c r="K372" s="617"/>
      <c r="L372" s="617"/>
      <c r="M372" s="618"/>
      <c r="N372" s="615"/>
      <c r="O372" s="615"/>
      <c r="P372" s="144"/>
      <c r="R372" s="165">
        <f>_xlfn.XLOOKUP(Table3[[#This Row],[SKU]],'04_Bagging_Order'!$H$5:$H$25,'04_Bagging_Order'!$K$5:$K$25)</f>
        <v>0</v>
      </c>
      <c r="S372" s="165"/>
      <c r="T372" s="566" t="e">
        <f ca="1">_xludf.IFNA(_xlfn.XLOOKUP(Table3[[#This Row],[SKU]],'00_Yield_Rates'!$B$2:$B$17,'00_Yield_Rates'!$E$2:$E$17),"")</f>
        <v>#NAME?</v>
      </c>
    </row>
    <row r="373" spans="1:20">
      <c r="A373" s="613" t="s">
        <v>388</v>
      </c>
      <c r="B373" s="614">
        <v>7170</v>
      </c>
      <c r="C373" s="615"/>
      <c r="D373" s="615"/>
      <c r="E373" s="615"/>
      <c r="F373" s="615"/>
      <c r="G373" s="615"/>
      <c r="H373" s="615"/>
      <c r="I373" s="615"/>
      <c r="J373" s="616"/>
      <c r="K373" s="617"/>
      <c r="L373" s="617"/>
      <c r="M373" s="618"/>
      <c r="N373" s="615"/>
      <c r="O373" s="615"/>
      <c r="P373" s="144"/>
      <c r="R373" s="165">
        <f>_xlfn.XLOOKUP(Table3[[#This Row],[SKU]],'04_Bagging_Order'!$H$5:$H$25,'04_Bagging_Order'!$K$5:$K$25)</f>
        <v>0</v>
      </c>
      <c r="S373" s="165"/>
      <c r="T373" s="566" t="e">
        <f ca="1">_xludf.IFNA(_xlfn.XLOOKUP(Table3[[#This Row],[SKU]],'00_Yield_Rates'!$B$2:$B$17,'00_Yield_Rates'!$E$2:$E$17),"")</f>
        <v>#NAME?</v>
      </c>
    </row>
    <row r="374" spans="1:20">
      <c r="A374" s="613" t="s">
        <v>388</v>
      </c>
      <c r="B374" s="619">
        <v>7176</v>
      </c>
      <c r="C374" s="620"/>
      <c r="D374" s="620"/>
      <c r="E374" s="620"/>
      <c r="F374" s="620"/>
      <c r="G374" s="620"/>
      <c r="H374" s="620"/>
      <c r="I374" s="620"/>
      <c r="J374" s="621" t="s">
        <v>399</v>
      </c>
      <c r="K374" s="622"/>
      <c r="L374" s="622"/>
      <c r="M374" s="623"/>
      <c r="N374" s="620"/>
      <c r="O374" s="620"/>
      <c r="P374" s="144"/>
      <c r="R374" s="165">
        <f>_xlfn.XLOOKUP(Table3[[#This Row],[SKU]],'04_Bagging_Order'!$H$5:$H$25,'04_Bagging_Order'!$K$5:$K$25)</f>
        <v>0</v>
      </c>
      <c r="S374" s="165"/>
      <c r="T374" s="566" t="e">
        <f ca="1">_xludf.IFNA(_xlfn.XLOOKUP(Table3[[#This Row],[SKU]],'00_Yield_Rates'!$B$2:$B$17,'00_Yield_Rates'!$E$2:$E$17),"")</f>
        <v>#NAME?</v>
      </c>
    </row>
    <row r="375" spans="1:20">
      <c r="A375" s="624" t="s">
        <v>400</v>
      </c>
      <c r="B375" s="625">
        <v>200157</v>
      </c>
      <c r="C375" s="626"/>
      <c r="D375" s="626"/>
      <c r="E375" s="626"/>
      <c r="F375" s="626">
        <v>550</v>
      </c>
      <c r="G375" s="626"/>
      <c r="H375" s="626"/>
      <c r="I375" s="626"/>
      <c r="J375" s="627" t="s">
        <v>401</v>
      </c>
      <c r="K375" s="628"/>
      <c r="L375" s="628"/>
      <c r="M375" s="629"/>
      <c r="N375" s="626"/>
      <c r="O375" s="626"/>
      <c r="P375" s="144"/>
      <c r="R375" s="292"/>
      <c r="S375" s="292"/>
      <c r="T375" s="566" t="e">
        <f ca="1">_xludf.IFNA(_xlfn.XLOOKUP(Table3[[#This Row],[SKU]],'00_Yield_Rates'!$B$2:$B$17,'00_Yield_Rates'!$E$2:$E$17),"")</f>
        <v>#NAME?</v>
      </c>
    </row>
    <row r="376" spans="1:20">
      <c r="A376" s="624" t="s">
        <v>400</v>
      </c>
      <c r="B376" s="630">
        <v>203043</v>
      </c>
      <c r="C376" s="631"/>
      <c r="D376" s="631"/>
      <c r="E376" s="631"/>
      <c r="F376" s="631">
        <v>23</v>
      </c>
      <c r="G376" s="631"/>
      <c r="H376" s="631"/>
      <c r="I376" s="631"/>
      <c r="J376" s="632" t="s">
        <v>402</v>
      </c>
      <c r="K376" s="633"/>
      <c r="L376" s="633"/>
      <c r="M376" s="634"/>
      <c r="N376" s="631"/>
      <c r="O376" s="631"/>
      <c r="P376" s="144"/>
      <c r="R376" s="292"/>
      <c r="S376" s="292"/>
      <c r="T376" s="566" t="e">
        <f ca="1">_xludf.IFNA(_xlfn.XLOOKUP(Table3[[#This Row],[SKU]],'00_Yield_Rates'!$B$2:$B$17,'00_Yield_Rates'!$E$2:$E$17),"")</f>
        <v>#NAME?</v>
      </c>
    </row>
    <row r="377" spans="1:20">
      <c r="A377" s="624" t="s">
        <v>400</v>
      </c>
      <c r="B377" s="625">
        <v>203044</v>
      </c>
      <c r="C377" s="626"/>
      <c r="D377" s="626"/>
      <c r="E377" s="626"/>
      <c r="F377" s="626"/>
      <c r="G377" s="626"/>
      <c r="H377" s="626"/>
      <c r="I377" s="626"/>
      <c r="J377" s="627"/>
      <c r="K377" s="628"/>
      <c r="L377" s="628"/>
      <c r="M377" s="629"/>
      <c r="N377" s="626"/>
      <c r="O377" s="626"/>
      <c r="P377" s="144"/>
      <c r="R377" s="292"/>
      <c r="S377" s="292"/>
      <c r="T377" s="566" t="e">
        <f ca="1">_xludf.IFNA(_xlfn.XLOOKUP(Table3[[#This Row],[SKU]],'00_Yield_Rates'!$B$2:$B$17,'00_Yield_Rates'!$E$2:$E$17),"")</f>
        <v>#NAME?</v>
      </c>
    </row>
    <row r="378" spans="1:20">
      <c r="A378" s="624" t="s">
        <v>400</v>
      </c>
      <c r="B378" s="630">
        <v>203891</v>
      </c>
      <c r="C378" s="631"/>
      <c r="D378" s="631"/>
      <c r="E378" s="631"/>
      <c r="F378" s="631">
        <v>31</v>
      </c>
      <c r="G378" s="631"/>
      <c r="H378" s="631"/>
      <c r="I378" s="631"/>
      <c r="J378" s="632" t="s">
        <v>403</v>
      </c>
      <c r="K378" s="633"/>
      <c r="L378" s="633"/>
      <c r="M378" s="634"/>
      <c r="N378" s="631"/>
      <c r="O378" s="631"/>
      <c r="P378" s="144"/>
      <c r="R378" s="292"/>
      <c r="S378" s="292"/>
      <c r="T378" s="566" t="e">
        <f ca="1">_xludf.IFNA(_xlfn.XLOOKUP(Table3[[#This Row],[SKU]],'00_Yield_Rates'!$B$2:$B$17,'00_Yield_Rates'!$E$2:$E$17),"")</f>
        <v>#NAME?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B2:T115"/>
  <sheetViews>
    <sheetView workbookViewId="0"/>
  </sheetViews>
  <sheetFormatPr defaultRowHeight="14.4"/>
  <cols>
    <col min="1" max="1" width="2.5546875" customWidth="1"/>
    <col min="2" max="2" width="18.109375" customWidth="1"/>
    <col min="3" max="3" width="9.109375" customWidth="1"/>
    <col min="4" max="4" width="7.109375" customWidth="1"/>
    <col min="6" max="6" width="8.21875" customWidth="1"/>
    <col min="7" max="7" width="8.5546875" customWidth="1"/>
    <col min="8" max="8" width="10.5546875" customWidth="1"/>
    <col min="9" max="9" width="6.77734375" customWidth="1"/>
    <col min="10" max="10" width="12.5546875" customWidth="1"/>
    <col min="11" max="11" width="7.109375" customWidth="1"/>
    <col min="12" max="12" width="7.21875" customWidth="1"/>
    <col min="13" max="13" width="8.109375" customWidth="1"/>
    <col min="15" max="15" width="18.21875" customWidth="1"/>
    <col min="16" max="16" width="9.21875" customWidth="1"/>
    <col min="17" max="17" width="10.33203125" customWidth="1"/>
  </cols>
  <sheetData>
    <row r="2" spans="2:17" ht="18.45" customHeight="1">
      <c r="B2" s="1" t="s">
        <v>404</v>
      </c>
      <c r="C2" s="1"/>
      <c r="D2" s="1"/>
      <c r="E2" s="1"/>
      <c r="F2" s="1"/>
      <c r="G2" s="2">
        <v>0.27083333333333331</v>
      </c>
      <c r="H2" s="3"/>
      <c r="I2" s="4"/>
      <c r="J2" s="5"/>
      <c r="K2" s="6"/>
    </row>
    <row r="3" spans="2:17">
      <c r="B3" s="7" t="s">
        <v>405</v>
      </c>
      <c r="C3" s="8">
        <f>'03_BulkPack_Order'!C2</f>
        <v>265</v>
      </c>
      <c r="D3" s="9"/>
      <c r="E3" s="10" t="s">
        <v>262</v>
      </c>
      <c r="F3" s="11"/>
      <c r="G3" s="12">
        <f>(F3/C8*1/24)</f>
        <v>0</v>
      </c>
      <c r="H3" s="13"/>
      <c r="J3" s="14"/>
      <c r="K3" s="15"/>
      <c r="L3" s="15"/>
      <c r="O3" t="s">
        <v>406</v>
      </c>
      <c r="P3" t="s">
        <v>407</v>
      </c>
      <c r="Q3">
        <v>200141</v>
      </c>
    </row>
    <row r="4" spans="2:17">
      <c r="B4" s="7" t="s">
        <v>408</v>
      </c>
      <c r="C4" s="16">
        <f>'03_BulkPack_Order'!C2-F7</f>
        <v>160</v>
      </c>
      <c r="D4" s="9"/>
      <c r="E4" s="10" t="s">
        <v>409</v>
      </c>
      <c r="F4" s="11">
        <f>SUM(K7:K11)</f>
        <v>105</v>
      </c>
      <c r="G4" s="12">
        <f>G3+(F4/C7*1/24)</f>
        <v>0.26947463768115942</v>
      </c>
      <c r="H4" s="13">
        <f>F4/C7*1/24</f>
        <v>0.26947463768115942</v>
      </c>
      <c r="J4" s="14"/>
      <c r="K4" s="15"/>
      <c r="L4" s="15"/>
      <c r="O4" t="s">
        <v>410</v>
      </c>
      <c r="P4" t="s">
        <v>411</v>
      </c>
      <c r="Q4">
        <v>200140</v>
      </c>
    </row>
    <row r="5" spans="2:17">
      <c r="B5" s="17" t="s">
        <v>412</v>
      </c>
      <c r="C5" s="18">
        <v>680</v>
      </c>
      <c r="D5" s="19"/>
      <c r="E5" s="10" t="s">
        <v>413</v>
      </c>
      <c r="F5" s="20">
        <f>K12</f>
        <v>0</v>
      </c>
      <c r="G5" s="12">
        <f>G4+(F5/C7*1/24)</f>
        <v>0.26947463768115942</v>
      </c>
      <c r="H5" s="13">
        <f>F5/C7*1/24</f>
        <v>0</v>
      </c>
      <c r="J5" s="14"/>
      <c r="K5" s="15"/>
      <c r="L5" s="15"/>
      <c r="O5" t="s">
        <v>414</v>
      </c>
      <c r="P5" t="s">
        <v>411</v>
      </c>
      <c r="Q5">
        <v>200015</v>
      </c>
    </row>
    <row r="6" spans="2:17">
      <c r="B6" s="17" t="s">
        <v>415</v>
      </c>
      <c r="C6" s="18">
        <v>1.6</v>
      </c>
      <c r="D6" s="21"/>
      <c r="E6" s="10" t="s">
        <v>416</v>
      </c>
      <c r="F6" s="20">
        <f>K13</f>
        <v>0</v>
      </c>
      <c r="G6" s="12"/>
      <c r="H6" s="13"/>
      <c r="J6" s="14"/>
      <c r="K6" s="15"/>
      <c r="L6" s="15"/>
      <c r="O6" t="s">
        <v>417</v>
      </c>
      <c r="Q6" t="s">
        <v>418</v>
      </c>
    </row>
    <row r="7" spans="2:17">
      <c r="B7" s="7" t="s">
        <v>419</v>
      </c>
      <c r="C7" s="16">
        <f>60/(C5/C6/C9)</f>
        <v>16.235294117647058</v>
      </c>
      <c r="D7" s="10"/>
      <c r="E7" s="10" t="s">
        <v>420</v>
      </c>
      <c r="F7" s="20">
        <f>SUM(F3:F6)</f>
        <v>105</v>
      </c>
      <c r="G7" s="12"/>
      <c r="H7" s="13"/>
      <c r="J7" s="22" t="s">
        <v>421</v>
      </c>
      <c r="K7" s="23">
        <v>7</v>
      </c>
      <c r="L7" s="24">
        <f t="shared" ref="L7:L13" si="0">K7/$C$7</f>
        <v>0.4311594202898551</v>
      </c>
      <c r="O7" t="s">
        <v>422</v>
      </c>
      <c r="Q7" t="s">
        <v>423</v>
      </c>
    </row>
    <row r="8" spans="2:17">
      <c r="B8" s="7" t="s">
        <v>424</v>
      </c>
      <c r="C8" s="8">
        <v>410</v>
      </c>
      <c r="D8" s="10"/>
      <c r="E8" s="10"/>
      <c r="F8" s="25"/>
      <c r="G8" s="12"/>
      <c r="H8" s="25"/>
      <c r="J8" s="22">
        <v>200140</v>
      </c>
      <c r="K8" s="23">
        <v>35</v>
      </c>
      <c r="L8" s="24">
        <f t="shared" si="0"/>
        <v>2.1557971014492754</v>
      </c>
      <c r="M8" t="s">
        <v>425</v>
      </c>
      <c r="O8" t="s">
        <v>426</v>
      </c>
      <c r="P8" t="s">
        <v>427</v>
      </c>
      <c r="Q8">
        <v>200023</v>
      </c>
    </row>
    <row r="9" spans="2:17">
      <c r="B9" s="7" t="s">
        <v>428</v>
      </c>
      <c r="C9" s="8">
        <v>115</v>
      </c>
      <c r="D9" s="10"/>
      <c r="E9" s="10"/>
      <c r="F9" s="25"/>
      <c r="G9" s="10"/>
      <c r="H9" s="25"/>
      <c r="J9" s="22">
        <v>200141</v>
      </c>
      <c r="K9" s="23">
        <v>62</v>
      </c>
      <c r="L9" s="24">
        <f t="shared" si="0"/>
        <v>3.818840579710145</v>
      </c>
      <c r="M9" t="s">
        <v>429</v>
      </c>
      <c r="O9" t="s">
        <v>430</v>
      </c>
      <c r="P9" t="s">
        <v>407</v>
      </c>
      <c r="Q9">
        <v>200017</v>
      </c>
    </row>
    <row r="10" spans="2:17">
      <c r="B10" s="26" t="s">
        <v>262</v>
      </c>
      <c r="C10" s="10" t="s">
        <v>431</v>
      </c>
      <c r="D10" s="10" t="s">
        <v>432</v>
      </c>
      <c r="E10" s="10" t="s">
        <v>30</v>
      </c>
      <c r="F10" s="10" t="s">
        <v>146</v>
      </c>
      <c r="G10" s="10"/>
      <c r="H10" s="25"/>
      <c r="J10" s="22">
        <v>200150</v>
      </c>
      <c r="K10" s="23">
        <v>1</v>
      </c>
      <c r="L10" s="24">
        <f t="shared" si="0"/>
        <v>6.1594202898550728E-2</v>
      </c>
      <c r="M10" t="s">
        <v>429</v>
      </c>
      <c r="O10" t="s">
        <v>433</v>
      </c>
      <c r="P10" t="s">
        <v>427</v>
      </c>
      <c r="Q10">
        <v>200190</v>
      </c>
    </row>
    <row r="11" spans="2:17">
      <c r="B11" s="27">
        <f ca="1">MAX(C11:F11)</f>
        <v>0</v>
      </c>
      <c r="C11" s="28">
        <f ca="1">B27</f>
        <v>0</v>
      </c>
      <c r="D11" s="28">
        <f ca="1">B33</f>
        <v>0</v>
      </c>
      <c r="E11" s="28">
        <f ca="1">B34</f>
        <v>0</v>
      </c>
      <c r="F11" s="28">
        <f ca="1">B36</f>
        <v>0</v>
      </c>
      <c r="G11" s="10"/>
      <c r="H11" s="25"/>
      <c r="J11" s="22">
        <v>200151</v>
      </c>
      <c r="K11" s="23">
        <v>0</v>
      </c>
      <c r="L11" s="24">
        <f t="shared" si="0"/>
        <v>0</v>
      </c>
      <c r="M11" t="s">
        <v>425</v>
      </c>
    </row>
    <row r="12" spans="2:17">
      <c r="B12" s="29" t="s">
        <v>434</v>
      </c>
      <c r="C12" s="30">
        <f ca="1">(F3-C11)*C5*D26/25</f>
        <v>0</v>
      </c>
      <c r="D12" s="30">
        <f ca="1">(F3-D11)*C5*D33/25</f>
        <v>0</v>
      </c>
      <c r="E12" s="30">
        <f ca="1">(F3-E11)*C5*D34/25</f>
        <v>0</v>
      </c>
      <c r="F12" s="30">
        <f ca="1">(F3-F11)*C5*D36/25</f>
        <v>0</v>
      </c>
      <c r="G12" s="10"/>
      <c r="H12" s="25"/>
      <c r="I12" s="31"/>
      <c r="J12" s="32" t="s">
        <v>435</v>
      </c>
      <c r="K12" s="14">
        <v>0</v>
      </c>
      <c r="L12" s="24">
        <f t="shared" si="0"/>
        <v>0</v>
      </c>
      <c r="M12" s="33">
        <v>1.8</v>
      </c>
    </row>
    <row r="13" spans="2:17">
      <c r="B13" s="34"/>
      <c r="C13" s="35"/>
      <c r="D13" s="35"/>
      <c r="E13" s="35"/>
      <c r="F13" s="36" t="s">
        <v>436</v>
      </c>
      <c r="G13" s="37"/>
      <c r="H13" s="38" t="s">
        <v>437</v>
      </c>
      <c r="I13" s="39"/>
      <c r="J13" s="22" t="s">
        <v>423</v>
      </c>
      <c r="K13" s="40">
        <v>0</v>
      </c>
      <c r="L13" s="24">
        <f t="shared" si="0"/>
        <v>0</v>
      </c>
    </row>
    <row r="14" spans="2:17">
      <c r="B14" s="41" t="s">
        <v>438</v>
      </c>
      <c r="C14" s="11">
        <f ca="1">B43</f>
        <v>365.85365853658539</v>
      </c>
      <c r="D14" s="11"/>
      <c r="E14" s="42">
        <f ca="1">IF(C11&gt;F3,F3,C11)</f>
        <v>0</v>
      </c>
      <c r="F14" s="11">
        <f ca="1">C14+E14</f>
        <v>365.85365853658539</v>
      </c>
      <c r="G14" s="11" t="s">
        <v>431</v>
      </c>
      <c r="H14" s="11">
        <f ca="1">(C3-F14)*C5*'08_Chart_Data'!M9/25</f>
        <v>-836.68195121951237</v>
      </c>
      <c r="I14" s="39"/>
      <c r="J14" s="43"/>
      <c r="K14" s="44"/>
    </row>
    <row r="15" spans="2:17">
      <c r="B15" s="34"/>
      <c r="C15" s="35"/>
      <c r="D15" s="38"/>
      <c r="E15" s="38"/>
      <c r="F15" s="45"/>
      <c r="G15" s="38"/>
      <c r="H15" s="35"/>
      <c r="I15" s="39"/>
      <c r="J15" s="46"/>
      <c r="K15" s="33"/>
    </row>
    <row r="16" spans="2:17">
      <c r="B16" s="47" t="s">
        <v>439</v>
      </c>
      <c r="C16" s="11">
        <f ca="1">B62</f>
        <v>1.7647058823529411</v>
      </c>
      <c r="D16" s="11"/>
      <c r="E16" s="42">
        <f ca="1">IF(D11&gt;F3,F3,D11)</f>
        <v>0</v>
      </c>
      <c r="F16" s="20">
        <f ca="1">C16+E16</f>
        <v>1.7647058823529411</v>
      </c>
      <c r="G16" s="10" t="s">
        <v>440</v>
      </c>
      <c r="H16" s="11">
        <f ca="1">(C3-F16)*C5*'08_Chart_Data'!M3/25</f>
        <v>414.56399999999996</v>
      </c>
      <c r="I16" s="39"/>
      <c r="J16" s="48"/>
      <c r="K16" s="49"/>
      <c r="N16" s="50"/>
    </row>
    <row r="17" spans="2:20">
      <c r="B17" s="34"/>
      <c r="C17" s="35"/>
      <c r="D17" s="38"/>
      <c r="E17" s="35"/>
      <c r="F17" s="45"/>
      <c r="G17" s="38"/>
      <c r="H17" s="35"/>
      <c r="I17" s="39"/>
      <c r="J17" s="51"/>
      <c r="K17" s="49"/>
      <c r="N17" s="49"/>
      <c r="O17" s="52"/>
      <c r="P17" s="52"/>
      <c r="Q17" s="52"/>
    </row>
    <row r="18" spans="2:20">
      <c r="B18" s="47" t="s">
        <v>441</v>
      </c>
      <c r="C18" s="11">
        <f ca="1">B76</f>
        <v>62.554179566563469</v>
      </c>
      <c r="D18" s="11"/>
      <c r="E18" s="42">
        <f ca="1">IF(E11&gt;F3,F3,E11)</f>
        <v>0</v>
      </c>
      <c r="F18" s="11">
        <f ca="1">C18+E18</f>
        <v>62.554179566563469</v>
      </c>
      <c r="G18" s="10" t="s">
        <v>30</v>
      </c>
      <c r="H18" s="11">
        <f ca="1">(C3-F22-F18)*C5*'08_Chart_Data'!I23/25</f>
        <v>957.86850343249432</v>
      </c>
      <c r="I18" s="39"/>
      <c r="J18" s="51"/>
      <c r="K18" s="53"/>
      <c r="N18" s="49"/>
      <c r="O18" s="54"/>
      <c r="P18" s="54"/>
      <c r="Q18" s="54"/>
    </row>
    <row r="19" spans="2:20">
      <c r="B19" s="34"/>
      <c r="C19" s="35"/>
      <c r="D19" s="35"/>
      <c r="E19" s="35"/>
      <c r="F19" s="45"/>
      <c r="G19" s="38"/>
      <c r="H19" s="35"/>
      <c r="I19" s="39"/>
      <c r="J19" s="51"/>
      <c r="K19" s="53"/>
      <c r="N19" s="53"/>
      <c r="O19" s="54"/>
      <c r="P19" s="54"/>
      <c r="Q19" s="52"/>
    </row>
    <row r="20" spans="2:20">
      <c r="B20" s="47" t="s">
        <v>28</v>
      </c>
      <c r="C20" s="11">
        <f ca="1">B95</f>
        <v>1.5756302521008403</v>
      </c>
      <c r="D20" s="11"/>
      <c r="E20" s="42">
        <f ca="1">IF(F11&gt;F3,F3,F11)</f>
        <v>0</v>
      </c>
      <c r="F20" s="20">
        <f ca="1">C20+E20</f>
        <v>1.5756302521008403</v>
      </c>
      <c r="G20" s="10" t="s">
        <v>442</v>
      </c>
      <c r="H20" s="11">
        <f ca="1">(C3-F20-F22)*C5*'08_Chart_Data'!I18/25</f>
        <v>953.18260869565233</v>
      </c>
      <c r="I20" s="33"/>
      <c r="J20" s="51"/>
      <c r="K20" s="53"/>
      <c r="N20" s="53"/>
      <c r="O20" s="54"/>
      <c r="P20" s="54"/>
      <c r="Q20" s="52"/>
    </row>
    <row r="21" spans="2:20">
      <c r="B21" s="37"/>
      <c r="C21" s="35"/>
      <c r="D21" s="38"/>
      <c r="E21" s="35"/>
      <c r="F21" s="37"/>
      <c r="G21" s="37"/>
      <c r="H21" s="38"/>
      <c r="I21" s="33"/>
      <c r="J21" s="55"/>
      <c r="N21" s="53"/>
      <c r="O21" s="54"/>
      <c r="P21" s="54"/>
      <c r="Q21" s="52"/>
      <c r="T21" s="54"/>
    </row>
    <row r="22" spans="2:20">
      <c r="B22" s="47" t="s">
        <v>443</v>
      </c>
      <c r="C22" s="11">
        <f ca="1">B108</f>
        <v>13.113810741687979</v>
      </c>
      <c r="D22" s="10"/>
      <c r="E22" s="11"/>
      <c r="F22" s="11">
        <f ca="1">C22</f>
        <v>13.113810741687979</v>
      </c>
      <c r="G22" s="56"/>
      <c r="H22" s="10"/>
      <c r="J22" s="55"/>
      <c r="N22" s="4"/>
      <c r="O22" s="54"/>
      <c r="P22" s="54"/>
      <c r="Q22" s="52"/>
    </row>
    <row r="23" spans="2:20">
      <c r="B23" s="50"/>
      <c r="C23" s="44"/>
      <c r="E23" s="44"/>
      <c r="F23" s="57"/>
      <c r="J23" s="58"/>
      <c r="O23" s="54"/>
      <c r="P23" s="54"/>
      <c r="Q23" s="52"/>
    </row>
    <row r="24" spans="2:20">
      <c r="B24" s="50"/>
      <c r="D24" s="44"/>
      <c r="E24" s="44"/>
      <c r="F24" s="44"/>
      <c r="O24" s="54"/>
      <c r="P24" s="54"/>
      <c r="Q24" s="52"/>
    </row>
    <row r="25" spans="2:20">
      <c r="B25" s="59"/>
      <c r="C25" s="59" t="s">
        <v>444</v>
      </c>
      <c r="D25" s="60" t="s">
        <v>445</v>
      </c>
      <c r="E25" s="60" t="s">
        <v>446</v>
      </c>
      <c r="F25" s="60" t="s">
        <v>14</v>
      </c>
      <c r="G25" s="59" t="s">
        <v>447</v>
      </c>
      <c r="H25" s="60" t="s">
        <v>448</v>
      </c>
      <c r="I25" s="60" t="s">
        <v>449</v>
      </c>
      <c r="O25" s="54"/>
      <c r="P25" s="54"/>
      <c r="Q25" s="52"/>
    </row>
    <row r="26" spans="2:20">
      <c r="B26" s="61" t="s">
        <v>262</v>
      </c>
      <c r="C26" s="61">
        <v>61051</v>
      </c>
      <c r="D26" s="62">
        <f>_xlfn.IFNA(_xlfn.XLOOKUP(C26,'08_Chart_Data'!$Q$3:$Q$104,'08_Chart_Data'!$R$3:$R$104,0),"")</f>
        <v>0.30499999999999999</v>
      </c>
      <c r="E26" s="63">
        <f ca="1">_xlfn.IFNA(_xlfn.XLOOKUP(C26,'10_Cone_Line'!$A$3:$A$136,'10_Cone_Line'!$E$3:$E$136,0),"")</f>
        <v>0</v>
      </c>
      <c r="F26" s="63">
        <f ca="1">_xlfn.IFNA(E26*_xlfn.XLOOKUP(C26,'08_Chart_Data'!$Q$3:$Q$104,'08_Chart_Data'!$S$3:$S$104,0)/D26,"")</f>
        <v>0</v>
      </c>
      <c r="G26" s="64">
        <f t="shared" ref="G26:G57" ca="1" si="1">IFERROR(F26/$C$5,"0")</f>
        <v>0</v>
      </c>
      <c r="H26" s="65">
        <f t="shared" ref="H26:H57" ca="1" si="2">IFERROR(F26/$C$6,"-")</f>
        <v>0</v>
      </c>
      <c r="I26" s="66">
        <f t="shared" ref="I26:I57" ca="1" si="3">IFERROR(IF(H26&lt;0,"",(H26/$C$9)/1440),"")</f>
        <v>0</v>
      </c>
      <c r="J26" s="67"/>
      <c r="O26" s="54"/>
      <c r="P26" s="54"/>
      <c r="Q26" s="52"/>
    </row>
    <row r="27" spans="2:20">
      <c r="B27" s="68">
        <f ca="1">SUMIF(G26:G32,"&gt;0")</f>
        <v>0</v>
      </c>
      <c r="C27" s="61">
        <v>61049</v>
      </c>
      <c r="D27" s="62">
        <f>_xlfn.IFNA(_xlfn.XLOOKUP(C27,'08_Chart_Data'!$Q$3:$Q$104,'08_Chart_Data'!$R$3:$R$104,0),"")</f>
        <v>0.36</v>
      </c>
      <c r="E27" s="63">
        <f ca="1">_xlfn.IFNA(_xlfn.XLOOKUP(C27,'10_Cone_Line'!$A$3:$A$136,'10_Cone_Line'!$E$3:$E$136,0),"")</f>
        <v>0</v>
      </c>
      <c r="F27" s="63">
        <f ca="1">_xlfn.IFNA(E27*_xlfn.XLOOKUP(C27,'08_Chart_Data'!$Q$3:$Q$104,'08_Chart_Data'!$S$3:$S$104,0)/D27,"")</f>
        <v>0</v>
      </c>
      <c r="G27" s="64">
        <f t="shared" ca="1" si="1"/>
        <v>0</v>
      </c>
      <c r="H27" s="65">
        <f t="shared" ca="1" si="2"/>
        <v>0</v>
      </c>
      <c r="I27" s="66">
        <f t="shared" ca="1" si="3"/>
        <v>0</v>
      </c>
      <c r="J27" s="67"/>
      <c r="O27" s="69"/>
      <c r="P27" s="54"/>
    </row>
    <row r="28" spans="2:20">
      <c r="B28" s="68"/>
      <c r="C28" s="61">
        <v>61042</v>
      </c>
      <c r="D28" s="62">
        <f>_xlfn.IFNA(_xlfn.XLOOKUP(C28,'08_Chart_Data'!$Q$3:$Q$104,'08_Chart_Data'!$R$3:$R$104,0),"")</f>
        <v>0.38</v>
      </c>
      <c r="E28" s="63">
        <f ca="1">_xlfn.IFNA(_xlfn.XLOOKUP(C28,'10_Cone_Line'!$A$3:$A$136,'10_Cone_Line'!$E$3:$E$136,0),"")</f>
        <v>0</v>
      </c>
      <c r="F28" s="63">
        <f ca="1">_xlfn.IFNA(E28*_xlfn.XLOOKUP(C28,'08_Chart_Data'!$Q$3:$Q$104,'08_Chart_Data'!$S$3:$S$104,0)/D28,"")</f>
        <v>0</v>
      </c>
      <c r="G28" s="64">
        <f t="shared" ca="1" si="1"/>
        <v>0</v>
      </c>
      <c r="H28" s="65">
        <f t="shared" ca="1" si="2"/>
        <v>0</v>
      </c>
      <c r="I28" s="66">
        <f t="shared" ca="1" si="3"/>
        <v>0</v>
      </c>
      <c r="J28" s="67"/>
      <c r="O28" s="54"/>
      <c r="P28" s="54"/>
      <c r="Q28" s="54"/>
    </row>
    <row r="29" spans="2:20">
      <c r="B29" s="70"/>
      <c r="C29" s="61">
        <v>1081</v>
      </c>
      <c r="D29" s="62">
        <f>_xlfn.IFNA(_xlfn.XLOOKUP(C29,'08_Chart_Data'!$Q$3:$Q$104,'08_Chart_Data'!$R$3:$R$104,0),"")</f>
        <v>0.30499999999999999</v>
      </c>
      <c r="E29" s="63">
        <f ca="1">_xlfn.IFNA(_xlfn.XLOOKUP(C29,'10_Cone_Line'!$A$3:$A$136,'10_Cone_Line'!$E$3:$E$136,0),"")</f>
        <v>0</v>
      </c>
      <c r="F29" s="63">
        <f ca="1">_xlfn.IFNA(E29*_xlfn.XLOOKUP(C29,'08_Chart_Data'!$Q$3:$Q$104,'08_Chart_Data'!$S$3:$S$104,0)/D29,"")</f>
        <v>0</v>
      </c>
      <c r="G29" s="64">
        <f t="shared" ca="1" si="1"/>
        <v>0</v>
      </c>
      <c r="H29" s="65">
        <f t="shared" ca="1" si="2"/>
        <v>0</v>
      </c>
      <c r="I29" s="66">
        <f t="shared" ca="1" si="3"/>
        <v>0</v>
      </c>
      <c r="J29" s="67"/>
      <c r="O29" s="54"/>
      <c r="P29" s="54"/>
      <c r="Q29" s="54"/>
    </row>
    <row r="30" spans="2:20">
      <c r="B30" s="70"/>
      <c r="C30" s="61">
        <v>61070</v>
      </c>
      <c r="D30" s="62">
        <f>_xlfn.IFNA(_xlfn.XLOOKUP(C30,'08_Chart_Data'!$Q$3:$Q$104,'08_Chart_Data'!$R$3:$R$104,0),"")</f>
        <v>0.30499999999999999</v>
      </c>
      <c r="E30" s="63">
        <f ca="1">_xlfn.IFNA(_xlfn.XLOOKUP(C30,'10_Cone_Line'!$A$3:$A$136,'10_Cone_Line'!$E$3:$E$136,0),"")</f>
        <v>0</v>
      </c>
      <c r="F30" s="63">
        <f ca="1">_xlfn.IFNA(E30*_xlfn.XLOOKUP(C30,'08_Chart_Data'!$Q$3:$Q$104,'08_Chart_Data'!$S$3:$S$104,0)/D30,"")</f>
        <v>0</v>
      </c>
      <c r="G30" s="64">
        <f t="shared" ca="1" si="1"/>
        <v>0</v>
      </c>
      <c r="H30" s="65">
        <f t="shared" ca="1" si="2"/>
        <v>0</v>
      </c>
      <c r="I30" s="66">
        <f t="shared" ca="1" si="3"/>
        <v>0</v>
      </c>
      <c r="J30" s="67"/>
      <c r="O30" s="54"/>
      <c r="P30" s="54"/>
      <c r="Q30" s="54"/>
    </row>
    <row r="31" spans="2:20">
      <c r="B31" s="70"/>
      <c r="C31" s="61"/>
      <c r="D31" s="62">
        <f>_xlfn.IFNA(_xlfn.XLOOKUP(C31,'08_Chart_Data'!$Q$3:$Q$104,'08_Chart_Data'!$R$3:$R$104,0),"")</f>
        <v>0</v>
      </c>
      <c r="E31" s="63">
        <f ca="1">_xlfn.IFNA(_xlfn.XLOOKUP(C31,'10_Cone_Line'!$A$3:$A$136,'10_Cone_Line'!$E$3:$E$136,0),"")</f>
        <v>0</v>
      </c>
      <c r="F31" s="63" t="e">
        <f ca="1">_xlfn.IFNA(E31*_xlfn.XLOOKUP(C31,'08_Chart_Data'!$Q$3:$Q$104,'08_Chart_Data'!$S$3:$S$104,0)/D31,"")</f>
        <v>#DIV/0!</v>
      </c>
      <c r="G31" s="64" t="str">
        <f t="shared" ca="1" si="1"/>
        <v>0</v>
      </c>
      <c r="H31" s="65" t="str">
        <f t="shared" ca="1" si="2"/>
        <v>-</v>
      </c>
      <c r="I31" s="66" t="str">
        <f t="shared" ca="1" si="3"/>
        <v/>
      </c>
      <c r="J31" s="67"/>
      <c r="O31" s="54"/>
      <c r="P31" s="54"/>
      <c r="Q31" s="54"/>
    </row>
    <row r="32" spans="2:20">
      <c r="B32" s="70"/>
      <c r="C32" s="61">
        <v>61069</v>
      </c>
      <c r="D32" s="62">
        <f>_xlfn.IFNA(_xlfn.XLOOKUP(C32,'08_Chart_Data'!$Q$3:$Q$104,'08_Chart_Data'!$R$3:$R$104,0),"")</f>
        <v>0.30499999999999999</v>
      </c>
      <c r="E32" s="63">
        <f ca="1">_xlfn.IFNA(_xlfn.XLOOKUP(C32,'10_Cone_Line'!$A$3:$A$136,'10_Cone_Line'!$E$3:$E$136,0),"")</f>
        <v>0</v>
      </c>
      <c r="F32" s="63">
        <f ca="1">_xlfn.IFNA(E32*_xlfn.XLOOKUP(C32,'08_Chart_Data'!$Q$3:$Q$104,'08_Chart_Data'!$S$3:$S$104,0)/D32,"")</f>
        <v>0</v>
      </c>
      <c r="G32" s="64">
        <f t="shared" ca="1" si="1"/>
        <v>0</v>
      </c>
      <c r="H32" s="65">
        <f t="shared" ca="1" si="2"/>
        <v>0</v>
      </c>
      <c r="I32" s="66">
        <f t="shared" ca="1" si="3"/>
        <v>0</v>
      </c>
      <c r="J32" s="67"/>
      <c r="O32" s="54"/>
      <c r="P32" s="54"/>
      <c r="Q32" s="54"/>
    </row>
    <row r="33" spans="2:17">
      <c r="B33" s="70">
        <f ca="1">SUMIF(G33,"&gt;0")</f>
        <v>0</v>
      </c>
      <c r="C33" s="61">
        <v>61016</v>
      </c>
      <c r="D33" s="62">
        <f>_xlfn.IFNA(_xlfn.XLOOKUP(C33,'08_Chart_Data'!$Q$3:$Q$104,'08_Chart_Data'!$R$3:$R$104,0),"")</f>
        <v>5.7899999999999993E-2</v>
      </c>
      <c r="E33" s="63">
        <f ca="1">_xlfn.IFNA(_xlfn.XLOOKUP(C33,'10_Cone_Line'!$A$3:$A$136,'10_Cone_Line'!$E$3:$E$136,0),"")</f>
        <v>0</v>
      </c>
      <c r="F33" s="63">
        <f ca="1">_xlfn.IFNA(E33*_xlfn.XLOOKUP(C33,'08_Chart_Data'!$Q$3:$Q$104,'08_Chart_Data'!$S$3:$S$104,0)/D33,"")</f>
        <v>0</v>
      </c>
      <c r="G33" s="64">
        <f t="shared" ca="1" si="1"/>
        <v>0</v>
      </c>
      <c r="H33" s="65">
        <f t="shared" ca="1" si="2"/>
        <v>0</v>
      </c>
      <c r="I33" s="66">
        <f t="shared" ca="1" si="3"/>
        <v>0</v>
      </c>
      <c r="J33" s="67"/>
      <c r="O33" s="54"/>
      <c r="P33" s="54"/>
      <c r="Q33" s="54"/>
    </row>
    <row r="34" spans="2:17">
      <c r="B34" s="70">
        <f ca="1">SUMIF(G34:G35,"&gt;0")</f>
        <v>0</v>
      </c>
      <c r="C34" s="61">
        <v>61079</v>
      </c>
      <c r="D34" s="62">
        <f>_xlfn.IFNA(_xlfn.XLOOKUP(C34,'08_Chart_Data'!$Q$3:$Q$104,'08_Chart_Data'!$R$3:$R$104,0),"")</f>
        <v>0.18600000000000003</v>
      </c>
      <c r="E34" s="63">
        <f ca="1">_xlfn.IFNA(_xlfn.XLOOKUP(C34,'10_Cone_Line'!$A$3:$A$136,'10_Cone_Line'!$E$3:$E$136,0),"")</f>
        <v>-22</v>
      </c>
      <c r="F34" s="63">
        <f ca="1">_xlfn.IFNA(E34*_xlfn.XLOOKUP(C34,'08_Chart_Data'!$Q$3:$Q$104,'08_Chart_Data'!$S$3:$S$104,0)/D34,"")</f>
        <v>-2956.9892473118275</v>
      </c>
      <c r="G34" s="64">
        <f t="shared" ca="1" si="1"/>
        <v>-4.3485135989879815</v>
      </c>
      <c r="H34" s="65">
        <f t="shared" ca="1" si="2"/>
        <v>-1848.1182795698921</v>
      </c>
      <c r="I34" s="66" t="str">
        <f t="shared" ca="1" si="3"/>
        <v/>
      </c>
      <c r="J34" s="67"/>
      <c r="O34" s="54"/>
      <c r="P34" s="54"/>
      <c r="Q34" s="54"/>
    </row>
    <row r="35" spans="2:17">
      <c r="B35" s="70"/>
      <c r="C35" s="61">
        <v>61087</v>
      </c>
      <c r="D35" s="62">
        <f>_xlfn.IFNA(_xlfn.XLOOKUP(C35,'08_Chart_Data'!$Q$3:$Q$104,'08_Chart_Data'!$R$3:$R$104,0),"")</f>
        <v>0.105</v>
      </c>
      <c r="E35" s="63">
        <f ca="1">_xlfn.IFNA(_xlfn.XLOOKUP(C35,'10_Cone_Line'!$A$3:$A$136,'10_Cone_Line'!$E$3:$E$136,0),"")</f>
        <v>0</v>
      </c>
      <c r="F35" s="63">
        <f ca="1">_xlfn.IFNA(E35*_xlfn.XLOOKUP(C35,'08_Chart_Data'!$Q$3:$Q$104,'08_Chart_Data'!$S$3:$S$104,0)/D35,"")</f>
        <v>0</v>
      </c>
      <c r="G35" s="64">
        <f t="shared" ca="1" si="1"/>
        <v>0</v>
      </c>
      <c r="H35" s="65">
        <f t="shared" ca="1" si="2"/>
        <v>0</v>
      </c>
      <c r="I35" s="66">
        <f t="shared" ca="1" si="3"/>
        <v>0</v>
      </c>
      <c r="J35" s="67"/>
      <c r="O35" s="54"/>
      <c r="P35" s="54"/>
      <c r="Q35" s="52"/>
    </row>
    <row r="36" spans="2:17">
      <c r="B36" s="70">
        <f ca="1">SUMIF(G36:G37,"&gt;0")</f>
        <v>0</v>
      </c>
      <c r="C36" s="61">
        <v>61074</v>
      </c>
      <c r="D36" s="62">
        <f>_xlfn.IFNA(_xlfn.XLOOKUP(C36,'08_Chart_Data'!$Q$3:$Q$104,'08_Chart_Data'!$R$3:$R$104,0),"")</f>
        <v>0.14000000000000001</v>
      </c>
      <c r="E36" s="63">
        <f ca="1">_xlfn.IFNA(_xlfn.XLOOKUP(C36,'10_Cone_Line'!$A$3:$A$136,'10_Cone_Line'!$E$3:$E$136,0),"")</f>
        <v>0</v>
      </c>
      <c r="F36" s="63">
        <f ca="1">_xlfn.IFNA(E36*_xlfn.XLOOKUP(C36,'08_Chart_Data'!$Q$3:$Q$104,'08_Chart_Data'!$S$3:$S$104,0)/D36,"")</f>
        <v>0</v>
      </c>
      <c r="G36" s="64">
        <f t="shared" ca="1" si="1"/>
        <v>0</v>
      </c>
      <c r="H36" s="65">
        <f t="shared" ca="1" si="2"/>
        <v>0</v>
      </c>
      <c r="I36" s="66">
        <f t="shared" ca="1" si="3"/>
        <v>0</v>
      </c>
      <c r="J36" s="67"/>
      <c r="O36" s="54"/>
      <c r="P36" s="54"/>
      <c r="Q36" s="52"/>
    </row>
    <row r="37" spans="2:17">
      <c r="B37" s="70"/>
      <c r="C37" s="61">
        <v>61076</v>
      </c>
      <c r="D37" s="62">
        <f>_xlfn.IFNA(_xlfn.XLOOKUP(C37,'08_Chart_Data'!$Q$3:$Q$104,'08_Chart_Data'!$R$3:$R$104,0),"")</f>
        <v>0.12</v>
      </c>
      <c r="E37" s="63">
        <f ca="1">_xlfn.IFNA(_xlfn.XLOOKUP(C37,'10_Cone_Line'!$A$3:$A$136,'10_Cone_Line'!$E$3:$E$136,0),"")</f>
        <v>-125</v>
      </c>
      <c r="F37" s="63">
        <f ca="1">_xlfn.IFNA(E37*_xlfn.XLOOKUP(C37,'08_Chart_Data'!$Q$3:$Q$104,'08_Chart_Data'!$S$3:$S$104,0)/D37,"")</f>
        <v>-26041.666666666668</v>
      </c>
      <c r="G37" s="64">
        <f t="shared" ca="1" si="1"/>
        <v>-38.296568627450981</v>
      </c>
      <c r="H37" s="65">
        <f t="shared" ca="1" si="2"/>
        <v>-16276.041666666666</v>
      </c>
      <c r="I37" s="66" t="str">
        <f t="shared" ca="1" si="3"/>
        <v/>
      </c>
      <c r="O37" s="71"/>
      <c r="P37" s="71"/>
      <c r="Q37" s="71"/>
    </row>
    <row r="38" spans="2:17">
      <c r="B38" s="70"/>
      <c r="C38" s="61"/>
      <c r="D38" s="62">
        <f>_xlfn.IFNA(_xlfn.XLOOKUP(C38,'08_Chart_Data'!$Q$3:$Q$104,'08_Chart_Data'!$R$3:$R$104,0),"")</f>
        <v>0</v>
      </c>
      <c r="E38" s="63">
        <f ca="1">_xlfn.IFNA(_xlfn.XLOOKUP(C38,'10_Cone_Line'!$A$3:$A$136,'10_Cone_Line'!$E$3:$E$136,0),"")</f>
        <v>0</v>
      </c>
      <c r="F38" s="63" t="e">
        <f ca="1">_xlfn.IFNA(E38*_xlfn.XLOOKUP(C38,'08_Chart_Data'!$Q$3:$Q$104,'08_Chart_Data'!$S$3:$S$104,0)/D38,"")</f>
        <v>#DIV/0!</v>
      </c>
      <c r="G38" s="64" t="str">
        <f t="shared" ca="1" si="1"/>
        <v>0</v>
      </c>
      <c r="H38" s="65" t="str">
        <f t="shared" ca="1" si="2"/>
        <v>-</v>
      </c>
      <c r="I38" s="66" t="str">
        <f t="shared" ca="1" si="3"/>
        <v/>
      </c>
      <c r="O38" s="52"/>
      <c r="P38" s="52"/>
      <c r="Q38" s="52"/>
    </row>
    <row r="39" spans="2:17">
      <c r="B39" s="70"/>
      <c r="C39" s="61"/>
      <c r="D39" s="62">
        <f>_xlfn.IFNA(_xlfn.XLOOKUP(C39,'08_Chart_Data'!$Q$3:$Q$104,'08_Chart_Data'!$R$3:$R$104,0),"")</f>
        <v>0</v>
      </c>
      <c r="E39" s="63">
        <f ca="1">_xlfn.IFNA(_xlfn.XLOOKUP(C39,'10_Cone_Line'!$A$3:$A$136,'10_Cone_Line'!$E$3:$E$136,0),"")</f>
        <v>0</v>
      </c>
      <c r="F39" s="63" t="e">
        <f ca="1">_xlfn.IFNA(E39*_xlfn.XLOOKUP(C39,'08_Chart_Data'!$Q$3:$Q$104,'08_Chart_Data'!$S$3:$S$104,0)/D39,"")</f>
        <v>#DIV/0!</v>
      </c>
      <c r="G39" s="64" t="str">
        <f t="shared" ca="1" si="1"/>
        <v>0</v>
      </c>
      <c r="H39" s="65" t="str">
        <f t="shared" ca="1" si="2"/>
        <v>-</v>
      </c>
      <c r="I39" s="66" t="str">
        <f t="shared" ca="1" si="3"/>
        <v/>
      </c>
    </row>
    <row r="40" spans="2:17">
      <c r="B40" s="70"/>
      <c r="C40" s="61"/>
      <c r="D40" s="62">
        <f>_xlfn.IFNA(_xlfn.XLOOKUP(C40,'08_Chart_Data'!$Q$3:$Q$104,'08_Chart_Data'!$R$3:$R$104,0),"")</f>
        <v>0</v>
      </c>
      <c r="E40" s="63">
        <f ca="1">_xlfn.IFNA(_xlfn.XLOOKUP(C40,'10_Cone_Line'!$A$3:$A$136,'10_Cone_Line'!$E$3:$E$136,0),"")</f>
        <v>0</v>
      </c>
      <c r="F40" s="63" t="e">
        <f ca="1">_xlfn.IFNA(E40*_xlfn.XLOOKUP(C40,'08_Chart_Data'!$Q$3:$Q$104,'08_Chart_Data'!$S$3:$S$104,0)/D40,"")</f>
        <v>#DIV/0!</v>
      </c>
      <c r="G40" s="64" t="str">
        <f t="shared" ca="1" si="1"/>
        <v>0</v>
      </c>
      <c r="H40" s="65" t="str">
        <f t="shared" ca="1" si="2"/>
        <v>-</v>
      </c>
      <c r="I40" s="66" t="str">
        <f t="shared" ca="1" si="3"/>
        <v/>
      </c>
    </row>
    <row r="41" spans="2:17">
      <c r="B41" s="72" t="s">
        <v>438</v>
      </c>
      <c r="C41" s="73" t="s">
        <v>106</v>
      </c>
      <c r="D41" s="62">
        <f>_xlfn.IFNA(_xlfn.XLOOKUP(C41,'08_Chart_Data'!$Q$3:$Q$104,'08_Chart_Data'!$R$3:$R$104,0),"")</f>
        <v>0.30499999999999999</v>
      </c>
      <c r="E41" s="63">
        <f ca="1">_xlfn.IFNA(_xlfn.XLOOKUP(C41,'10_Cone_Line'!$A$3:$A$136,'10_Cone_Line'!$E$3:$E$136,0),"")</f>
        <v>0</v>
      </c>
      <c r="F41" s="63">
        <f ca="1">_xlfn.IFNA(E41*_xlfn.XLOOKUP(C41,'08_Chart_Data'!$Q$3:$Q$104,'08_Chart_Data'!$S$3:$S$104,0)/D41,"")</f>
        <v>0</v>
      </c>
      <c r="G41" s="74">
        <f t="shared" ca="1" si="1"/>
        <v>0</v>
      </c>
      <c r="H41" s="75">
        <f t="shared" ca="1" si="2"/>
        <v>0</v>
      </c>
      <c r="I41" s="76">
        <f t="shared" ca="1" si="3"/>
        <v>0</v>
      </c>
    </row>
    <row r="42" spans="2:17">
      <c r="B42" s="72"/>
      <c r="C42" s="73">
        <v>61050</v>
      </c>
      <c r="D42" s="62">
        <f>_xlfn.IFNA(_xlfn.XLOOKUP(C42,'08_Chart_Data'!$Q$3:$Q$104,'08_Chart_Data'!$R$3:$R$104,0),"")</f>
        <v>0.30499999999999999</v>
      </c>
      <c r="E42" s="63">
        <f ca="1">_xlfn.IFNA(_xlfn.XLOOKUP(C42,'10_Cone_Line'!$A$3:$A$136,'10_Cone_Line'!$E$3:$E$136,0),"")</f>
        <v>0</v>
      </c>
      <c r="F42" s="63">
        <f ca="1">_xlfn.IFNA(E42*_xlfn.XLOOKUP(C42,'08_Chart_Data'!$Q$3:$Q$104,'08_Chart_Data'!$S$3:$S$104,0)/D42,"")</f>
        <v>0</v>
      </c>
      <c r="G42" s="74">
        <f t="shared" ca="1" si="1"/>
        <v>0</v>
      </c>
      <c r="H42" s="75">
        <f t="shared" ca="1" si="2"/>
        <v>0</v>
      </c>
      <c r="I42" s="76">
        <f t="shared" ca="1" si="3"/>
        <v>0</v>
      </c>
    </row>
    <row r="43" spans="2:17">
      <c r="B43" s="72">
        <f ca="1">SUMIF(G41:G59,"&gt;0")</f>
        <v>365.85365853658539</v>
      </c>
      <c r="C43" s="73">
        <v>1888</v>
      </c>
      <c r="D43" s="62">
        <f>_xlfn.IFNA(_xlfn.XLOOKUP(C43,'08_Chart_Data'!$Q$3:$Q$104,'08_Chart_Data'!$R$3:$R$104,0),"")</f>
        <v>0.38</v>
      </c>
      <c r="E43" s="63">
        <f>_xlfn.IFNA(_xlfn.XLOOKUP(C43,'10_Cone_Line'!$A$3:$A$136,'10_Cone_Line'!$E$3:$E$136,0),"")</f>
        <v>0</v>
      </c>
      <c r="F43" s="63">
        <f>_xlfn.IFNA(E43*_xlfn.XLOOKUP(C43,'08_Chart_Data'!$Q$3:$Q$104,'08_Chart_Data'!$S$3:$S$104,0)/D43,"")</f>
        <v>0</v>
      </c>
      <c r="G43" s="74">
        <f t="shared" si="1"/>
        <v>0</v>
      </c>
      <c r="H43" s="75">
        <f t="shared" si="2"/>
        <v>0</v>
      </c>
      <c r="I43" s="76">
        <f t="shared" si="3"/>
        <v>0</v>
      </c>
    </row>
    <row r="44" spans="2:17">
      <c r="B44" s="72"/>
      <c r="C44" s="73" t="s">
        <v>100</v>
      </c>
      <c r="D44" s="62">
        <f>_xlfn.IFNA(_xlfn.XLOOKUP(C44,'08_Chart_Data'!$Q$3:$Q$104,'08_Chart_Data'!$R$3:$R$104,0),"")</f>
        <v>0.41</v>
      </c>
      <c r="E44" s="63">
        <f ca="1">_xlfn.IFNA(_xlfn.XLOOKUP(C44,'10_Cone_Line'!$A$3:$A$136,'10_Cone_Line'!$E$3:$E$136,0),"")</f>
        <v>0</v>
      </c>
      <c r="F44" s="63">
        <f ca="1">_xlfn.IFNA(E44*_xlfn.XLOOKUP(C44,'08_Chart_Data'!$Q$3:$Q$104,'08_Chart_Data'!$S$3:$S$104,0)/D44,"")</f>
        <v>0</v>
      </c>
      <c r="G44" s="74">
        <f t="shared" ca="1" si="1"/>
        <v>0</v>
      </c>
      <c r="H44" s="75">
        <f t="shared" ca="1" si="2"/>
        <v>0</v>
      </c>
      <c r="I44" s="76">
        <f t="shared" ca="1" si="3"/>
        <v>0</v>
      </c>
    </row>
    <row r="45" spans="2:17">
      <c r="B45" s="72" t="s">
        <v>450</v>
      </c>
      <c r="C45" s="73">
        <v>61048</v>
      </c>
      <c r="D45" s="62">
        <f>_xlfn.IFNA(_xlfn.XLOOKUP(C45,'08_Chart_Data'!$Q$3:$Q$104,'08_Chart_Data'!$R$3:$R$104,0),"")</f>
        <v>0.38</v>
      </c>
      <c r="E45" s="63">
        <f ca="1">_xlfn.IFNA(_xlfn.XLOOKUP(C45,'10_Cone_Line'!$A$3:$A$136,'10_Cone_Line'!$E$3:$E$136,0),"")</f>
        <v>-127</v>
      </c>
      <c r="F45" s="63">
        <f ca="1">_xlfn.IFNA(E45*_xlfn.XLOOKUP(C45,'08_Chart_Data'!$Q$3:$Q$104,'08_Chart_Data'!$S$3:$S$104,0)/D45,"")</f>
        <v>-8355.2631578947367</v>
      </c>
      <c r="G45" s="74">
        <f t="shared" ca="1" si="1"/>
        <v>-12.287151702786378</v>
      </c>
      <c r="H45" s="75">
        <f t="shared" ca="1" si="2"/>
        <v>-5222.03947368421</v>
      </c>
      <c r="I45" s="76" t="str">
        <f t="shared" ca="1" si="3"/>
        <v/>
      </c>
    </row>
    <row r="46" spans="2:17">
      <c r="B46" s="72">
        <f ca="1">G41</f>
        <v>0</v>
      </c>
      <c r="C46" s="73">
        <v>61052</v>
      </c>
      <c r="D46" s="62">
        <f>_xlfn.IFNA(_xlfn.XLOOKUP(C46,'08_Chart_Data'!$Q$3:$Q$104,'08_Chart_Data'!$R$3:$R$104,0),"")</f>
        <v>0.46</v>
      </c>
      <c r="E46" s="63">
        <f ca="1">_xlfn.IFNA(_xlfn.XLOOKUP(C46,'10_Cone_Line'!$A$3:$A$136,'10_Cone_Line'!$E$3:$E$136,0),"")</f>
        <v>0</v>
      </c>
      <c r="F46" s="63">
        <f ca="1">_xlfn.IFNA(E46*_xlfn.XLOOKUP(C46,'08_Chart_Data'!$Q$3:$Q$104,'08_Chart_Data'!$S$3:$S$104,0)/D46,"")</f>
        <v>0</v>
      </c>
      <c r="G46" s="74">
        <f t="shared" ca="1" si="1"/>
        <v>0</v>
      </c>
      <c r="H46" s="75">
        <f t="shared" ca="1" si="2"/>
        <v>0</v>
      </c>
      <c r="I46" s="76">
        <f t="shared" ca="1" si="3"/>
        <v>0</v>
      </c>
    </row>
    <row r="47" spans="2:17">
      <c r="B47" s="72"/>
      <c r="C47" s="73">
        <v>200083</v>
      </c>
      <c r="D47" s="62">
        <f>_xlfn.IFNA(_xlfn.XLOOKUP(C47,'08_Chart_Data'!$Q$3:$Q$104,'08_Chart_Data'!$R$3:$R$104,0),"")</f>
        <v>0.41</v>
      </c>
      <c r="E47" s="63">
        <f ca="1">_xlfn.IFNA(_xlfn.XLOOKUP(C47,'10_Cone_Line'!$A$3:$A$136,'10_Cone_Line'!$E$3:$E$136,0),"")</f>
        <v>0</v>
      </c>
      <c r="F47" s="63">
        <f ca="1">_xlfn.IFNA(E47*_xlfn.XLOOKUP(C47,'08_Chart_Data'!$Q$3:$Q$104,'08_Chart_Data'!$S$3:$S$104,0)/D47,"")</f>
        <v>0</v>
      </c>
      <c r="G47" s="74">
        <f t="shared" ca="1" si="1"/>
        <v>0</v>
      </c>
      <c r="H47" s="75">
        <f t="shared" ca="1" si="2"/>
        <v>0</v>
      </c>
      <c r="I47" s="76">
        <f t="shared" ca="1" si="3"/>
        <v>0</v>
      </c>
    </row>
    <row r="48" spans="2:17">
      <c r="B48" s="72"/>
      <c r="C48" s="73">
        <v>200089</v>
      </c>
      <c r="D48" s="62">
        <f>_xlfn.IFNA(_xlfn.XLOOKUP(C48,'08_Chart_Data'!$Q$3:$Q$104,'08_Chart_Data'!$R$3:$R$104,0),"")</f>
        <v>0.41</v>
      </c>
      <c r="E48" s="63">
        <f ca="1">_xlfn.IFNA(_xlfn.XLOOKUP(C48,'10_Cone_Line'!$A$3:$A$136,'10_Cone_Line'!$E$3:$E$136,0),"")</f>
        <v>170</v>
      </c>
      <c r="F48" s="63">
        <f ca="1">_xlfn.IFNA(E48*_xlfn.XLOOKUP(C48,'08_Chart_Data'!$Q$3:$Q$104,'08_Chart_Data'!$S$3:$S$104,0)/D48,"")</f>
        <v>248780.48780487807</v>
      </c>
      <c r="G48" s="74">
        <f t="shared" ca="1" si="1"/>
        <v>365.85365853658539</v>
      </c>
      <c r="H48" s="75">
        <f t="shared" ca="1" si="2"/>
        <v>155487.80487804877</v>
      </c>
      <c r="I48" s="76">
        <f t="shared" ca="1" si="3"/>
        <v>0.93893601979498054</v>
      </c>
    </row>
    <row r="49" spans="2:9">
      <c r="B49" s="72"/>
      <c r="C49" s="73">
        <v>1894</v>
      </c>
      <c r="D49" s="62">
        <f>_xlfn.IFNA(_xlfn.XLOOKUP(C49,'08_Chart_Data'!$Q$3:$Q$104,'08_Chart_Data'!$R$3:$R$104,0),"")</f>
        <v>0.3</v>
      </c>
      <c r="E49" s="63">
        <f ca="1">_xlfn.IFNA(_xlfn.XLOOKUP(C49,'10_Cone_Line'!$A$3:$A$136,'10_Cone_Line'!$E$3:$E$136,0),"")</f>
        <v>0</v>
      </c>
      <c r="F49" s="63">
        <f ca="1">_xlfn.IFNA(E49*_xlfn.XLOOKUP(C49,'08_Chart_Data'!$Q$3:$Q$104,'08_Chart_Data'!$S$3:$S$104,0)/D49,"")</f>
        <v>0</v>
      </c>
      <c r="G49" s="74">
        <f t="shared" ca="1" si="1"/>
        <v>0</v>
      </c>
      <c r="H49" s="75">
        <f t="shared" ca="1" si="2"/>
        <v>0</v>
      </c>
      <c r="I49" s="76">
        <f t="shared" ca="1" si="3"/>
        <v>0</v>
      </c>
    </row>
    <row r="50" spans="2:9">
      <c r="B50" s="72"/>
      <c r="C50" s="73" t="s">
        <v>102</v>
      </c>
      <c r="D50" s="62">
        <f>_xlfn.IFNA(_xlfn.XLOOKUP(C50,'08_Chart_Data'!$Q$3:$Q$104,'08_Chart_Data'!$R$3:$R$104,0),"")</f>
        <v>0.3</v>
      </c>
      <c r="E50" s="63">
        <f ca="1">_xlfn.IFNA(_xlfn.XLOOKUP(C50,'10_Cone_Line'!$A$3:$A$136,'10_Cone_Line'!$E$3:$E$136,0),"")</f>
        <v>-67</v>
      </c>
      <c r="F50" s="63">
        <f ca="1">_xlfn.IFNA(E50*_xlfn.XLOOKUP(C50,'08_Chart_Data'!$Q$3:$Q$104,'08_Chart_Data'!$S$3:$S$104,0)/D50,"")</f>
        <v>-5583.3333333333339</v>
      </c>
      <c r="G50" s="74">
        <f t="shared" ca="1" si="1"/>
        <v>-8.2107843137254903</v>
      </c>
      <c r="H50" s="75">
        <f t="shared" ca="1" si="2"/>
        <v>-3489.5833333333335</v>
      </c>
      <c r="I50" s="76" t="str">
        <f t="shared" ca="1" si="3"/>
        <v/>
      </c>
    </row>
    <row r="51" spans="2:9">
      <c r="B51" s="72"/>
      <c r="C51" s="73">
        <v>165</v>
      </c>
      <c r="D51" s="62">
        <f>_xlfn.IFNA(_xlfn.XLOOKUP(C51,'08_Chart_Data'!$Q$3:$Q$104,'08_Chart_Data'!$R$3:$R$104,0),"")</f>
        <v>0.3</v>
      </c>
      <c r="E51" s="63">
        <f ca="1">_xlfn.IFNA(_xlfn.XLOOKUP(C51,'10_Cone_Line'!$A$3:$A$136,'10_Cone_Line'!$E$3:$E$136,0),"")</f>
        <v>0</v>
      </c>
      <c r="F51" s="63">
        <f ca="1">_xlfn.IFNA(E51*_xlfn.XLOOKUP(C51,'08_Chart_Data'!$Q$3:$Q$104,'08_Chart_Data'!$S$3:$S$104,0)/D51,"")</f>
        <v>0</v>
      </c>
      <c r="G51" s="74">
        <f t="shared" ca="1" si="1"/>
        <v>0</v>
      </c>
      <c r="H51" s="75">
        <f t="shared" ca="1" si="2"/>
        <v>0</v>
      </c>
      <c r="I51" s="76">
        <f t="shared" ca="1" si="3"/>
        <v>0</v>
      </c>
    </row>
    <row r="52" spans="2:9">
      <c r="B52" s="72"/>
      <c r="C52" s="73">
        <v>203169</v>
      </c>
      <c r="D52" s="62">
        <f>_xlfn.IFNA(_xlfn.XLOOKUP(C52,'08_Chart_Data'!$Q$3:$Q$104,'08_Chart_Data'!$R$3:$R$104,0),"")</f>
        <v>0.3</v>
      </c>
      <c r="E52" s="63">
        <f ca="1">_xlfn.IFNA(_xlfn.XLOOKUP(C52,'10_Cone_Line'!$A$3:$A$136,'10_Cone_Line'!$E$3:$E$136,0),"")</f>
        <v>0</v>
      </c>
      <c r="F52" s="63">
        <f ca="1">_xlfn.IFNA(E52*_xlfn.XLOOKUP(C52,'08_Chart_Data'!$Q$3:$Q$104,'08_Chart_Data'!$S$3:$S$104,0)/D52,"")</f>
        <v>0</v>
      </c>
      <c r="G52" s="74">
        <f t="shared" ca="1" si="1"/>
        <v>0</v>
      </c>
      <c r="H52" s="75">
        <f t="shared" ca="1" si="2"/>
        <v>0</v>
      </c>
      <c r="I52" s="76">
        <f t="shared" ca="1" si="3"/>
        <v>0</v>
      </c>
    </row>
    <row r="53" spans="2:9">
      <c r="B53" s="72"/>
      <c r="C53" s="73" t="s">
        <v>101</v>
      </c>
      <c r="D53" s="62">
        <f>_xlfn.IFNA(_xlfn.XLOOKUP(C53,'08_Chart_Data'!$Q$3:$Q$104,'08_Chart_Data'!$R$3:$R$104,0),"")</f>
        <v>0</v>
      </c>
      <c r="E53" s="63">
        <f ca="1">_xlfn.IFNA(_xlfn.XLOOKUP(C53,'10_Cone_Line'!$A$3:$A$136,'10_Cone_Line'!$E$3:$E$136,0),"")</f>
        <v>0</v>
      </c>
      <c r="F53" s="63" t="e">
        <f ca="1">_xlfn.IFNA(E53*_xlfn.XLOOKUP(C53,'08_Chart_Data'!$Q$3:$Q$104,'08_Chart_Data'!$S$3:$S$104,0)/D53,"")</f>
        <v>#DIV/0!</v>
      </c>
      <c r="G53" s="74" t="str">
        <f t="shared" ca="1" si="1"/>
        <v>0</v>
      </c>
      <c r="H53" s="75" t="str">
        <f t="shared" ca="1" si="2"/>
        <v>-</v>
      </c>
      <c r="I53" s="76" t="str">
        <f t="shared" ca="1" si="3"/>
        <v/>
      </c>
    </row>
    <row r="54" spans="2:9">
      <c r="B54" s="72"/>
      <c r="C54" s="73">
        <v>65</v>
      </c>
      <c r="D54" s="62">
        <f>_xlfn.IFNA(_xlfn.XLOOKUP(C54,'08_Chart_Data'!$Q$3:$Q$104,'08_Chart_Data'!$R$3:$R$104,0),"")</f>
        <v>0.3</v>
      </c>
      <c r="E54" s="63">
        <f ca="1">_xlfn.IFNA(_xlfn.XLOOKUP(C54,'10_Cone_Line'!$A$3:$A$136,'10_Cone_Line'!$E$3:$E$136,0),"")</f>
        <v>0</v>
      </c>
      <c r="F54" s="63">
        <f ca="1">_xlfn.IFNA(E54*_xlfn.XLOOKUP(C54,'08_Chart_Data'!$Q$3:$Q$104,'08_Chart_Data'!$S$3:$S$104,0)/D54,"")</f>
        <v>0</v>
      </c>
      <c r="G54" s="74">
        <f t="shared" ca="1" si="1"/>
        <v>0</v>
      </c>
      <c r="H54" s="75">
        <f t="shared" ca="1" si="2"/>
        <v>0</v>
      </c>
      <c r="I54" s="76">
        <f t="shared" ca="1" si="3"/>
        <v>0</v>
      </c>
    </row>
    <row r="55" spans="2:9">
      <c r="B55" s="72"/>
      <c r="C55" s="73">
        <v>2236</v>
      </c>
      <c r="D55" s="62">
        <f>_xlfn.IFNA(_xlfn.XLOOKUP(C55,'08_Chart_Data'!$Q$3:$Q$104,'08_Chart_Data'!$R$3:$R$104,0),"")</f>
        <v>0.30499999999999999</v>
      </c>
      <c r="E55" s="63">
        <f ca="1">_xlfn.IFNA(_xlfn.XLOOKUP(C55,'10_Cone_Line'!$A$3:$A$136,'10_Cone_Line'!$E$3:$E$136,0),"")</f>
        <v>0</v>
      </c>
      <c r="F55" s="63">
        <f ca="1">_xlfn.IFNA(E55*_xlfn.XLOOKUP(C55,'08_Chart_Data'!$Q$3:$Q$104,'08_Chart_Data'!$S$3:$S$104,0)/D55,"")</f>
        <v>0</v>
      </c>
      <c r="G55" s="74">
        <f t="shared" ca="1" si="1"/>
        <v>0</v>
      </c>
      <c r="H55" s="75">
        <f t="shared" ca="1" si="2"/>
        <v>0</v>
      </c>
      <c r="I55" s="76">
        <f t="shared" ca="1" si="3"/>
        <v>0</v>
      </c>
    </row>
    <row r="56" spans="2:9">
      <c r="B56" s="72"/>
      <c r="C56" s="73">
        <v>201894</v>
      </c>
      <c r="D56" s="62">
        <f>_xlfn.IFNA(_xlfn.XLOOKUP(C56,'08_Chart_Data'!$Q$3:$Q$104,'08_Chart_Data'!$R$3:$R$104,0),"")</f>
        <v>0.3</v>
      </c>
      <c r="E56" s="63">
        <f ca="1">_xlfn.IFNA(_xlfn.XLOOKUP(C56,'10_Cone_Line'!$A$3:$A$136,'10_Cone_Line'!$E$3:$E$136,0),"")</f>
        <v>0</v>
      </c>
      <c r="F56" s="63">
        <f ca="1">_xlfn.IFNA(E56*_xlfn.XLOOKUP(C56,'08_Chart_Data'!$Q$3:$Q$104,'08_Chart_Data'!$S$3:$S$104,0)/D56,"")</f>
        <v>0</v>
      </c>
      <c r="G56" s="74">
        <f t="shared" ca="1" si="1"/>
        <v>0</v>
      </c>
      <c r="H56" s="75">
        <f t="shared" ca="1" si="2"/>
        <v>0</v>
      </c>
      <c r="I56" s="76">
        <f t="shared" ca="1" si="3"/>
        <v>0</v>
      </c>
    </row>
    <row r="57" spans="2:9">
      <c r="B57" s="72"/>
      <c r="C57" s="73">
        <v>201895</v>
      </c>
      <c r="D57" s="62">
        <f>_xlfn.IFNA(_xlfn.XLOOKUP(C57,'08_Chart_Data'!$Q$3:$Q$104,'08_Chart_Data'!$R$3:$R$104,0),"")</f>
        <v>0.3</v>
      </c>
      <c r="E57" s="63">
        <f ca="1">_xlfn.IFNA(_xlfn.XLOOKUP(C57,'10_Cone_Line'!$A$3:$A$136,'10_Cone_Line'!$E$3:$E$136,0),"")</f>
        <v>0</v>
      </c>
      <c r="F57" s="63">
        <f ca="1">_xlfn.IFNA(E57*_xlfn.XLOOKUP(C57,'08_Chart_Data'!$Q$3:$Q$104,'08_Chart_Data'!$S$3:$S$104,0)/D57,"")</f>
        <v>0</v>
      </c>
      <c r="G57" s="74">
        <f t="shared" ca="1" si="1"/>
        <v>0</v>
      </c>
      <c r="H57" s="75">
        <f t="shared" ca="1" si="2"/>
        <v>0</v>
      </c>
      <c r="I57" s="76">
        <f t="shared" ca="1" si="3"/>
        <v>0</v>
      </c>
    </row>
    <row r="58" spans="2:9">
      <c r="B58" s="72"/>
      <c r="C58" s="73" t="s">
        <v>104</v>
      </c>
      <c r="D58" s="62">
        <f>_xlfn.IFNA(_xlfn.XLOOKUP(C58,'08_Chart_Data'!$Q$3:$Q$104,'08_Chart_Data'!$R$3:$R$104,0),"")</f>
        <v>0.30499999999999999</v>
      </c>
      <c r="E58" s="63">
        <f ca="1">_xlfn.IFNA(_xlfn.XLOOKUP(C58,'10_Cone_Line'!$A$3:$A$136,'10_Cone_Line'!$E$3:$E$136,0),"")</f>
        <v>0</v>
      </c>
      <c r="F58" s="63">
        <f ca="1">_xlfn.IFNA(E58*_xlfn.XLOOKUP(C58,'08_Chart_Data'!$Q$3:$Q$104,'08_Chart_Data'!$S$3:$S$104,0)/D58,"")</f>
        <v>0</v>
      </c>
      <c r="G58" s="74">
        <f t="shared" ref="G58:G89" ca="1" si="4">IFERROR(F58/$C$5,"0")</f>
        <v>0</v>
      </c>
      <c r="H58" s="75">
        <f t="shared" ref="H58:H89" ca="1" si="5">IFERROR(F58/$C$6,"-")</f>
        <v>0</v>
      </c>
      <c r="I58" s="76">
        <f t="shared" ref="I58:I89" ca="1" si="6">IFERROR(IF(H58&lt;0,"",(H58/$C$9)/1440),"")</f>
        <v>0</v>
      </c>
    </row>
    <row r="59" spans="2:9">
      <c r="B59" s="72"/>
      <c r="C59" s="73">
        <v>61055</v>
      </c>
      <c r="D59" s="62">
        <f>_xlfn.IFNA(_xlfn.XLOOKUP(C59,'08_Chart_Data'!$Q$3:$Q$104,'08_Chart_Data'!$R$3:$R$104,0),"")</f>
        <v>0</v>
      </c>
      <c r="E59" s="63">
        <f>_xlfn.IFNA(_xlfn.XLOOKUP(C59,'10_Cone_Line'!$A$3:$A$136,'10_Cone_Line'!$E$3:$E$136,0),"")</f>
        <v>0</v>
      </c>
      <c r="F59" s="63" t="e">
        <f>_xlfn.IFNA(E59*_xlfn.XLOOKUP(C59,'08_Chart_Data'!$Q$3:$Q$104,'08_Chart_Data'!$S$3:$S$104,0)/D59,"")</f>
        <v>#DIV/0!</v>
      </c>
      <c r="G59" s="74" t="str">
        <f t="shared" si="4"/>
        <v>0</v>
      </c>
      <c r="H59" s="75" t="str">
        <f t="shared" si="5"/>
        <v>-</v>
      </c>
      <c r="I59" s="76" t="str">
        <f t="shared" si="6"/>
        <v/>
      </c>
    </row>
    <row r="60" spans="2:9">
      <c r="B60" s="77" t="s">
        <v>440</v>
      </c>
      <c r="C60" s="78">
        <v>2233</v>
      </c>
      <c r="D60" s="62">
        <f>_xlfn.IFNA(_xlfn.XLOOKUP(C60,'08_Chart_Data'!$Q$3:$Q$104,'08_Chart_Data'!$R$3:$R$104,0),"")</f>
        <v>5.7899999999999993E-2</v>
      </c>
      <c r="E60" s="63">
        <f ca="1">_xlfn.IFNA(_xlfn.XLOOKUP(C60,'10_Cone_Line'!$A$3:$A$136,'10_Cone_Line'!$E$3:$E$136,0),"")</f>
        <v>0</v>
      </c>
      <c r="F60" s="63">
        <f ca="1">_xlfn.IFNA(E60*_xlfn.XLOOKUP(C60,'08_Chart_Data'!$Q$3:$Q$104,'08_Chart_Data'!$S$3:$S$104,0)/D60,"")</f>
        <v>0</v>
      </c>
      <c r="G60" s="79">
        <f t="shared" ca="1" si="4"/>
        <v>0</v>
      </c>
      <c r="H60" s="80">
        <f t="shared" ca="1" si="5"/>
        <v>0</v>
      </c>
      <c r="I60" s="81">
        <f t="shared" ca="1" si="6"/>
        <v>0</v>
      </c>
    </row>
    <row r="61" spans="2:9">
      <c r="B61" s="77"/>
      <c r="C61" s="78">
        <v>61014</v>
      </c>
      <c r="D61" s="62">
        <f>_xlfn.IFNA(_xlfn.XLOOKUP(C61,'08_Chart_Data'!$Q$3:$Q$104,'08_Chart_Data'!$R$3:$R$104,0),"")</f>
        <v>5.7899999999999993E-2</v>
      </c>
      <c r="E61" s="63">
        <f ca="1">_xlfn.IFNA(_xlfn.XLOOKUP(C61,'10_Cone_Line'!$A$3:$A$136,'10_Cone_Line'!$E$3:$E$136,0),"")</f>
        <v>0</v>
      </c>
      <c r="F61" s="63">
        <f ca="1">_xlfn.IFNA(E61*_xlfn.XLOOKUP(C61,'08_Chart_Data'!$Q$3:$Q$104,'08_Chart_Data'!$S$3:$S$104,0)/D61,"")</f>
        <v>0</v>
      </c>
      <c r="G61" s="79">
        <f t="shared" ca="1" si="4"/>
        <v>0</v>
      </c>
      <c r="H61" s="80">
        <f t="shared" ca="1" si="5"/>
        <v>0</v>
      </c>
      <c r="I61" s="81">
        <f t="shared" ca="1" si="6"/>
        <v>0</v>
      </c>
    </row>
    <row r="62" spans="2:9">
      <c r="B62" s="77">
        <f ca="1">SUMIF(G60:G73,"&gt;0")</f>
        <v>1.7647058823529411</v>
      </c>
      <c r="C62" s="78">
        <v>61018</v>
      </c>
      <c r="D62" s="62">
        <f>_xlfn.IFNA(_xlfn.XLOOKUP(C62,'08_Chart_Data'!$Q$3:$Q$104,'08_Chart_Data'!$R$3:$R$104,0),"")</f>
        <v>0.11</v>
      </c>
      <c r="E62" s="63">
        <f>_xlfn.IFNA(_xlfn.XLOOKUP(C62,'10_Cone_Line'!$A$3:$A$136,'10_Cone_Line'!$E$3:$E$136,0),"")</f>
        <v>0</v>
      </c>
      <c r="F62" s="63">
        <f>_xlfn.IFNA(E62*_xlfn.XLOOKUP(C62,'08_Chart_Data'!$Q$3:$Q$104,'08_Chart_Data'!$S$3:$S$104,0)/D62,"")</f>
        <v>0</v>
      </c>
      <c r="G62" s="79">
        <f t="shared" si="4"/>
        <v>0</v>
      </c>
      <c r="H62" s="80">
        <f t="shared" si="5"/>
        <v>0</v>
      </c>
      <c r="I62" s="81">
        <f t="shared" si="6"/>
        <v>0</v>
      </c>
    </row>
    <row r="63" spans="2:9">
      <c r="B63" s="77"/>
      <c r="C63" s="78">
        <v>61010</v>
      </c>
      <c r="D63" s="62">
        <f>_xlfn.IFNA(_xlfn.XLOOKUP(C63,'08_Chart_Data'!$Q$3:$Q$104,'08_Chart_Data'!$R$3:$R$104,0),"")</f>
        <v>0.105</v>
      </c>
      <c r="E63" s="63">
        <f ca="1">_xlfn.IFNA(_xlfn.XLOOKUP(C63,'10_Cone_Line'!$A$3:$A$136,'10_Cone_Line'!$E$3:$E$136,0),"")</f>
        <v>0</v>
      </c>
      <c r="F63" s="63">
        <f ca="1">_xlfn.IFNA(E63*_xlfn.XLOOKUP(C63,'08_Chart_Data'!$Q$3:$Q$104,'08_Chart_Data'!$S$3:$S$104,0)/D63,"")</f>
        <v>0</v>
      </c>
      <c r="G63" s="79">
        <f t="shared" ca="1" si="4"/>
        <v>0</v>
      </c>
      <c r="H63" s="80">
        <f t="shared" ca="1" si="5"/>
        <v>0</v>
      </c>
      <c r="I63" s="81">
        <f t="shared" ca="1" si="6"/>
        <v>0</v>
      </c>
    </row>
    <row r="64" spans="2:9">
      <c r="B64" s="77" t="s">
        <v>450</v>
      </c>
      <c r="C64" s="78">
        <v>904</v>
      </c>
      <c r="D64" s="62">
        <f>_xlfn.IFNA(_xlfn.XLOOKUP(C64,'08_Chart_Data'!$Q$3:$Q$104,'08_Chart_Data'!$R$3:$R$104,0),"")</f>
        <v>0.105</v>
      </c>
      <c r="E64" s="63">
        <f>_xlfn.IFNA(_xlfn.XLOOKUP(C64,'10_Cone_Line'!$A$3:$A$136,'10_Cone_Line'!$E$3:$E$136,0),"")</f>
        <v>7</v>
      </c>
      <c r="F64" s="63">
        <f>_xlfn.IFNA(E64*_xlfn.XLOOKUP(C64,'08_Chart_Data'!$Q$3:$Q$104,'08_Chart_Data'!$S$3:$S$104,0)/D64,"")</f>
        <v>1200</v>
      </c>
      <c r="G64" s="79">
        <f t="shared" si="4"/>
        <v>1.7647058823529411</v>
      </c>
      <c r="H64" s="80">
        <f t="shared" si="5"/>
        <v>750</v>
      </c>
      <c r="I64" s="81">
        <f t="shared" si="6"/>
        <v>4.528985507246377E-3</v>
      </c>
    </row>
    <row r="65" spans="2:9">
      <c r="B65" s="77">
        <f ca="1">G73</f>
        <v>-106.67479427003964</v>
      </c>
      <c r="C65" s="78">
        <v>868</v>
      </c>
      <c r="D65" s="62">
        <f>_xlfn.IFNA(_xlfn.XLOOKUP(C65,'08_Chart_Data'!$Q$3:$Q$104,'08_Chart_Data'!$R$3:$R$104,0),"")</f>
        <v>9.5000000000000001E-2</v>
      </c>
      <c r="E65" s="63">
        <f ca="1">_xlfn.IFNA(_xlfn.XLOOKUP(C65,'10_Cone_Line'!$A$3:$A$136,'10_Cone_Line'!$E$3:$E$136,0),"")</f>
        <v>0</v>
      </c>
      <c r="F65" s="63">
        <f ca="1">_xlfn.IFNA(E65*_xlfn.XLOOKUP(C65,'08_Chart_Data'!$Q$3:$Q$104,'08_Chart_Data'!$S$3:$S$104,0)/D65,"")</f>
        <v>0</v>
      </c>
      <c r="G65" s="79">
        <f t="shared" ca="1" si="4"/>
        <v>0</v>
      </c>
      <c r="H65" s="80">
        <f t="shared" ca="1" si="5"/>
        <v>0</v>
      </c>
      <c r="I65" s="81">
        <f t="shared" ca="1" si="6"/>
        <v>0</v>
      </c>
    </row>
    <row r="66" spans="2:9">
      <c r="B66" s="77"/>
      <c r="C66" s="78">
        <v>203172</v>
      </c>
      <c r="D66" s="62">
        <f>_xlfn.IFNA(_xlfn.XLOOKUP(C66,'08_Chart_Data'!$Q$3:$Q$104,'08_Chart_Data'!$R$3:$R$104,0),"")</f>
        <v>0.105</v>
      </c>
      <c r="E66" s="63">
        <f ca="1">_xlfn.IFNA(_xlfn.XLOOKUP(C66,'10_Cone_Line'!$A$3:$A$136,'10_Cone_Line'!$E$3:$E$136,0),"")</f>
        <v>0</v>
      </c>
      <c r="F66" s="63">
        <f ca="1">_xlfn.IFNA(E66*_xlfn.XLOOKUP(C66,'08_Chart_Data'!$Q$3:$Q$104,'08_Chart_Data'!$S$3:$S$104,0)/D66,"")</f>
        <v>0</v>
      </c>
      <c r="G66" s="79">
        <f t="shared" ca="1" si="4"/>
        <v>0</v>
      </c>
      <c r="H66" s="80">
        <f t="shared" ca="1" si="5"/>
        <v>0</v>
      </c>
      <c r="I66" s="81">
        <f t="shared" ca="1" si="6"/>
        <v>0</v>
      </c>
    </row>
    <row r="67" spans="2:9">
      <c r="B67" s="77"/>
      <c r="C67" s="78">
        <v>203173</v>
      </c>
      <c r="D67" s="62">
        <f>_xlfn.IFNA(_xlfn.XLOOKUP(C67,'08_Chart_Data'!$Q$3:$Q$104,'08_Chart_Data'!$R$3:$R$104,0),"")</f>
        <v>9.5000000000000001E-2</v>
      </c>
      <c r="E67" s="63">
        <f ca="1">_xlfn.IFNA(_xlfn.XLOOKUP(C67,'10_Cone_Line'!$A$3:$A$136,'10_Cone_Line'!$E$3:$E$136,0),"")</f>
        <v>0</v>
      </c>
      <c r="F67" s="63">
        <f ca="1">_xlfn.IFNA(E67*_xlfn.XLOOKUP(C67,'08_Chart_Data'!$Q$3:$Q$104,'08_Chart_Data'!$S$3:$S$104,0)/D67,"")</f>
        <v>0</v>
      </c>
      <c r="G67" s="79">
        <f t="shared" ca="1" si="4"/>
        <v>0</v>
      </c>
      <c r="H67" s="80">
        <f t="shared" ca="1" si="5"/>
        <v>0</v>
      </c>
      <c r="I67" s="81">
        <f t="shared" ca="1" si="6"/>
        <v>0</v>
      </c>
    </row>
    <row r="68" spans="2:9">
      <c r="B68" s="77"/>
      <c r="C68" s="78" t="s">
        <v>95</v>
      </c>
      <c r="D68" s="62">
        <f>_xlfn.IFNA(_xlfn.XLOOKUP(C68,'08_Chart_Data'!$Q$3:$Q$104,'08_Chart_Data'!$R$3:$R$104,0),"")</f>
        <v>9.5000000000000001E-2</v>
      </c>
      <c r="E68" s="63">
        <f ca="1">_xlfn.IFNA(_xlfn.XLOOKUP(C68,'10_Cone_Line'!$A$3:$A$136,'10_Cone_Line'!$E$3:$E$136,0),"")</f>
        <v>0</v>
      </c>
      <c r="F68" s="63">
        <f ca="1">_xlfn.IFNA(E68*_xlfn.XLOOKUP(C68,'08_Chart_Data'!$Q$3:$Q$104,'08_Chart_Data'!$S$3:$S$104,0)/D68,"")</f>
        <v>0</v>
      </c>
      <c r="G68" s="79">
        <f t="shared" ca="1" si="4"/>
        <v>0</v>
      </c>
      <c r="H68" s="80">
        <f t="shared" ca="1" si="5"/>
        <v>0</v>
      </c>
      <c r="I68" s="81">
        <f t="shared" ca="1" si="6"/>
        <v>0</v>
      </c>
    </row>
    <row r="69" spans="2:9">
      <c r="B69" s="77"/>
      <c r="C69" s="78" t="s">
        <v>99</v>
      </c>
      <c r="D69" s="62">
        <f>_xlfn.IFNA(_xlfn.XLOOKUP(C69,'08_Chart_Data'!$Q$3:$Q$104,'08_Chart_Data'!$R$3:$R$104,0),"")</f>
        <v>9.5000000000000001E-2</v>
      </c>
      <c r="E69" s="63">
        <f ca="1">_xlfn.IFNA(_xlfn.XLOOKUP(C69,'10_Cone_Line'!$A$3:$A$136,'10_Cone_Line'!$E$3:$E$136,0),"")</f>
        <v>0</v>
      </c>
      <c r="F69" s="63">
        <f ca="1">_xlfn.IFNA(E69*_xlfn.XLOOKUP(C69,'08_Chart_Data'!$Q$3:$Q$104,'08_Chart_Data'!$S$3:$S$104,0)/D69,"")</f>
        <v>0</v>
      </c>
      <c r="G69" s="79">
        <f t="shared" ca="1" si="4"/>
        <v>0</v>
      </c>
      <c r="H69" s="80">
        <f t="shared" ca="1" si="5"/>
        <v>0</v>
      </c>
      <c r="I69" s="81">
        <f t="shared" ca="1" si="6"/>
        <v>0</v>
      </c>
    </row>
    <row r="70" spans="2:9">
      <c r="B70" s="77"/>
      <c r="C70" s="78">
        <v>203035</v>
      </c>
      <c r="D70" s="62">
        <f>_xlfn.IFNA(_xlfn.XLOOKUP(C70,'08_Chart_Data'!$Q$3:$Q$104,'08_Chart_Data'!$R$3:$R$104,0),"")</f>
        <v>5.7899999999999993E-2</v>
      </c>
      <c r="E70" s="63">
        <f ca="1">_xlfn.IFNA(_xlfn.XLOOKUP(C70,'10_Cone_Line'!$A$3:$A$136,'10_Cone_Line'!$E$3:$E$136,0),"")</f>
        <v>0</v>
      </c>
      <c r="F70" s="63">
        <f ca="1">_xlfn.IFNA(E70*_xlfn.XLOOKUP(C70,'08_Chart_Data'!$Q$3:$Q$104,'08_Chart_Data'!$S$3:$S$104,0)/D70,"")</f>
        <v>0</v>
      </c>
      <c r="G70" s="79">
        <f t="shared" ca="1" si="4"/>
        <v>0</v>
      </c>
      <c r="H70" s="80">
        <f t="shared" ca="1" si="5"/>
        <v>0</v>
      </c>
      <c r="I70" s="81">
        <f t="shared" ca="1" si="6"/>
        <v>0</v>
      </c>
    </row>
    <row r="71" spans="2:9">
      <c r="B71" s="77"/>
      <c r="C71" s="78" t="s">
        <v>96</v>
      </c>
      <c r="D71" s="62">
        <f>_xlfn.IFNA(_xlfn.XLOOKUP(C71,'08_Chart_Data'!$Q$3:$Q$104,'08_Chart_Data'!$R$3:$R$104,0),"")</f>
        <v>5.7899999999999993E-2</v>
      </c>
      <c r="E71" s="63">
        <f ca="1">_xlfn.IFNA(_xlfn.XLOOKUP(C71,'10_Cone_Line'!$A$3:$A$136,'10_Cone_Line'!$E$3:$E$136,0),"")</f>
        <v>-24</v>
      </c>
      <c r="F71" s="63">
        <f ca="1">_xlfn.IFNA(E71*_xlfn.XLOOKUP(C71,'08_Chart_Data'!$Q$3:$Q$104,'08_Chart_Data'!$S$3:$S$104,0)/D71,"")</f>
        <v>-10362.694300518137</v>
      </c>
      <c r="G71" s="79">
        <f t="shared" ca="1" si="4"/>
        <v>-15.239256324291377</v>
      </c>
      <c r="H71" s="80">
        <f t="shared" ca="1" si="5"/>
        <v>-6476.6839378238346</v>
      </c>
      <c r="I71" s="81" t="str">
        <f t="shared" ca="1" si="6"/>
        <v/>
      </c>
    </row>
    <row r="72" spans="2:9">
      <c r="B72" s="77"/>
      <c r="C72" s="78">
        <v>203194</v>
      </c>
      <c r="D72" s="62">
        <f>_xlfn.IFNA(_xlfn.XLOOKUP(C72,'08_Chart_Data'!$Q$3:$Q$104,'08_Chart_Data'!$R$3:$R$104,0),"")</f>
        <v>5.7899999999999993E-2</v>
      </c>
      <c r="E72" s="63">
        <f ca="1">_xlfn.IFNA(_xlfn.XLOOKUP(C72,'10_Cone_Line'!$A$3:$A$136,'10_Cone_Line'!$E$3:$E$136,0),"")</f>
        <v>0</v>
      </c>
      <c r="F72" s="63">
        <f ca="1">_xlfn.IFNA(E72*_xlfn.XLOOKUP(C72,'08_Chart_Data'!$Q$3:$Q$104,'08_Chart_Data'!$S$3:$S$104,0)/D72,"")</f>
        <v>0</v>
      </c>
      <c r="G72" s="79">
        <f t="shared" ca="1" si="4"/>
        <v>0</v>
      </c>
      <c r="H72" s="80">
        <f t="shared" ca="1" si="5"/>
        <v>0</v>
      </c>
      <c r="I72" s="81">
        <f t="shared" ca="1" si="6"/>
        <v>0</v>
      </c>
    </row>
    <row r="73" spans="2:9">
      <c r="B73" s="77"/>
      <c r="C73" s="78" t="s">
        <v>97</v>
      </c>
      <c r="D73" s="62">
        <f>_xlfn.IFNA(_xlfn.XLOOKUP(C73,'08_Chart_Data'!$Q$3:$Q$104,'08_Chart_Data'!$R$3:$R$104,0),"")</f>
        <v>5.7899999999999993E-2</v>
      </c>
      <c r="E73" s="63">
        <f ca="1">_xlfn.IFNA(_xlfn.XLOOKUP(C73,'10_Cone_Line'!$A$3:$A$136,'10_Cone_Line'!$E$3:$E$136,0),"")</f>
        <v>-168</v>
      </c>
      <c r="F73" s="63">
        <f ca="1">_xlfn.IFNA(E73*_xlfn.XLOOKUP(C73,'08_Chart_Data'!$Q$3:$Q$104,'08_Chart_Data'!$S$3:$S$104,0)/D73,"")</f>
        <v>-72538.860103626954</v>
      </c>
      <c r="G73" s="79">
        <f t="shared" ca="1" si="4"/>
        <v>-106.67479427003964</v>
      </c>
      <c r="H73" s="80">
        <f t="shared" ca="1" si="5"/>
        <v>-45336.787564766841</v>
      </c>
      <c r="I73" s="81" t="str">
        <f t="shared" ca="1" si="6"/>
        <v/>
      </c>
    </row>
    <row r="74" spans="2:9">
      <c r="B74" s="82" t="s">
        <v>441</v>
      </c>
      <c r="C74" s="83">
        <v>61077</v>
      </c>
      <c r="D74" s="62">
        <f>_xlfn.IFNA(_xlfn.XLOOKUP(C74,'08_Chart_Data'!$Q$3:$Q$104,'08_Chart_Data'!$R$3:$R$104,0),"")</f>
        <v>0.18600000000000003</v>
      </c>
      <c r="E74" s="63">
        <f ca="1">_xlfn.IFNA(_xlfn.XLOOKUP(C74,'10_Cone_Line'!$A$3:$A$136,'10_Cone_Line'!$E$3:$E$136,0),"")</f>
        <v>-25</v>
      </c>
      <c r="F74" s="63">
        <f ca="1">_xlfn.IFNA(E74*_xlfn.XLOOKUP(C74,'08_Chart_Data'!$Q$3:$Q$104,'08_Chart_Data'!$S$3:$S$104,0)/D74,"")</f>
        <v>-3360.2150537634402</v>
      </c>
      <c r="G74" s="84">
        <f t="shared" ca="1" si="4"/>
        <v>-4.9414927261227062</v>
      </c>
      <c r="H74" s="85">
        <f t="shared" ca="1" si="5"/>
        <v>-2100.13440860215</v>
      </c>
      <c r="I74" s="86" t="str">
        <f t="shared" ca="1" si="6"/>
        <v/>
      </c>
    </row>
    <row r="75" spans="2:9">
      <c r="B75" s="82"/>
      <c r="C75" s="83" t="s">
        <v>116</v>
      </c>
      <c r="D75" s="62">
        <f>_xlfn.IFNA(_xlfn.XLOOKUP(C75,'08_Chart_Data'!$Q$3:$Q$104,'08_Chart_Data'!$R$3:$R$104,0),"")</f>
        <v>0.18600000000000003</v>
      </c>
      <c r="E75" s="63">
        <f ca="1">_xlfn.IFNA(_xlfn.XLOOKUP(C75,'10_Cone_Line'!$A$3:$A$136,'10_Cone_Line'!$E$3:$E$136,0),"")</f>
        <v>0</v>
      </c>
      <c r="F75" s="63">
        <f ca="1">_xlfn.IFNA(E75*_xlfn.XLOOKUP(C75,'08_Chart_Data'!$Q$3:$Q$104,'08_Chart_Data'!$S$3:$S$104,0)/D75,"")</f>
        <v>0</v>
      </c>
      <c r="G75" s="84">
        <f t="shared" ca="1" si="4"/>
        <v>0</v>
      </c>
      <c r="H75" s="85">
        <f t="shared" ca="1" si="5"/>
        <v>0</v>
      </c>
      <c r="I75" s="86">
        <f t="shared" ca="1" si="6"/>
        <v>0</v>
      </c>
    </row>
    <row r="76" spans="2:9">
      <c r="B76" s="82">
        <f ca="1">SUMIF(G74:G92,"&gt;0")</f>
        <v>62.554179566563469</v>
      </c>
      <c r="C76" s="83">
        <v>61078</v>
      </c>
      <c r="D76" s="62">
        <f>_xlfn.IFNA(_xlfn.XLOOKUP(C76,'08_Chart_Data'!$Q$3:$Q$104,'08_Chart_Data'!$R$3:$R$104,0),"")</f>
        <v>0.18600000000000003</v>
      </c>
      <c r="E76" s="63">
        <f ca="1">_xlfn.IFNA(_xlfn.XLOOKUP(C76,'10_Cone_Line'!$A$3:$A$136,'10_Cone_Line'!$E$3:$E$136,0),"")</f>
        <v>0</v>
      </c>
      <c r="F76" s="63">
        <f ca="1">_xlfn.IFNA(E76*_xlfn.XLOOKUP(C76,'08_Chart_Data'!$Q$3:$Q$104,'08_Chart_Data'!$S$3:$S$104,0)/D76,"")</f>
        <v>0</v>
      </c>
      <c r="G76" s="84">
        <f t="shared" ca="1" si="4"/>
        <v>0</v>
      </c>
      <c r="H76" s="85">
        <f t="shared" ca="1" si="5"/>
        <v>0</v>
      </c>
      <c r="I76" s="86">
        <f t="shared" ca="1" si="6"/>
        <v>0</v>
      </c>
    </row>
    <row r="77" spans="2:9">
      <c r="B77" s="82"/>
      <c r="C77" s="83">
        <v>200902</v>
      </c>
      <c r="D77" s="62">
        <f>_xlfn.IFNA(_xlfn.XLOOKUP(C77,'08_Chart_Data'!$Q$3:$Q$104,'08_Chart_Data'!$R$3:$R$104,0),"")</f>
        <v>0.19</v>
      </c>
      <c r="E77" s="63">
        <f ca="1">_xlfn.IFNA(_xlfn.XLOOKUP(C77,'10_Cone_Line'!$A$3:$A$136,'10_Cone_Line'!$E$3:$E$136,0),"")</f>
        <v>449</v>
      </c>
      <c r="F77" s="63">
        <f ca="1">_xlfn.IFNA(E77*_xlfn.XLOOKUP(C77,'08_Chart_Data'!$Q$3:$Q$104,'08_Chart_Data'!$S$3:$S$104,0)/D77,"")</f>
        <v>42536.84210526316</v>
      </c>
      <c r="G77" s="84">
        <f t="shared" ca="1" si="4"/>
        <v>62.554179566563469</v>
      </c>
      <c r="H77" s="85">
        <f t="shared" ca="1" si="5"/>
        <v>26585.526315789473</v>
      </c>
      <c r="I77" s="86">
        <f t="shared" ca="1" si="6"/>
        <v>0.16054061784897025</v>
      </c>
    </row>
    <row r="78" spans="2:9">
      <c r="B78" s="82" t="s">
        <v>450</v>
      </c>
      <c r="C78" s="83">
        <v>61082</v>
      </c>
      <c r="D78" s="62">
        <f>_xlfn.IFNA(_xlfn.XLOOKUP(C78,'08_Chart_Data'!$Q$3:$Q$104,'08_Chart_Data'!$R$3:$R$104,0),"")</f>
        <v>0.19</v>
      </c>
      <c r="E78" s="63">
        <f ca="1">_xlfn.IFNA(_xlfn.XLOOKUP(C78,'10_Cone_Line'!$A$3:$A$136,'10_Cone_Line'!$E$3:$E$136,0),"")</f>
        <v>-48</v>
      </c>
      <c r="F78" s="63">
        <f ca="1">_xlfn.IFNA(E78*_xlfn.XLOOKUP(C78,'08_Chart_Data'!$Q$3:$Q$104,'08_Chart_Data'!$S$3:$S$104,0)/D78,"")</f>
        <v>-6315.7894736842109</v>
      </c>
      <c r="G78" s="84">
        <f t="shared" ca="1" si="4"/>
        <v>-9.2879256965944279</v>
      </c>
      <c r="H78" s="85">
        <f t="shared" ca="1" si="5"/>
        <v>-3947.3684210526317</v>
      </c>
      <c r="I78" s="86" t="str">
        <f t="shared" ca="1" si="6"/>
        <v/>
      </c>
    </row>
    <row r="79" spans="2:9">
      <c r="B79" s="82">
        <f ca="1">SUM(G80,G75)</f>
        <v>0</v>
      </c>
      <c r="C79" s="83">
        <v>61086</v>
      </c>
      <c r="D79" s="62">
        <f>_xlfn.IFNA(_xlfn.XLOOKUP(C79,'08_Chart_Data'!$Q$3:$Q$104,'08_Chart_Data'!$R$3:$R$104,0),"")</f>
        <v>0.105</v>
      </c>
      <c r="E79" s="63">
        <f ca="1">_xlfn.IFNA(_xlfn.XLOOKUP(C79,'10_Cone_Line'!$A$3:$A$136,'10_Cone_Line'!$E$3:$E$136,0),"")</f>
        <v>0</v>
      </c>
      <c r="F79" s="63">
        <f ca="1">_xlfn.IFNA(E79*_xlfn.XLOOKUP(C79,'08_Chart_Data'!$Q$3:$Q$104,'08_Chart_Data'!$S$3:$S$104,0)/D79,"")</f>
        <v>0</v>
      </c>
      <c r="G79" s="84">
        <f t="shared" ca="1" si="4"/>
        <v>0</v>
      </c>
      <c r="H79" s="85">
        <f t="shared" ca="1" si="5"/>
        <v>0</v>
      </c>
      <c r="I79" s="86">
        <f t="shared" ca="1" si="6"/>
        <v>0</v>
      </c>
    </row>
    <row r="80" spans="2:9">
      <c r="B80" s="82"/>
      <c r="C80" s="83" t="s">
        <v>122</v>
      </c>
      <c r="D80" s="62">
        <f>_xlfn.IFNA(_xlfn.XLOOKUP(C80,'08_Chart_Data'!$Q$3:$Q$104,'08_Chart_Data'!$R$3:$R$104,0),"")</f>
        <v>0.105</v>
      </c>
      <c r="E80" s="63">
        <f ca="1">_xlfn.IFNA(_xlfn.XLOOKUP(C80,'10_Cone_Line'!$A$3:$A$136,'10_Cone_Line'!$E$3:$E$136,0),"")</f>
        <v>0</v>
      </c>
      <c r="F80" s="63">
        <f ca="1">_xlfn.IFNA(E80*_xlfn.XLOOKUP(C80,'08_Chart_Data'!$Q$3:$Q$104,'08_Chart_Data'!$S$3:$S$104,0)/D80,"")</f>
        <v>0</v>
      </c>
      <c r="G80" s="84">
        <f t="shared" ca="1" si="4"/>
        <v>0</v>
      </c>
      <c r="H80" s="85">
        <f t="shared" ca="1" si="5"/>
        <v>0</v>
      </c>
      <c r="I80" s="86">
        <f t="shared" ca="1" si="6"/>
        <v>0</v>
      </c>
    </row>
    <row r="81" spans="2:9">
      <c r="B81" s="82"/>
      <c r="C81" s="83">
        <v>203174</v>
      </c>
      <c r="D81" s="62">
        <f>_xlfn.IFNA(_xlfn.XLOOKUP(C81,'08_Chart_Data'!$Q$3:$Q$104,'08_Chart_Data'!$R$3:$R$104,0),"")</f>
        <v>0.11</v>
      </c>
      <c r="E81" s="63">
        <f ca="1">_xlfn.IFNA(_xlfn.XLOOKUP(C81,'10_Cone_Line'!$A$3:$A$136,'10_Cone_Line'!$E$3:$E$136,0),"")</f>
        <v>0</v>
      </c>
      <c r="F81" s="63">
        <f ca="1">_xlfn.IFNA(E81*_xlfn.XLOOKUP(C81,'08_Chart_Data'!$Q$3:$Q$104,'08_Chart_Data'!$S$3:$S$104,0)/D81,"")</f>
        <v>0</v>
      </c>
      <c r="G81" s="84">
        <f t="shared" ca="1" si="4"/>
        <v>0</v>
      </c>
      <c r="H81" s="85">
        <f t="shared" ca="1" si="5"/>
        <v>0</v>
      </c>
      <c r="I81" s="86">
        <f t="shared" ca="1" si="6"/>
        <v>0</v>
      </c>
    </row>
    <row r="82" spans="2:9">
      <c r="B82" s="82"/>
      <c r="C82" s="83">
        <v>203175</v>
      </c>
      <c r="D82" s="62">
        <f>_xlfn.IFNA(_xlfn.XLOOKUP(C82,'08_Chart_Data'!$Q$3:$Q$104,'08_Chart_Data'!$R$3:$R$104,0),"")</f>
        <v>0.18600000000000003</v>
      </c>
      <c r="E82" s="63">
        <f ca="1">_xlfn.IFNA(_xlfn.XLOOKUP(C82,'10_Cone_Line'!$A$3:$A$136,'10_Cone_Line'!$E$3:$E$136,0),"")</f>
        <v>0</v>
      </c>
      <c r="F82" s="63">
        <f ca="1">_xlfn.IFNA(E82*_xlfn.XLOOKUP(C82,'08_Chart_Data'!$Q$3:$Q$104,'08_Chart_Data'!$S$3:$S$104,0)/D82,"")</f>
        <v>0</v>
      </c>
      <c r="G82" s="84">
        <f t="shared" ca="1" si="4"/>
        <v>0</v>
      </c>
      <c r="H82" s="85">
        <f t="shared" ca="1" si="5"/>
        <v>0</v>
      </c>
      <c r="I82" s="86">
        <f t="shared" ca="1" si="6"/>
        <v>0</v>
      </c>
    </row>
    <row r="83" spans="2:9">
      <c r="B83" s="82"/>
      <c r="C83" s="83" t="s">
        <v>118</v>
      </c>
      <c r="D83" s="62">
        <f>_xlfn.IFNA(_xlfn.XLOOKUP(C83,'08_Chart_Data'!$Q$3:$Q$104,'08_Chart_Data'!$R$3:$R$104,0),"")</f>
        <v>0.11</v>
      </c>
      <c r="E83" s="63">
        <f ca="1">_xlfn.IFNA(_xlfn.XLOOKUP(C83,'10_Cone_Line'!$A$3:$A$136,'10_Cone_Line'!$E$3:$E$136,0),"")</f>
        <v>-128</v>
      </c>
      <c r="F83" s="63">
        <f ca="1">_xlfn.IFNA(E83*_xlfn.XLOOKUP(C83,'08_Chart_Data'!$Q$3:$Q$104,'08_Chart_Data'!$S$3:$S$104,0)/D83,"")</f>
        <v>-29090.909090909092</v>
      </c>
      <c r="G83" s="84">
        <f t="shared" ca="1" si="4"/>
        <v>-42.780748663101605</v>
      </c>
      <c r="H83" s="85">
        <f t="shared" ca="1" si="5"/>
        <v>-18181.81818181818</v>
      </c>
      <c r="I83" s="86" t="str">
        <f t="shared" ca="1" si="6"/>
        <v/>
      </c>
    </row>
    <row r="84" spans="2:9">
      <c r="B84" s="82"/>
      <c r="C84" s="83">
        <v>64</v>
      </c>
      <c r="D84" s="62">
        <f>_xlfn.IFNA(_xlfn.XLOOKUP(C84,'08_Chart_Data'!$Q$3:$Q$104,'08_Chart_Data'!$R$3:$R$104,0),"")</f>
        <v>0.11</v>
      </c>
      <c r="E84" s="63">
        <f>_xlfn.IFNA(_xlfn.XLOOKUP(C84,'10_Cone_Line'!$A$3:$A$136,'10_Cone_Line'!$E$3:$E$136,0),"")</f>
        <v>0</v>
      </c>
      <c r="F84" s="63">
        <f>_xlfn.IFNA(E84*_xlfn.XLOOKUP(C84,'08_Chart_Data'!$Q$3:$Q$104,'08_Chart_Data'!$S$3:$S$104,0)/D84,"")</f>
        <v>0</v>
      </c>
      <c r="G84" s="84">
        <f t="shared" si="4"/>
        <v>0</v>
      </c>
      <c r="H84" s="85">
        <f t="shared" si="5"/>
        <v>0</v>
      </c>
      <c r="I84" s="86">
        <f t="shared" si="6"/>
        <v>0</v>
      </c>
    </row>
    <row r="85" spans="2:9">
      <c r="B85" s="82"/>
      <c r="C85" s="83">
        <v>200064</v>
      </c>
      <c r="D85" s="62">
        <f>_xlfn.IFNA(_xlfn.XLOOKUP(C85,'08_Chart_Data'!$Q$3:$Q$104,'08_Chart_Data'!$R$3:$R$104,0),"")</f>
        <v>0.11</v>
      </c>
      <c r="E85" s="63">
        <f ca="1">_xlfn.IFNA(_xlfn.XLOOKUP(C85,'10_Cone_Line'!$A$3:$A$136,'10_Cone_Line'!$E$3:$E$136,0),"")</f>
        <v>0</v>
      </c>
      <c r="F85" s="63">
        <f ca="1">_xlfn.IFNA(E85*_xlfn.XLOOKUP(C85,'08_Chart_Data'!$Q$3:$Q$104,'08_Chart_Data'!$S$3:$S$104,0)/D85,"")</f>
        <v>0</v>
      </c>
      <c r="G85" s="84">
        <f t="shared" ca="1" si="4"/>
        <v>0</v>
      </c>
      <c r="H85" s="85">
        <f t="shared" ca="1" si="5"/>
        <v>0</v>
      </c>
      <c r="I85" s="86">
        <f t="shared" ca="1" si="6"/>
        <v>0</v>
      </c>
    </row>
    <row r="86" spans="2:9">
      <c r="B86" s="82"/>
      <c r="C86" s="83">
        <v>902</v>
      </c>
      <c r="D86" s="62">
        <f>_xlfn.IFNA(_xlfn.XLOOKUP(C86,'08_Chart_Data'!$Q$3:$Q$104,'08_Chart_Data'!$R$3:$R$104,0),"")</f>
        <v>0.19</v>
      </c>
      <c r="E86" s="63">
        <f ca="1">_xlfn.IFNA(_xlfn.XLOOKUP(C86,'10_Cone_Line'!$A$3:$A$136,'10_Cone_Line'!$E$3:$E$136,0),"")</f>
        <v>0</v>
      </c>
      <c r="F86" s="63">
        <f ca="1">_xlfn.IFNA(E86*_xlfn.XLOOKUP(C86,'08_Chart_Data'!$Q$3:$Q$104,'08_Chart_Data'!$S$3:$S$104,0)/D86,"")</f>
        <v>0</v>
      </c>
      <c r="G86" s="84">
        <f t="shared" ca="1" si="4"/>
        <v>0</v>
      </c>
      <c r="H86" s="85">
        <f t="shared" ca="1" si="5"/>
        <v>0</v>
      </c>
      <c r="I86" s="86">
        <f t="shared" ca="1" si="6"/>
        <v>0</v>
      </c>
    </row>
    <row r="87" spans="2:9">
      <c r="B87" s="82"/>
      <c r="C87" s="83">
        <v>834</v>
      </c>
      <c r="D87" s="62">
        <f>_xlfn.IFNA(_xlfn.XLOOKUP(C87,'08_Chart_Data'!$Q$3:$Q$104,'08_Chart_Data'!$R$3:$R$104,0),"")</f>
        <v>0.19</v>
      </c>
      <c r="E87" s="63">
        <f ca="1">_xlfn.IFNA(_xlfn.XLOOKUP(C87,'10_Cone_Line'!$A$3:$A$136,'10_Cone_Line'!$E$3:$E$136,0),"")</f>
        <v>0</v>
      </c>
      <c r="F87" s="63">
        <f ca="1">_xlfn.IFNA(E87*_xlfn.XLOOKUP(C87,'08_Chart_Data'!$Q$3:$Q$104,'08_Chart_Data'!$S$3:$S$104,0)/D87,"")</f>
        <v>0</v>
      </c>
      <c r="G87" s="84">
        <f t="shared" ca="1" si="4"/>
        <v>0</v>
      </c>
      <c r="H87" s="85">
        <f t="shared" ca="1" si="5"/>
        <v>0</v>
      </c>
      <c r="I87" s="86">
        <f t="shared" ca="1" si="6"/>
        <v>0</v>
      </c>
    </row>
    <row r="88" spans="2:9">
      <c r="B88" s="82"/>
      <c r="C88" s="83" t="s">
        <v>451</v>
      </c>
      <c r="D88" s="62">
        <f>_xlfn.IFNA(_xlfn.XLOOKUP(C88,'08_Chart_Data'!$Q$3:$Q$104,'08_Chart_Data'!$R$3:$R$104,0),"")</f>
        <v>0.105</v>
      </c>
      <c r="E88" s="63">
        <f>_xlfn.IFNA(_xlfn.XLOOKUP(C88,'10_Cone_Line'!$A$3:$A$136,'10_Cone_Line'!$E$3:$E$136,0),"")</f>
        <v>0</v>
      </c>
      <c r="F88" s="63">
        <f>_xlfn.IFNA(E88*_xlfn.XLOOKUP(C88,'08_Chart_Data'!$Q$3:$Q$104,'08_Chart_Data'!$S$3:$S$104,0)/D88,"")</f>
        <v>0</v>
      </c>
      <c r="G88" s="84">
        <f t="shared" si="4"/>
        <v>0</v>
      </c>
      <c r="H88" s="85">
        <f t="shared" si="5"/>
        <v>0</v>
      </c>
      <c r="I88" s="86">
        <f t="shared" si="6"/>
        <v>0</v>
      </c>
    </row>
    <row r="89" spans="2:9">
      <c r="B89" s="82"/>
      <c r="C89" s="83">
        <v>1412</v>
      </c>
      <c r="D89" s="62">
        <f>_xlfn.IFNA(_xlfn.XLOOKUP(C89,'08_Chart_Data'!$Q$3:$Q$104,'08_Chart_Data'!$R$3:$R$104,0),"")</f>
        <v>0.11</v>
      </c>
      <c r="E89" s="63">
        <f ca="1">_xlfn.IFNA(_xlfn.XLOOKUP(C89,'10_Cone_Line'!$A$3:$A$136,'10_Cone_Line'!$E$3:$E$136,0),"")</f>
        <v>0</v>
      </c>
      <c r="F89" s="63">
        <f ca="1">_xlfn.IFNA(E89*_xlfn.XLOOKUP(C89,'08_Chart_Data'!$Q$3:$Q$104,'08_Chart_Data'!$S$3:$S$104,0)/D89,"")</f>
        <v>0</v>
      </c>
      <c r="G89" s="84">
        <f t="shared" ca="1" si="4"/>
        <v>0</v>
      </c>
      <c r="H89" s="85">
        <f t="shared" ca="1" si="5"/>
        <v>0</v>
      </c>
      <c r="I89" s="86">
        <f t="shared" ca="1" si="6"/>
        <v>0</v>
      </c>
    </row>
    <row r="90" spans="2:9">
      <c r="B90" s="82"/>
      <c r="C90" s="83">
        <v>161</v>
      </c>
      <c r="D90" s="62">
        <f>_xlfn.IFNA(_xlfn.XLOOKUP(C90,'08_Chart_Data'!$Q$3:$Q$104,'08_Chart_Data'!$R$3:$R$104,0),"")</f>
        <v>0.19</v>
      </c>
      <c r="E90" s="63">
        <f ca="1">_xlfn.IFNA(_xlfn.XLOOKUP(C90,'10_Cone_Line'!$A$3:$A$136,'10_Cone_Line'!$E$3:$E$136,0),"")</f>
        <v>0</v>
      </c>
      <c r="F90" s="63">
        <f ca="1">_xlfn.IFNA(E90*_xlfn.XLOOKUP(C90,'08_Chart_Data'!$Q$3:$Q$104,'08_Chart_Data'!$S$3:$S$104,0)/D90,"")</f>
        <v>0</v>
      </c>
      <c r="G90" s="84">
        <f t="shared" ref="G90:G115" ca="1" si="7">IFERROR(F90/$C$5,"0")</f>
        <v>0</v>
      </c>
      <c r="H90" s="85">
        <f t="shared" ref="H90:H115" ca="1" si="8">IFERROR(F90/$C$6,"-")</f>
        <v>0</v>
      </c>
      <c r="I90" s="86">
        <f t="shared" ref="I90:I115" ca="1" si="9">IFERROR(IF(H90&lt;0,"",(H90/$C$9)/1440),"")</f>
        <v>0</v>
      </c>
    </row>
    <row r="91" spans="2:9">
      <c r="B91" s="82"/>
      <c r="C91" s="83" t="s">
        <v>120</v>
      </c>
      <c r="D91" s="62">
        <f>_xlfn.IFNA(_xlfn.XLOOKUP(C91,'08_Chart_Data'!$Q$3:$Q$104,'08_Chart_Data'!$R$3:$R$104,0),"")</f>
        <v>0.105</v>
      </c>
      <c r="E91" s="63">
        <f ca="1">_xlfn.IFNA(_xlfn.XLOOKUP(C91,'10_Cone_Line'!$A$3:$A$136,'10_Cone_Line'!$E$3:$E$136,0),"")</f>
        <v>0</v>
      </c>
      <c r="F91" s="63">
        <f ca="1">_xlfn.IFNA(E91*_xlfn.XLOOKUP(C91,'08_Chart_Data'!$Q$3:$Q$104,'08_Chart_Data'!$S$3:$S$104,0)/D91,"")</f>
        <v>0</v>
      </c>
      <c r="G91" s="84">
        <f t="shared" ca="1" si="7"/>
        <v>0</v>
      </c>
      <c r="H91" s="85">
        <f t="shared" ca="1" si="8"/>
        <v>0</v>
      </c>
      <c r="I91" s="86">
        <f t="shared" ca="1" si="9"/>
        <v>0</v>
      </c>
    </row>
    <row r="92" spans="2:9">
      <c r="B92" s="82" t="s">
        <v>452</v>
      </c>
      <c r="C92" s="83">
        <v>203148</v>
      </c>
      <c r="D92" s="62">
        <f>_xlfn.IFNA(_xlfn.XLOOKUP(C92,'08_Chart_Data'!$Q$3:$Q$104,'08_Chart_Data'!$R$3:$R$104,0),"")</f>
        <v>0.11</v>
      </c>
      <c r="E92" s="63">
        <f ca="1">_xlfn.IFNA(_xlfn.XLOOKUP(C92,'10_Cone_Line'!$A$3:$A$136,'10_Cone_Line'!$E$3:$E$136,0),"")</f>
        <v>0</v>
      </c>
      <c r="F92" s="63">
        <f ca="1">_xlfn.IFNA(E92*_xlfn.XLOOKUP(C92,'08_Chart_Data'!$Q$3:$Q$104,'08_Chart_Data'!$S$3:$S$104,0)/D92,"")</f>
        <v>0</v>
      </c>
      <c r="G92" s="84">
        <f t="shared" ca="1" si="7"/>
        <v>0</v>
      </c>
      <c r="H92" s="85">
        <f t="shared" ca="1" si="8"/>
        <v>0</v>
      </c>
      <c r="I92" s="86">
        <f t="shared" ca="1" si="9"/>
        <v>0</v>
      </c>
    </row>
    <row r="93" spans="2:9">
      <c r="B93" s="87" t="s">
        <v>28</v>
      </c>
      <c r="C93" s="88">
        <v>61072</v>
      </c>
      <c r="D93" s="62">
        <f>_xlfn.IFNA(_xlfn.XLOOKUP(C93,'08_Chart_Data'!$Q$3:$Q$104,'08_Chart_Data'!$R$3:$R$104,0),"")</f>
        <v>0.14000000000000001</v>
      </c>
      <c r="E93" s="63">
        <f>_xlfn.IFNA(_xlfn.XLOOKUP(C93,'10_Cone_Line'!$A$3:$A$136,'10_Cone_Line'!$E$3:$E$136,0),"")</f>
        <v>6</v>
      </c>
      <c r="F93" s="63">
        <f>_xlfn.IFNA(E93*_xlfn.XLOOKUP(C93,'08_Chart_Data'!$Q$3:$Q$104,'08_Chart_Data'!$S$3:$S$104,0)/D93,"")</f>
        <v>1071.4285714285713</v>
      </c>
      <c r="G93" s="89">
        <f t="shared" si="7"/>
        <v>1.5756302521008403</v>
      </c>
      <c r="H93" s="90">
        <f t="shared" si="8"/>
        <v>669.642857142857</v>
      </c>
      <c r="I93" s="91">
        <f t="shared" si="9"/>
        <v>4.0437370600414071E-3</v>
      </c>
    </row>
    <row r="94" spans="2:9">
      <c r="B94" s="87"/>
      <c r="C94" s="88" t="s">
        <v>114</v>
      </c>
      <c r="D94" s="62">
        <f>_xlfn.IFNA(_xlfn.XLOOKUP(C94,'08_Chart_Data'!$Q$3:$Q$104,'08_Chart_Data'!$R$3:$R$104,0),"")</f>
        <v>0.14000000000000001</v>
      </c>
      <c r="E94" s="63">
        <f ca="1">_xlfn.IFNA(_xlfn.XLOOKUP(C94,'10_Cone_Line'!$A$3:$A$136,'10_Cone_Line'!$E$3:$E$136,0),"")</f>
        <v>-13</v>
      </c>
      <c r="F94" s="63">
        <f ca="1">_xlfn.IFNA(E94*_xlfn.XLOOKUP(C94,'08_Chart_Data'!$Q$3:$Q$104,'08_Chart_Data'!$S$3:$S$104,0)/D94,"")</f>
        <v>-2321.4285714285711</v>
      </c>
      <c r="G94" s="89">
        <f t="shared" ca="1" si="7"/>
        <v>-3.4138655462184868</v>
      </c>
      <c r="H94" s="90">
        <f t="shared" ca="1" si="8"/>
        <v>-1450.8928571428569</v>
      </c>
      <c r="I94" s="91" t="str">
        <f t="shared" ca="1" si="9"/>
        <v/>
      </c>
    </row>
    <row r="95" spans="2:9">
      <c r="B95" s="87">
        <f ca="1">SUMIF(G93:G105,"&gt;0")</f>
        <v>1.5756302521008403</v>
      </c>
      <c r="C95" s="88">
        <v>203171</v>
      </c>
      <c r="D95" s="62">
        <f>_xlfn.IFNA(_xlfn.XLOOKUP(C95,'08_Chart_Data'!$Q$3:$Q$104,'08_Chart_Data'!$R$3:$R$104,0),"")</f>
        <v>0.14000000000000001</v>
      </c>
      <c r="E95" s="63">
        <f ca="1">_xlfn.IFNA(_xlfn.XLOOKUP(C95,'10_Cone_Line'!$A$3:$A$136,'10_Cone_Line'!$E$3:$E$136,0),"")</f>
        <v>0</v>
      </c>
      <c r="F95" s="63">
        <f ca="1">_xlfn.IFNA(E95*_xlfn.XLOOKUP(C95,'08_Chart_Data'!$Q$3:$Q$104,'08_Chart_Data'!$S$3:$S$104,0)/D95,"")</f>
        <v>0</v>
      </c>
      <c r="G95" s="89">
        <f t="shared" ca="1" si="7"/>
        <v>0</v>
      </c>
      <c r="H95" s="90">
        <f t="shared" ca="1" si="8"/>
        <v>0</v>
      </c>
      <c r="I95" s="91">
        <f t="shared" ca="1" si="9"/>
        <v>0</v>
      </c>
    </row>
    <row r="96" spans="2:9">
      <c r="B96" s="87"/>
      <c r="C96" s="88" t="s">
        <v>110</v>
      </c>
      <c r="D96" s="62">
        <f>_xlfn.IFNA(_xlfn.XLOOKUP(C96,'08_Chart_Data'!$Q$3:$Q$104,'08_Chart_Data'!$R$3:$R$104,0),"")</f>
        <v>0.14000000000000001</v>
      </c>
      <c r="E96" s="63">
        <f ca="1">_xlfn.IFNA(_xlfn.XLOOKUP(C96,'10_Cone_Line'!$A$3:$A$136,'10_Cone_Line'!$E$3:$E$136,0),"")</f>
        <v>-144</v>
      </c>
      <c r="F96" s="63">
        <f ca="1">_xlfn.IFNA(E96*_xlfn.XLOOKUP(C96,'08_Chart_Data'!$Q$3:$Q$104,'08_Chart_Data'!$S$3:$S$104,0)/D96,"")</f>
        <v>-25714.28571428571</v>
      </c>
      <c r="G96" s="89">
        <f t="shared" ca="1" si="7"/>
        <v>-37.815126050420162</v>
      </c>
      <c r="H96" s="90">
        <f t="shared" ca="1" si="8"/>
        <v>-16071.428571428569</v>
      </c>
      <c r="I96" s="91" t="str">
        <f t="shared" ca="1" si="9"/>
        <v/>
      </c>
    </row>
    <row r="97" spans="2:9">
      <c r="B97" s="87" t="s">
        <v>450</v>
      </c>
      <c r="C97" s="88"/>
      <c r="D97" s="62">
        <f>_xlfn.IFNA(_xlfn.XLOOKUP(C97,'08_Chart_Data'!$Q$3:$Q$104,'08_Chart_Data'!$R$3:$R$104,0),"")</f>
        <v>0</v>
      </c>
      <c r="E97" s="63">
        <f ca="1">_xlfn.IFNA(_xlfn.XLOOKUP(C97,'10_Cone_Line'!$A$3:$A$136,'10_Cone_Line'!$E$3:$E$136,0),"")</f>
        <v>0</v>
      </c>
      <c r="F97" s="63" t="e">
        <f ca="1">_xlfn.IFNA(E97*_xlfn.XLOOKUP(C97,'08_Chart_Data'!$Q$3:$Q$104,'08_Chart_Data'!$S$3:$S$104,0)/D97,"")</f>
        <v>#DIV/0!</v>
      </c>
      <c r="G97" s="89" t="str">
        <f t="shared" ca="1" si="7"/>
        <v>0</v>
      </c>
      <c r="H97" s="90" t="str">
        <f t="shared" ca="1" si="8"/>
        <v>-</v>
      </c>
      <c r="I97" s="91" t="str">
        <f t="shared" ca="1" si="9"/>
        <v/>
      </c>
    </row>
    <row r="98" spans="2:9">
      <c r="B98" s="87">
        <f ca="1">G94</f>
        <v>-3.4138655462184868</v>
      </c>
      <c r="C98" s="88">
        <v>895</v>
      </c>
      <c r="D98" s="62">
        <f>_xlfn.IFNA(_xlfn.XLOOKUP(C98,'08_Chart_Data'!$Q$3:$Q$104,'08_Chart_Data'!$R$3:$R$104,0),"")</f>
        <v>0.14000000000000001</v>
      </c>
      <c r="E98" s="63">
        <f ca="1">_xlfn.IFNA(_xlfn.XLOOKUP(C98,'10_Cone_Line'!$A$3:$A$136,'10_Cone_Line'!$E$3:$E$136,0),"")</f>
        <v>0</v>
      </c>
      <c r="F98" s="63">
        <f ca="1">_xlfn.IFNA(E98*_xlfn.XLOOKUP(C98,'08_Chart_Data'!$Q$3:$Q$104,'08_Chart_Data'!$S$3:$S$104,0)/D98,"")</f>
        <v>0</v>
      </c>
      <c r="G98" s="89">
        <f t="shared" ca="1" si="7"/>
        <v>0</v>
      </c>
      <c r="H98" s="90">
        <f t="shared" ca="1" si="8"/>
        <v>0</v>
      </c>
      <c r="I98" s="91">
        <f t="shared" ca="1" si="9"/>
        <v>0</v>
      </c>
    </row>
    <row r="99" spans="2:9">
      <c r="B99" s="87"/>
      <c r="C99" s="88">
        <v>200095</v>
      </c>
      <c r="D99" s="62">
        <f>_xlfn.IFNA(_xlfn.XLOOKUP(C99,'08_Chart_Data'!$Q$3:$Q$104,'08_Chart_Data'!$R$3:$R$104,0),"")</f>
        <v>0.14500000000000002</v>
      </c>
      <c r="E99" s="63">
        <f ca="1">_xlfn.IFNA(_xlfn.XLOOKUP(C99,'10_Cone_Line'!$A$3:$A$136,'10_Cone_Line'!$E$3:$E$136,0),"")</f>
        <v>0</v>
      </c>
      <c r="F99" s="63">
        <f ca="1">_xlfn.IFNA(E99*_xlfn.XLOOKUP(C99,'08_Chart_Data'!$Q$3:$Q$104,'08_Chart_Data'!$S$3:$S$104,0)/D99,"")</f>
        <v>0</v>
      </c>
      <c r="G99" s="89">
        <f t="shared" ca="1" si="7"/>
        <v>0</v>
      </c>
      <c r="H99" s="90">
        <f t="shared" ca="1" si="8"/>
        <v>0</v>
      </c>
      <c r="I99" s="91">
        <f t="shared" ca="1" si="9"/>
        <v>0</v>
      </c>
    </row>
    <row r="100" spans="2:9">
      <c r="B100" s="87"/>
      <c r="C100" s="88">
        <v>61073</v>
      </c>
      <c r="D100" s="62">
        <f>_xlfn.IFNA(_xlfn.XLOOKUP(C100,'08_Chart_Data'!$Q$3:$Q$104,'08_Chart_Data'!$R$3:$R$104,0),"")</f>
        <v>0.14000000000000001</v>
      </c>
      <c r="E100" s="63">
        <f ca="1">_xlfn.IFNA(_xlfn.XLOOKUP(C100,'10_Cone_Line'!$A$3:$A$136,'10_Cone_Line'!$E$3:$E$136,0),"")</f>
        <v>0</v>
      </c>
      <c r="F100" s="63">
        <f ca="1">_xlfn.IFNA(E100*_xlfn.XLOOKUP(C100,'08_Chart_Data'!$Q$3:$Q$104,'08_Chart_Data'!$S$3:$S$104,0)/D100,"")</f>
        <v>0</v>
      </c>
      <c r="G100" s="89">
        <f t="shared" ca="1" si="7"/>
        <v>0</v>
      </c>
      <c r="H100" s="90">
        <f t="shared" ca="1" si="8"/>
        <v>0</v>
      </c>
      <c r="I100" s="91">
        <f t="shared" ca="1" si="9"/>
        <v>0</v>
      </c>
    </row>
    <row r="101" spans="2:9">
      <c r="B101" s="87"/>
      <c r="C101" s="88">
        <v>2235</v>
      </c>
      <c r="D101" s="62">
        <f>_xlfn.IFNA(_xlfn.XLOOKUP(C101,'08_Chart_Data'!$Q$3:$Q$104,'08_Chart_Data'!$R$3:$R$104,0),"")</f>
        <v>0.14000000000000001</v>
      </c>
      <c r="E101" s="63">
        <f ca="1">_xlfn.IFNA(_xlfn.XLOOKUP(C101,'10_Cone_Line'!$A$3:$A$136,'10_Cone_Line'!$E$3:$E$136,0),"")</f>
        <v>0</v>
      </c>
      <c r="F101" s="63">
        <f ca="1">_xlfn.IFNA(E101*_xlfn.XLOOKUP(C101,'08_Chart_Data'!$Q$3:$Q$104,'08_Chart_Data'!$S$3:$S$104,0)/D101,"")</f>
        <v>0</v>
      </c>
      <c r="G101" s="89">
        <f t="shared" ca="1" si="7"/>
        <v>0</v>
      </c>
      <c r="H101" s="90">
        <f t="shared" ca="1" si="8"/>
        <v>0</v>
      </c>
      <c r="I101" s="91">
        <f t="shared" ca="1" si="9"/>
        <v>0</v>
      </c>
    </row>
    <row r="102" spans="2:9">
      <c r="B102" s="87"/>
      <c r="C102" s="88">
        <v>160</v>
      </c>
      <c r="D102" s="62">
        <f>_xlfn.IFNA(_xlfn.XLOOKUP(C102,'08_Chart_Data'!$Q$3:$Q$104,'08_Chart_Data'!$R$3:$R$104,0),"")</f>
        <v>0.14000000000000001</v>
      </c>
      <c r="E102" s="63">
        <f ca="1">_xlfn.IFNA(_xlfn.XLOOKUP(C102,'10_Cone_Line'!$A$3:$A$136,'10_Cone_Line'!$E$3:$E$136,0),"")</f>
        <v>0</v>
      </c>
      <c r="F102" s="63">
        <f ca="1">_xlfn.IFNA(E102*_xlfn.XLOOKUP(C102,'08_Chart_Data'!$Q$3:$Q$104,'08_Chart_Data'!$S$3:$S$104,0)/D102,"")</f>
        <v>0</v>
      </c>
      <c r="G102" s="89">
        <f t="shared" ca="1" si="7"/>
        <v>0</v>
      </c>
      <c r="H102" s="90">
        <f t="shared" ca="1" si="8"/>
        <v>0</v>
      </c>
      <c r="I102" s="91">
        <f t="shared" ca="1" si="9"/>
        <v>0</v>
      </c>
    </row>
    <row r="103" spans="2:9">
      <c r="B103" s="87"/>
      <c r="C103" s="88">
        <v>1083</v>
      </c>
      <c r="D103" s="62">
        <f>_xlfn.IFNA(_xlfn.XLOOKUP(C103,'08_Chart_Data'!$Q$3:$Q$104,'08_Chart_Data'!$R$3:$R$104,0),"")</f>
        <v>0.14000000000000001</v>
      </c>
      <c r="E103" s="63">
        <f>_xlfn.IFNA(_xlfn.XLOOKUP(C103,'10_Cone_Line'!$A$3:$A$136,'10_Cone_Line'!$E$3:$E$136,0),"")</f>
        <v>0</v>
      </c>
      <c r="F103" s="63">
        <f>_xlfn.IFNA(E103*_xlfn.XLOOKUP(C103,'08_Chart_Data'!$Q$3:$Q$104,'08_Chart_Data'!$S$3:$S$104,0)/D103,"")</f>
        <v>0</v>
      </c>
      <c r="G103" s="89">
        <f t="shared" si="7"/>
        <v>0</v>
      </c>
      <c r="H103" s="90">
        <f t="shared" si="8"/>
        <v>0</v>
      </c>
      <c r="I103" s="91">
        <f t="shared" si="9"/>
        <v>0</v>
      </c>
    </row>
    <row r="104" spans="2:9">
      <c r="B104" s="87"/>
      <c r="C104" s="88" t="s">
        <v>453</v>
      </c>
      <c r="D104" s="62">
        <f>_xlfn.IFNA(_xlfn.XLOOKUP(C104,'08_Chart_Data'!$Q$3:$Q$104,'08_Chart_Data'!$R$3:$R$104,0),"")</f>
        <v>0.14000000000000001</v>
      </c>
      <c r="E104" s="63">
        <f ca="1">_xlfn.IFNA(_xlfn.XLOOKUP(C104,'10_Cone_Line'!$A$3:$A$136,'10_Cone_Line'!$E$3:$E$136,0),"")</f>
        <v>0</v>
      </c>
      <c r="F104" s="63">
        <f ca="1">_xlfn.IFNA(E104*_xlfn.XLOOKUP(C104,'08_Chart_Data'!$Q$3:$Q$104,'08_Chart_Data'!$S$3:$S$104,0)/D104,"")</f>
        <v>0</v>
      </c>
      <c r="G104" s="89">
        <f t="shared" ca="1" si="7"/>
        <v>0</v>
      </c>
      <c r="H104" s="90">
        <f t="shared" ca="1" si="8"/>
        <v>0</v>
      </c>
      <c r="I104" s="91">
        <f t="shared" ca="1" si="9"/>
        <v>0</v>
      </c>
    </row>
    <row r="105" spans="2:9">
      <c r="B105" s="87"/>
      <c r="C105" s="88" t="s">
        <v>112</v>
      </c>
      <c r="D105" s="62">
        <f>_xlfn.IFNA(_xlfn.XLOOKUP(C105,'08_Chart_Data'!$Q$3:$Q$104,'08_Chart_Data'!$R$3:$R$104,0),"")</f>
        <v>0.14000000000000001</v>
      </c>
      <c r="E105" s="63">
        <f ca="1">_xlfn.IFNA(_xlfn.XLOOKUP(C105,'10_Cone_Line'!$A$3:$A$136,'10_Cone_Line'!$E$3:$E$136,0),"")</f>
        <v>0</v>
      </c>
      <c r="F105" s="63">
        <f ca="1">_xlfn.IFNA(E105*_xlfn.XLOOKUP(C105,'08_Chart_Data'!$Q$3:$Q$104,'08_Chart_Data'!$S$3:$S$104,0)/D105,"")</f>
        <v>0</v>
      </c>
      <c r="G105" s="89">
        <f t="shared" ca="1" si="7"/>
        <v>0</v>
      </c>
      <c r="H105" s="90">
        <f t="shared" ca="1" si="8"/>
        <v>0</v>
      </c>
      <c r="I105" s="91">
        <f t="shared" ca="1" si="9"/>
        <v>0</v>
      </c>
    </row>
    <row r="106" spans="2:9">
      <c r="B106" s="92" t="s">
        <v>443</v>
      </c>
      <c r="C106" s="93">
        <v>61061</v>
      </c>
      <c r="D106" s="62">
        <f>_xlfn.IFNA(_xlfn.XLOOKUP(C106,'08_Chart_Data'!$Q$3:$Q$104,'08_Chart_Data'!$R$3:$R$104,0),"")</f>
        <v>0.46</v>
      </c>
      <c r="E106" s="63">
        <f>_xlfn.IFNA(_xlfn.XLOOKUP(C106,'10_Cone_Line'!$A$3:$A$136,'10_Cone_Line'!$E$3:$E$136,0),"")</f>
        <v>4</v>
      </c>
      <c r="F106" s="63">
        <f>_xlfn.IFNA(E106*_xlfn.XLOOKUP(C106,'08_Chart_Data'!$Q$3:$Q$104,'08_Chart_Data'!$S$3:$S$104,0)/D106,"")</f>
        <v>217.39130434782606</v>
      </c>
      <c r="G106" s="94">
        <f t="shared" si="7"/>
        <v>0.31969309462915596</v>
      </c>
      <c r="H106" s="95">
        <f t="shared" si="8"/>
        <v>135.86956521739128</v>
      </c>
      <c r="I106" s="96">
        <f t="shared" si="9"/>
        <v>8.2046838899390868E-4</v>
      </c>
    </row>
    <row r="107" spans="2:9">
      <c r="B107" s="92"/>
      <c r="C107" s="93">
        <v>1887</v>
      </c>
      <c r="D107" s="62">
        <f>_xlfn.IFNA(_xlfn.XLOOKUP(C107,'08_Chart_Data'!$Q$3:$Q$104,'08_Chart_Data'!$R$3:$R$104,0),"")</f>
        <v>0.46</v>
      </c>
      <c r="E107" s="63">
        <f ca="1">_xlfn.IFNA(_xlfn.XLOOKUP(C107,'10_Cone_Line'!$A$3:$A$136,'10_Cone_Line'!$E$3:$E$136,0),"")</f>
        <v>0</v>
      </c>
      <c r="F107" s="63">
        <f ca="1">_xlfn.IFNA(E107*_xlfn.XLOOKUP(C107,'08_Chart_Data'!$Q$3:$Q$104,'08_Chart_Data'!$S$3:$S$104,0)/D107,"")</f>
        <v>0</v>
      </c>
      <c r="G107" s="94">
        <f t="shared" ca="1" si="7"/>
        <v>0</v>
      </c>
      <c r="H107" s="95">
        <f t="shared" ca="1" si="8"/>
        <v>0</v>
      </c>
      <c r="I107" s="96">
        <f t="shared" ca="1" si="9"/>
        <v>0</v>
      </c>
    </row>
    <row r="108" spans="2:9">
      <c r="B108" s="92">
        <f ca="1">SUMIF(G106:G115,"&gt;0")</f>
        <v>13.113810741687979</v>
      </c>
      <c r="C108" s="93" t="s">
        <v>108</v>
      </c>
      <c r="D108" s="62">
        <f>_xlfn.IFNA(_xlfn.XLOOKUP(C108,'08_Chart_Data'!$Q$3:$Q$104,'08_Chart_Data'!$R$3:$R$104,0),"")</f>
        <v>0.46</v>
      </c>
      <c r="E108" s="63">
        <f ca="1">_xlfn.IFNA(_xlfn.XLOOKUP(C108,'10_Cone_Line'!$A$3:$A$136,'10_Cone_Line'!$E$3:$E$136,0),"")</f>
        <v>0</v>
      </c>
      <c r="F108" s="63">
        <f ca="1">_xlfn.IFNA(E108*_xlfn.XLOOKUP(C108,'08_Chart_Data'!$Q$3:$Q$104,'08_Chart_Data'!$S$3:$S$104,0)/D108,"")</f>
        <v>0</v>
      </c>
      <c r="G108" s="94">
        <f t="shared" ca="1" si="7"/>
        <v>0</v>
      </c>
      <c r="H108" s="95">
        <f t="shared" ca="1" si="8"/>
        <v>0</v>
      </c>
      <c r="I108" s="96">
        <f t="shared" ca="1" si="9"/>
        <v>0</v>
      </c>
    </row>
    <row r="109" spans="2:9">
      <c r="B109" s="92"/>
      <c r="C109" s="93">
        <v>200903</v>
      </c>
      <c r="D109" s="62">
        <f>_xlfn.IFNA(_xlfn.XLOOKUP(C109,'08_Chart_Data'!$Q$3:$Q$104,'08_Chart_Data'!$R$3:$R$104,0),"")</f>
        <v>0.46</v>
      </c>
      <c r="E109" s="63">
        <f ca="1">_xlfn.IFNA(_xlfn.XLOOKUP(C109,'10_Cone_Line'!$A$3:$A$136,'10_Cone_Line'!$E$3:$E$136,0),"")</f>
        <v>0</v>
      </c>
      <c r="F109" s="63">
        <f ca="1">_xlfn.IFNA(E109*_xlfn.XLOOKUP(C109,'08_Chart_Data'!$Q$3:$Q$104,'08_Chart_Data'!$S$3:$S$104,0)/D109,"")</f>
        <v>0</v>
      </c>
      <c r="G109" s="94">
        <f t="shared" ca="1" si="7"/>
        <v>0</v>
      </c>
      <c r="H109" s="95">
        <f t="shared" ca="1" si="8"/>
        <v>0</v>
      </c>
      <c r="I109" s="96">
        <f t="shared" ca="1" si="9"/>
        <v>0</v>
      </c>
    </row>
    <row r="110" spans="2:9">
      <c r="B110" s="92"/>
      <c r="C110" s="93">
        <v>61062</v>
      </c>
      <c r="D110" s="62">
        <f>_xlfn.IFNA(_xlfn.XLOOKUP(C110,'08_Chart_Data'!$Q$3:$Q$104,'08_Chart_Data'!$R$3:$R$104,0),"")</f>
        <v>0.46</v>
      </c>
      <c r="E110" s="63">
        <f ca="1">_xlfn.IFNA(_xlfn.XLOOKUP(C110,'10_Cone_Line'!$A$3:$A$136,'10_Cone_Line'!$E$3:$E$136,0),"")</f>
        <v>-2</v>
      </c>
      <c r="F110" s="63">
        <f ca="1">_xlfn.IFNA(E110*_xlfn.XLOOKUP(C110,'08_Chart_Data'!$Q$3:$Q$104,'08_Chart_Data'!$S$3:$S$104,0)/D110,"")</f>
        <v>-3478.260869565217</v>
      </c>
      <c r="G110" s="94">
        <f t="shared" ca="1" si="7"/>
        <v>-5.1150895140664954</v>
      </c>
      <c r="H110" s="95">
        <f t="shared" ca="1" si="8"/>
        <v>-2173.9130434782605</v>
      </c>
      <c r="I110" s="96" t="str">
        <f t="shared" ca="1" si="9"/>
        <v/>
      </c>
    </row>
    <row r="111" spans="2:9">
      <c r="B111" s="92"/>
      <c r="C111" s="93">
        <v>159</v>
      </c>
      <c r="D111" s="62">
        <f>_xlfn.IFNA(_xlfn.XLOOKUP(C111,'08_Chart_Data'!$Q$3:$Q$104,'08_Chart_Data'!$R$3:$R$104,0),"")</f>
        <v>0.46</v>
      </c>
      <c r="E111" s="63">
        <f ca="1">_xlfn.IFNA(_xlfn.XLOOKUP(C111,'10_Cone_Line'!$A$3:$A$136,'10_Cone_Line'!$E$3:$E$136,0),"")</f>
        <v>0</v>
      </c>
      <c r="F111" s="63">
        <f ca="1">_xlfn.IFNA(E111*_xlfn.XLOOKUP(C111,'08_Chart_Data'!$Q$3:$Q$104,'08_Chart_Data'!$S$3:$S$104,0)/D111,"")</f>
        <v>0</v>
      </c>
      <c r="G111" s="94">
        <f t="shared" ca="1" si="7"/>
        <v>0</v>
      </c>
      <c r="H111" s="95">
        <f t="shared" ca="1" si="8"/>
        <v>0</v>
      </c>
      <c r="I111" s="96">
        <f t="shared" ca="1" si="9"/>
        <v>0</v>
      </c>
    </row>
    <row r="112" spans="2:9">
      <c r="B112" s="92"/>
      <c r="C112" s="93">
        <v>203033</v>
      </c>
      <c r="D112" s="62">
        <f>_xlfn.IFNA(_xlfn.XLOOKUP(C112,'08_Chart_Data'!$Q$3:$Q$104,'08_Chart_Data'!$R$3:$R$104,0),"")</f>
        <v>0.46</v>
      </c>
      <c r="E112" s="63">
        <f ca="1">_xlfn.IFNA(_xlfn.XLOOKUP(C112,'10_Cone_Line'!$A$3:$A$136,'10_Cone_Line'!$E$3:$E$136,0),"")</f>
        <v>174</v>
      </c>
      <c r="F112" s="63">
        <f ca="1">_xlfn.IFNA(E112*_xlfn.XLOOKUP(C112,'08_Chart_Data'!$Q$3:$Q$104,'08_Chart_Data'!$S$3:$S$104,0)/D112,"")</f>
        <v>8700</v>
      </c>
      <c r="G112" s="94">
        <f t="shared" ca="1" si="7"/>
        <v>12.794117647058824</v>
      </c>
      <c r="H112" s="95">
        <f t="shared" ca="1" si="8"/>
        <v>5437.5</v>
      </c>
      <c r="I112" s="96">
        <f t="shared" ca="1" si="9"/>
        <v>3.2835144927536232E-2</v>
      </c>
    </row>
    <row r="113" spans="2:9">
      <c r="B113" s="92"/>
      <c r="C113" s="93">
        <v>200159</v>
      </c>
      <c r="D113" s="62">
        <f>_xlfn.IFNA(_xlfn.XLOOKUP(C113,'08_Chart_Data'!$Q$3:$Q$104,'08_Chart_Data'!$R$3:$R$104,0),"")</f>
        <v>0.46</v>
      </c>
      <c r="E113" s="63">
        <f ca="1">_xlfn.IFNA(_xlfn.XLOOKUP(C113,'10_Cone_Line'!$A$3:$A$136,'10_Cone_Line'!$E$3:$E$136,0),"")</f>
        <v>0</v>
      </c>
      <c r="F113" s="63">
        <f ca="1">_xlfn.IFNA(E113*_xlfn.XLOOKUP(C113,'08_Chart_Data'!$Q$3:$Q$104,'08_Chart_Data'!$S$3:$S$104,0)/D113,"")</f>
        <v>0</v>
      </c>
      <c r="G113" s="94">
        <f t="shared" ca="1" si="7"/>
        <v>0</v>
      </c>
      <c r="H113" s="95">
        <f t="shared" ca="1" si="8"/>
        <v>0</v>
      </c>
      <c r="I113" s="96">
        <f t="shared" ca="1" si="9"/>
        <v>0</v>
      </c>
    </row>
    <row r="114" spans="2:9">
      <c r="B114" s="92"/>
      <c r="C114" s="93" t="s">
        <v>454</v>
      </c>
      <c r="D114" s="62">
        <f>_xlfn.IFNA(_xlfn.XLOOKUP(C114,'08_Chart_Data'!$Q$3:$Q$104,'08_Chart_Data'!$R$3:$R$104,0),"")</f>
        <v>0.46</v>
      </c>
      <c r="E114" s="63">
        <f ca="1">_xlfn.IFNA(_xlfn.XLOOKUP(C114,'10_Cone_Line'!$A$3:$A$136,'10_Cone_Line'!$E$3:$E$136,0),"")</f>
        <v>0</v>
      </c>
      <c r="F114" s="63">
        <f ca="1">_xlfn.IFNA(E114*_xlfn.XLOOKUP(C114,'08_Chart_Data'!$Q$3:$Q$104,'08_Chart_Data'!$S$3:$S$104,0)/D114,"")</f>
        <v>0</v>
      </c>
      <c r="G114" s="94">
        <f t="shared" ca="1" si="7"/>
        <v>0</v>
      </c>
      <c r="H114" s="95">
        <f t="shared" ca="1" si="8"/>
        <v>0</v>
      </c>
      <c r="I114" s="96">
        <f t="shared" ca="1" si="9"/>
        <v>0</v>
      </c>
    </row>
    <row r="115" spans="2:9">
      <c r="B115" s="92"/>
      <c r="C115" s="93">
        <v>61062</v>
      </c>
      <c r="D115" s="62">
        <f>_xlfn.IFNA(_xlfn.XLOOKUP(C115,'08_Chart_Data'!$Q$3:$Q$104,'08_Chart_Data'!$R$3:$R$104,0),"")</f>
        <v>0.46</v>
      </c>
      <c r="E115" s="63">
        <f ca="1">_xlfn.IFNA(_xlfn.XLOOKUP(C115,'10_Cone_Line'!$A$3:$A$136,'10_Cone_Line'!$E$3:$E$136,0),"")</f>
        <v>-2</v>
      </c>
      <c r="F115" s="63">
        <f ca="1">_xlfn.IFNA(E115*_xlfn.XLOOKUP(C115,'08_Chart_Data'!$Q$3:$Q$104,'08_Chart_Data'!$S$3:$S$104,0)/D115,"")</f>
        <v>-3478.260869565217</v>
      </c>
      <c r="G115" s="94">
        <f t="shared" ca="1" si="7"/>
        <v>-5.1150895140664954</v>
      </c>
      <c r="H115" s="95">
        <f t="shared" ca="1" si="8"/>
        <v>-2173.9130434782605</v>
      </c>
      <c r="I115" s="96" t="str">
        <f t="shared" ca="1" si="9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U265"/>
  <sheetViews>
    <sheetView workbookViewId="0"/>
  </sheetViews>
  <sheetFormatPr defaultRowHeight="14.4"/>
  <cols>
    <col min="1" max="1" width="11.21875" customWidth="1"/>
    <col min="2" max="2" width="9.21875" customWidth="1"/>
    <col min="3" max="3" width="8.77734375" customWidth="1"/>
    <col min="4" max="4" width="6.21875" customWidth="1"/>
    <col min="6" max="6" width="6.21875" customWidth="1"/>
    <col min="12" max="12" width="6.109375" customWidth="1"/>
    <col min="13" max="13" width="9.109375" customWidth="1"/>
    <col min="14" max="14" width="7.21875" customWidth="1"/>
    <col min="19" max="19" width="5.5546875" customWidth="1"/>
    <col min="20" max="20" width="8.88671875" customWidth="1"/>
    <col min="21" max="21" width="9.5546875" customWidth="1"/>
    <col min="22" max="22" width="8.109375" customWidth="1"/>
  </cols>
  <sheetData>
    <row r="1" spans="1:21" ht="40.049999999999997" customHeight="1">
      <c r="A1" s="97" t="s">
        <v>444</v>
      </c>
      <c r="B1" s="98" t="s">
        <v>455</v>
      </c>
      <c r="C1" s="99" t="s">
        <v>456</v>
      </c>
      <c r="D1" s="100"/>
      <c r="E1" s="100" t="s">
        <v>889</v>
      </c>
      <c r="F1" s="101"/>
      <c r="G1" s="102"/>
      <c r="H1" s="102"/>
      <c r="I1" s="102"/>
      <c r="J1" s="102"/>
      <c r="K1" s="102"/>
      <c r="L1" s="103" t="s">
        <v>457</v>
      </c>
      <c r="M1" s="104" t="s">
        <v>458</v>
      </c>
      <c r="N1" s="105"/>
      <c r="O1" s="105"/>
      <c r="P1" s="105"/>
      <c r="Q1" s="105"/>
      <c r="R1" s="105"/>
      <c r="S1" s="105"/>
      <c r="T1" s="106" t="s">
        <v>457</v>
      </c>
      <c r="U1" s="107" t="s">
        <v>459</v>
      </c>
    </row>
    <row r="2" spans="1:21" ht="15" customHeight="1">
      <c r="A2" s="108">
        <f>'05_Daily_Orders'!B2</f>
        <v>260</v>
      </c>
      <c r="B2" s="50">
        <v>0</v>
      </c>
      <c r="C2" s="50">
        <v>0</v>
      </c>
      <c r="D2" s="109"/>
      <c r="E2" s="109"/>
      <c r="F2">
        <v>0</v>
      </c>
      <c r="L2" s="110">
        <f>IF($E$1="n",0,(SUM(F2:K2)-B2))</f>
        <v>0</v>
      </c>
      <c r="M2" s="111" t="str">
        <f>_xlfn.IFNA(_xlfn.XLOOKUP(A2,'00_SKU_Master'!$B$2:$B$378,'00_SKU_Master'!$C$2:$C$378,0),"")</f>
        <v>61050#2</v>
      </c>
      <c r="N2" s="112" t="e">
        <f>_xlfn.IFNA(_xlfn.XLOOKUP(A2,'00_SKU_Master'!$B$2:$B$378,'00_SKU_Master'!$F$2:$F$378,0)*F2/_xlfn.XLOOKUP(A2,'00_SKU_Master'!$B$2:$B$378,'00_SKU_Master'!$O:$O,0),"")</f>
        <v>#VALUE!</v>
      </c>
      <c r="O2" s="112" t="e">
        <f ca="1">_xludf.IFNA(_xlfn.XLOOKUP($A4,'00_SKU_Master'!$B$2:$B$378,'00_SKU_Master'!$F$2:$F$378,0)*G4/_xlfn.XLOOKUP($A4,'00_SKU_Master'!$B$2:$B$378,'00_SKU_Master'!$O:$O,0),"")</f>
        <v>#NAME?</v>
      </c>
      <c r="P2" s="112" t="e">
        <f ca="1">_xludf.IFNA(_xlfn.XLOOKUP($A4,'00_SKU_Master'!$B$2:$B$378,'00_SKU_Master'!$F$2:$F$378,0)*H4/_xlfn.XLOOKUP($A4,'00_SKU_Master'!$B$2:$B$378,'00_SKU_Master'!$O:$O,0),"")</f>
        <v>#NAME?</v>
      </c>
      <c r="Q2" s="112" t="e">
        <f ca="1">_xludf.IFNA(_xlfn.XLOOKUP($A4,'00_SKU_Master'!$B$2:$B$378,'00_SKU_Master'!$F$2:$F$378,0)*I4/_xlfn.XLOOKUP($A4,'00_SKU_Master'!$B$2:$B$378,'00_SKU_Master'!$O:$O,0),"")</f>
        <v>#NAME?</v>
      </c>
      <c r="R2" s="112" t="e">
        <f ca="1">_xludf.IFNA(_xlfn.XLOOKUP($A4,'00_SKU_Master'!$B$2:$B$378,'00_SKU_Master'!$F$2:$F$378,0)*J4/_xlfn.XLOOKUP($A4,'00_SKU_Master'!$B$2:$B$378,'00_SKU_Master'!$O:$O,0),"")</f>
        <v>#NAME?</v>
      </c>
      <c r="S2" s="112" t="e">
        <f ca="1">_xludf.IFNA(_xlfn.XLOOKUP($A4,'00_SKU_Master'!$B$2:$B$378,'00_SKU_Master'!$F$2:$F$378,0)*K4/_xlfn.XLOOKUP($A4,'00_SKU_Master'!$B$2:$B$378,'00_SKU_Master'!$O:$O,0),"")</f>
        <v>#NAME?</v>
      </c>
      <c r="T2" s="113" t="e">
        <f t="shared" ref="T2:T65" si="0">SUM(N4:S4)</f>
        <v>#VALUE!</v>
      </c>
      <c r="U2" s="114" t="str">
        <f>'05_Daily_Orders'!L2</f>
        <v>LCL</v>
      </c>
    </row>
    <row r="3" spans="1:21">
      <c r="A3" s="108">
        <f>'05_Daily_Orders'!B3</f>
        <v>331</v>
      </c>
      <c r="B3" s="50">
        <v>2</v>
      </c>
      <c r="C3" s="50">
        <v>0</v>
      </c>
      <c r="D3" s="109"/>
      <c r="E3" s="109"/>
      <c r="F3">
        <v>27</v>
      </c>
      <c r="L3" s="110">
        <f t="shared" ref="L3:L66" si="1">IF($E$1="n",0,(SUM(F3:K3)-B3))</f>
        <v>0</v>
      </c>
      <c r="M3" s="111">
        <f>_xlfn.IFNA(_xlfn.XLOOKUP(A3,'00_SKU_Master'!$B$2:$B$378,'00_SKU_Master'!$C$2:$C$378,0),"")</f>
        <v>61061</v>
      </c>
      <c r="N3" s="112" t="e">
        <f>_xlfn.IFNA(_xlfn.XLOOKUP(A3,'00_SKU_Master'!$B$2:$B$378,'00_SKU_Master'!$F$2:$F$378,0)*F3/_xlfn.XLOOKUP(A3,'00_SKU_Master'!$B$2:$B$378,'00_SKU_Master'!$O:$O,0),"")</f>
        <v>#VALUE!</v>
      </c>
      <c r="O3" s="112" t="e">
        <f ca="1">_xludf.IFNA(_xlfn.XLOOKUP($A5,'00_SKU_Master'!$B$2:$B$378,'00_SKU_Master'!$F$2:$F$378,0)*G5/_xlfn.XLOOKUP($A5,'00_SKU_Master'!$B$2:$B$378,'00_SKU_Master'!$O:$O,0),"")</f>
        <v>#NAME?</v>
      </c>
      <c r="P3" s="112" t="e">
        <f ca="1">_xludf.IFNA(_xlfn.XLOOKUP($A5,'00_SKU_Master'!$B$2:$B$378,'00_SKU_Master'!$F$2:$F$378,0)*H5/_xlfn.XLOOKUP($A5,'00_SKU_Master'!$B$2:$B$378,'00_SKU_Master'!$O:$O,0),"")</f>
        <v>#NAME?</v>
      </c>
      <c r="Q3" s="112" t="e">
        <f ca="1">_xludf.IFNA(_xlfn.XLOOKUP($A5,'00_SKU_Master'!$B$2:$B$378,'00_SKU_Master'!$F$2:$F$378,0)*I5/_xlfn.XLOOKUP($A5,'00_SKU_Master'!$B$2:$B$378,'00_SKU_Master'!$O:$O,0),"")</f>
        <v>#NAME?</v>
      </c>
      <c r="R3" s="112" t="e">
        <f ca="1">_xludf.IFNA(_xlfn.XLOOKUP($A5,'00_SKU_Master'!$B$2:$B$378,'00_SKU_Master'!$F$2:$F$378,0)*J5/_xlfn.XLOOKUP($A5,'00_SKU_Master'!$B$2:$B$378,'00_SKU_Master'!$O:$O,0),"")</f>
        <v>#NAME?</v>
      </c>
      <c r="S3" s="112" t="e">
        <f ca="1">_xludf.IFNA(_xlfn.XLOOKUP($A5,'00_SKU_Master'!$B$2:$B$378,'00_SKU_Master'!$F$2:$F$378,0)*K5/_xlfn.XLOOKUP($A5,'00_SKU_Master'!$B$2:$B$378,'00_SKU_Master'!$O:$O,0),"")</f>
        <v>#NAME?</v>
      </c>
      <c r="T3" s="113" t="e">
        <f t="shared" si="0"/>
        <v>#VALUE!</v>
      </c>
      <c r="U3" s="114" t="str">
        <f>'05_Daily_Orders'!L3</f>
        <v>METRO</v>
      </c>
    </row>
    <row r="4" spans="1:21">
      <c r="A4" s="108">
        <f>'05_Daily_Orders'!B4</f>
        <v>349</v>
      </c>
      <c r="B4" s="50">
        <v>0</v>
      </c>
      <c r="C4" s="50">
        <v>0</v>
      </c>
      <c r="D4" s="109"/>
      <c r="E4" s="109"/>
      <c r="F4">
        <v>0</v>
      </c>
      <c r="L4" s="110">
        <f t="shared" si="1"/>
        <v>0</v>
      </c>
      <c r="M4" s="111" t="str">
        <f>_xlfn.IFNA(_xlfn.XLOOKUP(A4,'00_SKU_Master'!$B$2:$B$378,'00_SKU_Master'!$C$2:$C$378,0),"")</f>
        <v>61040#2</v>
      </c>
      <c r="N4" s="112" t="e">
        <f>_xlfn.IFNA(_xlfn.XLOOKUP(A4,'00_SKU_Master'!$B$2:$B$378,'00_SKU_Master'!$F$2:$F$378,0)*F4/_xlfn.XLOOKUP(A4,'00_SKU_Master'!$B$2:$B$378,'00_SKU_Master'!$O:$O,0),"")</f>
        <v>#VALUE!</v>
      </c>
      <c r="O4" s="112" t="e">
        <f ca="1">_xludf.IFNA(_xlfn.XLOOKUP($A6,'00_SKU_Master'!$B$2:$B$378,'00_SKU_Master'!$F$2:$F$378,0)*G6/_xlfn.XLOOKUP($A6,'00_SKU_Master'!$B$2:$B$378,'00_SKU_Master'!$O:$O,0),"")</f>
        <v>#NAME?</v>
      </c>
      <c r="P4" s="112" t="e">
        <f ca="1">_xludf.IFNA(_xlfn.XLOOKUP($A6,'00_SKU_Master'!$B$2:$B$378,'00_SKU_Master'!$F$2:$F$378,0)*H6/_xlfn.XLOOKUP($A6,'00_SKU_Master'!$B$2:$B$378,'00_SKU_Master'!$O:$O,0),"")</f>
        <v>#NAME?</v>
      </c>
      <c r="Q4" s="112" t="e">
        <f ca="1">_xludf.IFNA(_xlfn.XLOOKUP($A6,'00_SKU_Master'!$B$2:$B$378,'00_SKU_Master'!$F$2:$F$378,0)*I6/_xlfn.XLOOKUP($A6,'00_SKU_Master'!$B$2:$B$378,'00_SKU_Master'!$O:$O,0),"")</f>
        <v>#NAME?</v>
      </c>
      <c r="R4" s="112" t="e">
        <f ca="1">_xludf.IFNA(_xlfn.XLOOKUP($A6,'00_SKU_Master'!$B$2:$B$378,'00_SKU_Master'!$F$2:$F$378,0)*J6/_xlfn.XLOOKUP($A6,'00_SKU_Master'!$B$2:$B$378,'00_SKU_Master'!$O:$O,0),"")</f>
        <v>#NAME?</v>
      </c>
      <c r="S4" s="112" t="e">
        <f ca="1">_xludf.IFNA(_xlfn.XLOOKUP($A6,'00_SKU_Master'!$B$2:$B$378,'00_SKU_Master'!$F$2:$F$378,0)*K6/_xlfn.XLOOKUP($A6,'00_SKU_Master'!$B$2:$B$378,'00_SKU_Master'!$O:$O,0),"")</f>
        <v>#NAME?</v>
      </c>
      <c r="T4" s="113" t="e">
        <f t="shared" si="0"/>
        <v>#VALUE!</v>
      </c>
      <c r="U4" s="114" t="str">
        <f>'05_Daily_Orders'!L4</f>
        <v>FB</v>
      </c>
    </row>
    <row r="5" spans="1:21">
      <c r="A5" s="108">
        <f>'05_Daily_Orders'!B5</f>
        <v>484</v>
      </c>
      <c r="B5" s="50">
        <v>0</v>
      </c>
      <c r="C5" s="50">
        <v>7</v>
      </c>
      <c r="D5" s="109"/>
      <c r="E5" s="109"/>
      <c r="F5">
        <v>44</v>
      </c>
      <c r="L5" s="110">
        <f t="shared" si="1"/>
        <v>0</v>
      </c>
      <c r="M5" s="111">
        <f>_xlfn.IFNA(_xlfn.XLOOKUP(A5,'00_SKU_Master'!$B$2:$B$378,'00_SKU_Master'!$C$2:$C$378,0),"")</f>
        <v>61121</v>
      </c>
      <c r="N5" s="112" t="e">
        <f>_xlfn.IFNA(_xlfn.XLOOKUP(A5,'00_SKU_Master'!$B$2:$B$378,'00_SKU_Master'!$F$2:$F$378,0)*F5/_xlfn.XLOOKUP(A5,'00_SKU_Master'!$B$2:$B$378,'00_SKU_Master'!$O:$O,0),"")</f>
        <v>#VALUE!</v>
      </c>
      <c r="O5" s="112" t="e">
        <f ca="1">_xludf.IFNA(_xlfn.XLOOKUP($A7,'00_SKU_Master'!$B$2:$B$378,'00_SKU_Master'!$F$2:$F$378,0)*G7/_xlfn.XLOOKUP($A7,'00_SKU_Master'!$B$2:$B$378,'00_SKU_Master'!$O:$O,0),"")</f>
        <v>#NAME?</v>
      </c>
      <c r="P5" s="112" t="e">
        <f ca="1">_xludf.IFNA(_xlfn.XLOOKUP($A7,'00_SKU_Master'!$B$2:$B$378,'00_SKU_Master'!$F$2:$F$378,0)*H7/_xlfn.XLOOKUP($A7,'00_SKU_Master'!$B$2:$B$378,'00_SKU_Master'!$O:$O,0),"")</f>
        <v>#NAME?</v>
      </c>
      <c r="Q5" s="112" t="e">
        <f ca="1">_xludf.IFNA(_xlfn.XLOOKUP($A7,'00_SKU_Master'!$B$2:$B$378,'00_SKU_Master'!$F$2:$F$378,0)*I7/_xlfn.XLOOKUP($A7,'00_SKU_Master'!$B$2:$B$378,'00_SKU_Master'!$O:$O,0),"")</f>
        <v>#NAME?</v>
      </c>
      <c r="R5" s="112" t="e">
        <f ca="1">_xludf.IFNA(_xlfn.XLOOKUP($A7,'00_SKU_Master'!$B$2:$B$378,'00_SKU_Master'!$F$2:$F$378,0)*J7/_xlfn.XLOOKUP($A7,'00_SKU_Master'!$B$2:$B$378,'00_SKU_Master'!$O:$O,0),"")</f>
        <v>#NAME?</v>
      </c>
      <c r="S5" s="112" t="e">
        <f ca="1">_xludf.IFNA(_xlfn.XLOOKUP($A7,'00_SKU_Master'!$B$2:$B$378,'00_SKU_Master'!$F$2:$F$378,0)*K7/_xlfn.XLOOKUP($A7,'00_SKU_Master'!$B$2:$B$378,'00_SKU_Master'!$O:$O,0),"")</f>
        <v>#NAME?</v>
      </c>
      <c r="T5" s="113" t="e">
        <f t="shared" si="0"/>
        <v>#VALUE!</v>
      </c>
      <c r="U5" s="114" t="str">
        <f>'05_Daily_Orders'!L5</f>
        <v>FB</v>
      </c>
    </row>
    <row r="6" spans="1:21">
      <c r="A6" s="108">
        <f>'05_Daily_Orders'!B6</f>
        <v>784</v>
      </c>
      <c r="B6" s="50">
        <v>0</v>
      </c>
      <c r="C6" s="50">
        <v>22</v>
      </c>
      <c r="D6" s="109"/>
      <c r="E6" s="109"/>
      <c r="F6">
        <v>136</v>
      </c>
      <c r="L6" s="110">
        <f t="shared" si="1"/>
        <v>0</v>
      </c>
      <c r="M6" s="111" t="str">
        <f>_xlfn.IFNA(_xlfn.XLOOKUP(A6,'00_SKU_Master'!$B$2:$B$378,'00_SKU_Master'!$C$2:$C$378,0),"")</f>
        <v>61086#2</v>
      </c>
      <c r="N6" s="112" t="e">
        <f>_xlfn.IFNA(_xlfn.XLOOKUP(A6,'00_SKU_Master'!$B$2:$B$378,'00_SKU_Master'!$F$2:$F$378,0)*F6/_xlfn.XLOOKUP(A6,'00_SKU_Master'!$B$2:$B$378,'00_SKU_Master'!$O:$O,0),"")</f>
        <v>#VALUE!</v>
      </c>
      <c r="O6" s="112" t="e">
        <f ca="1">_xludf.IFNA(_xlfn.XLOOKUP($A8,'00_SKU_Master'!$B$2:$B$378,'00_SKU_Master'!$F$2:$F$378,0)*G8/_xlfn.XLOOKUP($A8,'00_SKU_Master'!$B$2:$B$378,'00_SKU_Master'!$O:$O,0),"")</f>
        <v>#NAME?</v>
      </c>
      <c r="P6" s="112" t="e">
        <f ca="1">_xludf.IFNA(_xlfn.XLOOKUP($A8,'00_SKU_Master'!$B$2:$B$378,'00_SKU_Master'!$F$2:$F$378,0)*H8/_xlfn.XLOOKUP($A8,'00_SKU_Master'!$B$2:$B$378,'00_SKU_Master'!$O:$O,0),"")</f>
        <v>#NAME?</v>
      </c>
      <c r="Q6" s="112" t="e">
        <f ca="1">_xludf.IFNA(_xlfn.XLOOKUP($A8,'00_SKU_Master'!$B$2:$B$378,'00_SKU_Master'!$F$2:$F$378,0)*I8/_xlfn.XLOOKUP($A8,'00_SKU_Master'!$B$2:$B$378,'00_SKU_Master'!$O:$O,0),"")</f>
        <v>#NAME?</v>
      </c>
      <c r="R6" s="112" t="e">
        <f ca="1">_xludf.IFNA(_xlfn.XLOOKUP($A8,'00_SKU_Master'!$B$2:$B$378,'00_SKU_Master'!$F$2:$F$378,0)*J8/_xlfn.XLOOKUP($A8,'00_SKU_Master'!$B$2:$B$378,'00_SKU_Master'!$O:$O,0),"")</f>
        <v>#NAME?</v>
      </c>
      <c r="S6" s="112" t="e">
        <f ca="1">_xludf.IFNA(_xlfn.XLOOKUP($A8,'00_SKU_Master'!$B$2:$B$378,'00_SKU_Master'!$F$2:$F$378,0)*K8/_xlfn.XLOOKUP($A8,'00_SKU_Master'!$B$2:$B$378,'00_SKU_Master'!$O:$O,0),"")</f>
        <v>#NAME?</v>
      </c>
      <c r="T6" s="113" t="e">
        <f t="shared" si="0"/>
        <v>#VALUE!</v>
      </c>
      <c r="U6" s="114" t="str">
        <f>'05_Daily_Orders'!L6</f>
        <v>FB</v>
      </c>
    </row>
    <row r="7" spans="1:21">
      <c r="A7" s="108">
        <f>'05_Daily_Orders'!B7</f>
        <v>946</v>
      </c>
      <c r="B7" s="50">
        <v>0</v>
      </c>
      <c r="C7" s="50">
        <v>0</v>
      </c>
      <c r="D7" s="109"/>
      <c r="E7" s="109"/>
      <c r="F7">
        <v>0</v>
      </c>
      <c r="L7" s="110">
        <f t="shared" si="1"/>
        <v>0</v>
      </c>
      <c r="M7" s="111" t="str">
        <f>_xlfn.IFNA(_xlfn.XLOOKUP(A7,'00_SKU_Master'!$B$2:$B$378,'00_SKU_Master'!$C$2:$C$378,0),"")</f>
        <v>61040#2</v>
      </c>
      <c r="N7" s="112" t="e">
        <f>_xlfn.IFNA(_xlfn.XLOOKUP(A7,'00_SKU_Master'!$B$2:$B$378,'00_SKU_Master'!$F$2:$F$378,0)*F7/_xlfn.XLOOKUP(A7,'00_SKU_Master'!$B$2:$B$378,'00_SKU_Master'!$O:$O,0),"")</f>
        <v>#VALUE!</v>
      </c>
      <c r="O7" s="112" t="e">
        <f ca="1">_xludf.IFNA(_xlfn.XLOOKUP($A9,'00_SKU_Master'!$B$2:$B$378,'00_SKU_Master'!$F$2:$F$378,0)*G9/_xlfn.XLOOKUP($A9,'00_SKU_Master'!$B$2:$B$378,'00_SKU_Master'!$O:$O,0),"")</f>
        <v>#NAME?</v>
      </c>
      <c r="P7" s="112" t="e">
        <f ca="1">_xludf.IFNA(_xlfn.XLOOKUP($A9,'00_SKU_Master'!$B$2:$B$378,'00_SKU_Master'!$F$2:$F$378,0)*H9/_xlfn.XLOOKUP($A9,'00_SKU_Master'!$B$2:$B$378,'00_SKU_Master'!$O:$O,0),"")</f>
        <v>#NAME?</v>
      </c>
      <c r="Q7" s="112" t="e">
        <f ca="1">_xludf.IFNA(_xlfn.XLOOKUP($A9,'00_SKU_Master'!$B$2:$B$378,'00_SKU_Master'!$F$2:$F$378,0)*I9/_xlfn.XLOOKUP($A9,'00_SKU_Master'!$B$2:$B$378,'00_SKU_Master'!$O:$O,0),"")</f>
        <v>#NAME?</v>
      </c>
      <c r="R7" s="112" t="e">
        <f ca="1">_xludf.IFNA(_xlfn.XLOOKUP($A9,'00_SKU_Master'!$B$2:$B$378,'00_SKU_Master'!$F$2:$F$378,0)*J9/_xlfn.XLOOKUP($A9,'00_SKU_Master'!$B$2:$B$378,'00_SKU_Master'!$O:$O,0),"")</f>
        <v>#NAME?</v>
      </c>
      <c r="S7" s="112" t="e">
        <f ca="1">_xludf.IFNA(_xlfn.XLOOKUP($A9,'00_SKU_Master'!$B$2:$B$378,'00_SKU_Master'!$F$2:$F$378,0)*K9/_xlfn.XLOOKUP($A9,'00_SKU_Master'!$B$2:$B$378,'00_SKU_Master'!$O:$O,0),"")</f>
        <v>#NAME?</v>
      </c>
      <c r="T7" s="113" t="e">
        <f t="shared" si="0"/>
        <v>#VALUE!</v>
      </c>
      <c r="U7" s="114" t="str">
        <f>'05_Daily_Orders'!L7</f>
        <v>FB</v>
      </c>
    </row>
    <row r="8" spans="1:21">
      <c r="A8" s="108">
        <f>'05_Daily_Orders'!B8</f>
        <v>956</v>
      </c>
      <c r="B8" s="50">
        <v>0</v>
      </c>
      <c r="C8" s="50">
        <v>0</v>
      </c>
      <c r="D8" s="109"/>
      <c r="E8" s="109"/>
      <c r="F8">
        <v>0</v>
      </c>
      <c r="L8" s="110">
        <f t="shared" si="1"/>
        <v>0</v>
      </c>
      <c r="M8" s="111" t="str">
        <f>_xlfn.IFNA(_xlfn.XLOOKUP(A8,'00_SKU_Master'!$B$2:$B$378,'00_SKU_Master'!$C$2:$C$378,0),"")</f>
        <v>61072#2</v>
      </c>
      <c r="N8" s="112" t="e">
        <f>_xlfn.IFNA(_xlfn.XLOOKUP(A8,'00_SKU_Master'!$B$2:$B$378,'00_SKU_Master'!$F$2:$F$378,0)*F8/_xlfn.XLOOKUP(A8,'00_SKU_Master'!$B$2:$B$378,'00_SKU_Master'!$O:$O,0),"")</f>
        <v>#VALUE!</v>
      </c>
      <c r="O8" s="112" t="e">
        <f ca="1">_xludf.IFNA(_xlfn.XLOOKUP($A10,'00_SKU_Master'!$B$2:$B$378,'00_SKU_Master'!$F$2:$F$378,0)*G10/_xlfn.XLOOKUP($A10,'00_SKU_Master'!$B$2:$B$378,'00_SKU_Master'!$O:$O,0),"")</f>
        <v>#NAME?</v>
      </c>
      <c r="P8" s="112" t="e">
        <f ca="1">_xludf.IFNA(_xlfn.XLOOKUP($A10,'00_SKU_Master'!$B$2:$B$378,'00_SKU_Master'!$F$2:$F$378,0)*H10/_xlfn.XLOOKUP($A10,'00_SKU_Master'!$B$2:$B$378,'00_SKU_Master'!$O:$O,0),"")</f>
        <v>#NAME?</v>
      </c>
      <c r="Q8" s="112" t="e">
        <f ca="1">_xludf.IFNA(_xlfn.XLOOKUP($A10,'00_SKU_Master'!$B$2:$B$378,'00_SKU_Master'!$F$2:$F$378,0)*I10/_xlfn.XLOOKUP($A10,'00_SKU_Master'!$B$2:$B$378,'00_SKU_Master'!$O:$O,0),"")</f>
        <v>#NAME?</v>
      </c>
      <c r="R8" s="112" t="e">
        <f ca="1">_xludf.IFNA(_xlfn.XLOOKUP($A10,'00_SKU_Master'!$B$2:$B$378,'00_SKU_Master'!$F$2:$F$378,0)*J10/_xlfn.XLOOKUP($A10,'00_SKU_Master'!$B$2:$B$378,'00_SKU_Master'!$O:$O,0),"")</f>
        <v>#NAME?</v>
      </c>
      <c r="S8" s="112" t="e">
        <f ca="1">_xludf.IFNA(_xlfn.XLOOKUP($A10,'00_SKU_Master'!$B$2:$B$378,'00_SKU_Master'!$F$2:$F$378,0)*K10/_xlfn.XLOOKUP($A10,'00_SKU_Master'!$B$2:$B$378,'00_SKU_Master'!$O:$O,0),"")</f>
        <v>#NAME?</v>
      </c>
      <c r="T8" s="113" t="e">
        <f t="shared" si="0"/>
        <v>#VALUE!</v>
      </c>
      <c r="U8" s="114" t="str">
        <f>'05_Daily_Orders'!L8</f>
        <v>FB</v>
      </c>
    </row>
    <row r="9" spans="1:21">
      <c r="A9" s="108">
        <f>'05_Daily_Orders'!B9</f>
        <v>957</v>
      </c>
      <c r="B9" s="50">
        <v>0</v>
      </c>
      <c r="C9" s="50">
        <v>0</v>
      </c>
      <c r="D9" s="109"/>
      <c r="E9" s="109"/>
      <c r="F9">
        <v>0</v>
      </c>
      <c r="L9" s="110">
        <f t="shared" si="1"/>
        <v>0</v>
      </c>
      <c r="M9" s="111">
        <f>_xlfn.IFNA(_xlfn.XLOOKUP(A9,'00_SKU_Master'!$B$2:$B$378,'00_SKU_Master'!$C$2:$C$378,0),"")</f>
        <v>61082</v>
      </c>
      <c r="N9" s="112" t="e">
        <f>_xlfn.IFNA(_xlfn.XLOOKUP(A9,'00_SKU_Master'!$B$2:$B$378,'00_SKU_Master'!$F$2:$F$378,0)*F9/_xlfn.XLOOKUP(A9,'00_SKU_Master'!$B$2:$B$378,'00_SKU_Master'!$O:$O,0),"")</f>
        <v>#VALUE!</v>
      </c>
      <c r="O9" s="112" t="e">
        <f ca="1">_xludf.IFNA(_xlfn.XLOOKUP($A11,'00_SKU_Master'!$B$2:$B$378,'00_SKU_Master'!$F$2:$F$378,0)*G11/_xlfn.XLOOKUP($A11,'00_SKU_Master'!$B$2:$B$378,'00_SKU_Master'!$O:$O,0),"")</f>
        <v>#NAME?</v>
      </c>
      <c r="P9" s="112" t="e">
        <f ca="1">_xludf.IFNA(_xlfn.XLOOKUP($A11,'00_SKU_Master'!$B$2:$B$378,'00_SKU_Master'!$F$2:$F$378,0)*H11/_xlfn.XLOOKUP($A11,'00_SKU_Master'!$B$2:$B$378,'00_SKU_Master'!$O:$O,0),"")</f>
        <v>#NAME?</v>
      </c>
      <c r="Q9" s="112" t="e">
        <f ca="1">_xludf.IFNA(_xlfn.XLOOKUP($A11,'00_SKU_Master'!$B$2:$B$378,'00_SKU_Master'!$F$2:$F$378,0)*I11/_xlfn.XLOOKUP($A11,'00_SKU_Master'!$B$2:$B$378,'00_SKU_Master'!$O:$O,0),"")</f>
        <v>#NAME?</v>
      </c>
      <c r="R9" s="112" t="e">
        <f ca="1">_xludf.IFNA(_xlfn.XLOOKUP($A11,'00_SKU_Master'!$B$2:$B$378,'00_SKU_Master'!$F$2:$F$378,0)*J11/_xlfn.XLOOKUP($A11,'00_SKU_Master'!$B$2:$B$378,'00_SKU_Master'!$O:$O,0),"")</f>
        <v>#NAME?</v>
      </c>
      <c r="S9" s="112" t="e">
        <f ca="1">_xludf.IFNA(_xlfn.XLOOKUP($A11,'00_SKU_Master'!$B$2:$B$378,'00_SKU_Master'!$F$2:$F$378,0)*K11/_xlfn.XLOOKUP($A11,'00_SKU_Master'!$B$2:$B$378,'00_SKU_Master'!$O:$O,0),"")</f>
        <v>#NAME?</v>
      </c>
      <c r="T9" s="113" t="e">
        <f t="shared" si="0"/>
        <v>#VALUE!</v>
      </c>
      <c r="U9" s="114" t="str">
        <f>'05_Daily_Orders'!L9</f>
        <v>FB</v>
      </c>
    </row>
    <row r="10" spans="1:21">
      <c r="A10" s="108">
        <f>'05_Daily_Orders'!B10</f>
        <v>1023</v>
      </c>
      <c r="B10" s="50">
        <v>0</v>
      </c>
      <c r="C10" s="50">
        <v>0</v>
      </c>
      <c r="D10" s="109"/>
      <c r="E10" s="109"/>
      <c r="F10">
        <v>40</v>
      </c>
      <c r="L10" s="110">
        <f t="shared" si="1"/>
        <v>0</v>
      </c>
      <c r="M10" s="111">
        <f>_xlfn.IFNA(_xlfn.XLOOKUP(A10,'00_SKU_Master'!$B$2:$B$378,'00_SKU_Master'!$C$2:$C$378,0),"")</f>
        <v>61121</v>
      </c>
      <c r="N10" s="112" t="e">
        <f>_xlfn.IFNA(_xlfn.XLOOKUP(A10,'00_SKU_Master'!$B$2:$B$378,'00_SKU_Master'!$F$2:$F$378,0)*F10/_xlfn.XLOOKUP(A10,'00_SKU_Master'!$B$2:$B$378,'00_SKU_Master'!$O:$O,0),"")</f>
        <v>#VALUE!</v>
      </c>
      <c r="O10" s="112" t="e">
        <f ca="1">_xludf.IFNA(_xlfn.XLOOKUP($A12,'00_SKU_Master'!$B$2:$B$378,'00_SKU_Master'!$F$2:$F$378,0)*G12/_xlfn.XLOOKUP($A12,'00_SKU_Master'!$B$2:$B$378,'00_SKU_Master'!$O:$O,0),"")</f>
        <v>#NAME?</v>
      </c>
      <c r="P10" s="112" t="e">
        <f ca="1">_xludf.IFNA(_xlfn.XLOOKUP($A12,'00_SKU_Master'!$B$2:$B$378,'00_SKU_Master'!$F$2:$F$378,0)*H12/_xlfn.XLOOKUP($A12,'00_SKU_Master'!$B$2:$B$378,'00_SKU_Master'!$O:$O,0),"")</f>
        <v>#NAME?</v>
      </c>
      <c r="Q10" s="112" t="e">
        <f ca="1">_xludf.IFNA(_xlfn.XLOOKUP($A12,'00_SKU_Master'!$B$2:$B$378,'00_SKU_Master'!$F$2:$F$378,0)*I12/_xlfn.XLOOKUP($A12,'00_SKU_Master'!$B$2:$B$378,'00_SKU_Master'!$O:$O,0),"")</f>
        <v>#NAME?</v>
      </c>
      <c r="R10" s="112" t="e">
        <f ca="1">_xludf.IFNA(_xlfn.XLOOKUP($A12,'00_SKU_Master'!$B$2:$B$378,'00_SKU_Master'!$F$2:$F$378,0)*J12/_xlfn.XLOOKUP($A12,'00_SKU_Master'!$B$2:$B$378,'00_SKU_Master'!$O:$O,0),"")</f>
        <v>#NAME?</v>
      </c>
      <c r="S10" s="112" t="e">
        <f ca="1">_xludf.IFNA(_xlfn.XLOOKUP($A12,'00_SKU_Master'!$B$2:$B$378,'00_SKU_Master'!$F$2:$F$378,0)*K12/_xlfn.XLOOKUP($A12,'00_SKU_Master'!$B$2:$B$378,'00_SKU_Master'!$O:$O,0),"")</f>
        <v>#NAME?</v>
      </c>
      <c r="T10" s="113" t="e">
        <f t="shared" si="0"/>
        <v>#VALUE!</v>
      </c>
      <c r="U10" s="114" t="str">
        <f>'05_Daily_Orders'!L10</f>
        <v>METRO</v>
      </c>
    </row>
    <row r="11" spans="1:21">
      <c r="A11" s="108">
        <f>'05_Daily_Orders'!B11</f>
        <v>1830</v>
      </c>
      <c r="B11" s="50">
        <v>0</v>
      </c>
      <c r="C11" s="50">
        <v>24</v>
      </c>
      <c r="D11" s="109"/>
      <c r="E11" s="109"/>
      <c r="F11">
        <v>82</v>
      </c>
      <c r="L11" s="110">
        <f t="shared" si="1"/>
        <v>0</v>
      </c>
      <c r="M11" s="111" t="str">
        <f>_xlfn.IFNA(_xlfn.XLOOKUP(A11,'00_SKU_Master'!$B$2:$B$378,'00_SKU_Master'!$C$2:$C$378,0),"")</f>
        <v>61050F</v>
      </c>
      <c r="N11" s="112" t="e">
        <f>_xlfn.IFNA(_xlfn.XLOOKUP(A11,'00_SKU_Master'!$B$2:$B$378,'00_SKU_Master'!$F$2:$F$378,0)*F11/_xlfn.XLOOKUP(A11,'00_SKU_Master'!$B$2:$B$378,'00_SKU_Master'!$O:$O,0),"")</f>
        <v>#VALUE!</v>
      </c>
      <c r="O11" s="112" t="e">
        <f ca="1">_xludf.IFNA(_xlfn.XLOOKUP($A13,'00_SKU_Master'!$B$2:$B$378,'00_SKU_Master'!$F$2:$F$378,0)*G13/_xlfn.XLOOKUP($A13,'00_SKU_Master'!$B$2:$B$378,'00_SKU_Master'!$O:$O,0),"")</f>
        <v>#NAME?</v>
      </c>
      <c r="P11" s="112" t="e">
        <f ca="1">_xludf.IFNA(_xlfn.XLOOKUP($A13,'00_SKU_Master'!$B$2:$B$378,'00_SKU_Master'!$F$2:$F$378,0)*H13/_xlfn.XLOOKUP($A13,'00_SKU_Master'!$B$2:$B$378,'00_SKU_Master'!$O:$O,0),"")</f>
        <v>#NAME?</v>
      </c>
      <c r="Q11" s="112" t="e">
        <f ca="1">_xludf.IFNA(_xlfn.XLOOKUP($A13,'00_SKU_Master'!$B$2:$B$378,'00_SKU_Master'!$F$2:$F$378,0)*I13/_xlfn.XLOOKUP($A13,'00_SKU_Master'!$B$2:$B$378,'00_SKU_Master'!$O:$O,0),"")</f>
        <v>#NAME?</v>
      </c>
      <c r="R11" s="112" t="e">
        <f ca="1">_xludf.IFNA(_xlfn.XLOOKUP($A13,'00_SKU_Master'!$B$2:$B$378,'00_SKU_Master'!$F$2:$F$378,0)*J13/_xlfn.XLOOKUP($A13,'00_SKU_Master'!$B$2:$B$378,'00_SKU_Master'!$O:$O,0),"")</f>
        <v>#NAME?</v>
      </c>
      <c r="S11" s="112" t="e">
        <f ca="1">_xludf.IFNA(_xlfn.XLOOKUP($A13,'00_SKU_Master'!$B$2:$B$378,'00_SKU_Master'!$F$2:$F$378,0)*K13/_xlfn.XLOOKUP($A13,'00_SKU_Master'!$B$2:$B$378,'00_SKU_Master'!$O:$O,0),"")</f>
        <v>#NAME?</v>
      </c>
      <c r="T11" s="113" t="e">
        <f t="shared" si="0"/>
        <v>#VALUE!</v>
      </c>
      <c r="U11" s="114" t="str">
        <f>'05_Daily_Orders'!L11</f>
        <v>FB</v>
      </c>
    </row>
    <row r="12" spans="1:21">
      <c r="A12" s="108">
        <f>'05_Daily_Orders'!B12</f>
        <v>1831</v>
      </c>
      <c r="B12" s="50">
        <v>0</v>
      </c>
      <c r="C12" s="50">
        <v>119</v>
      </c>
      <c r="D12" s="109"/>
      <c r="E12" s="109"/>
      <c r="F12">
        <v>117</v>
      </c>
      <c r="L12" s="110">
        <f t="shared" si="1"/>
        <v>0</v>
      </c>
      <c r="M12" s="111">
        <f>_xlfn.IFNA(_xlfn.XLOOKUP(A12,'00_SKU_Master'!$B$2:$B$378,'00_SKU_Master'!$C$2:$C$378,0),"")</f>
        <v>203021</v>
      </c>
      <c r="N12" s="112" t="e">
        <f>_xlfn.IFNA(_xlfn.XLOOKUP(A12,'00_SKU_Master'!$B$2:$B$378,'00_SKU_Master'!$F$2:$F$378,0)*F12/_xlfn.XLOOKUP(A12,'00_SKU_Master'!$B$2:$B$378,'00_SKU_Master'!$O:$O,0),"")</f>
        <v>#VALUE!</v>
      </c>
      <c r="O12" s="112" t="e">
        <f ca="1">_xludf.IFNA(_xlfn.XLOOKUP($A14,'00_SKU_Master'!$B$2:$B$378,'00_SKU_Master'!$F$2:$F$378,0)*G14/_xlfn.XLOOKUP($A14,'00_SKU_Master'!$B$2:$B$378,'00_SKU_Master'!$O:$O,0),"")</f>
        <v>#NAME?</v>
      </c>
      <c r="P12" s="112" t="e">
        <f ca="1">_xludf.IFNA(_xlfn.XLOOKUP($A14,'00_SKU_Master'!$B$2:$B$378,'00_SKU_Master'!$F$2:$F$378,0)*H14/_xlfn.XLOOKUP($A14,'00_SKU_Master'!$B$2:$B$378,'00_SKU_Master'!$O:$O,0),"")</f>
        <v>#NAME?</v>
      </c>
      <c r="Q12" s="112" t="e">
        <f ca="1">_xludf.IFNA(_xlfn.XLOOKUP($A14,'00_SKU_Master'!$B$2:$B$378,'00_SKU_Master'!$F$2:$F$378,0)*I14/_xlfn.XLOOKUP($A14,'00_SKU_Master'!$B$2:$B$378,'00_SKU_Master'!$O:$O,0),"")</f>
        <v>#NAME?</v>
      </c>
      <c r="R12" s="112" t="e">
        <f ca="1">_xludf.IFNA(_xlfn.XLOOKUP($A14,'00_SKU_Master'!$B$2:$B$378,'00_SKU_Master'!$F$2:$F$378,0)*J14/_xlfn.XLOOKUP($A14,'00_SKU_Master'!$B$2:$B$378,'00_SKU_Master'!$O:$O,0),"")</f>
        <v>#NAME?</v>
      </c>
      <c r="S12" s="112" t="e">
        <f ca="1">_xludf.IFNA(_xlfn.XLOOKUP($A14,'00_SKU_Master'!$B$2:$B$378,'00_SKU_Master'!$F$2:$F$378,0)*K14/_xlfn.XLOOKUP($A14,'00_SKU_Master'!$B$2:$B$378,'00_SKU_Master'!$O:$O,0),"")</f>
        <v>#NAME?</v>
      </c>
      <c r="T12" s="113" t="e">
        <f t="shared" si="0"/>
        <v>#VALUE!</v>
      </c>
      <c r="U12" s="114" t="str">
        <f>'05_Daily_Orders'!L12</f>
        <v>FB</v>
      </c>
    </row>
    <row r="13" spans="1:21">
      <c r="A13" s="108">
        <f>'05_Daily_Orders'!B13</f>
        <v>1837</v>
      </c>
      <c r="B13" s="50">
        <v>0</v>
      </c>
      <c r="C13" s="50">
        <v>0</v>
      </c>
      <c r="D13" s="109"/>
      <c r="E13" s="109"/>
      <c r="F13">
        <v>0</v>
      </c>
      <c r="L13" s="110">
        <f t="shared" si="1"/>
        <v>0</v>
      </c>
      <c r="M13" s="111">
        <f>_xlfn.IFNA(_xlfn.XLOOKUP(A13,'00_SKU_Master'!$B$2:$B$378,'00_SKU_Master'!$C$2:$C$378,0),"")</f>
        <v>61010</v>
      </c>
      <c r="N13" s="112" t="e">
        <f>_xlfn.IFNA(_xlfn.XLOOKUP(A13,'00_SKU_Master'!$B$2:$B$378,'00_SKU_Master'!$F$2:$F$378,0)*F13/_xlfn.XLOOKUP(A13,'00_SKU_Master'!$B$2:$B$378,'00_SKU_Master'!$O:$O,0),"")</f>
        <v>#VALUE!</v>
      </c>
      <c r="O13" s="112" t="e">
        <f ca="1">_xludf.IFNA(_xlfn.XLOOKUP($A15,'00_SKU_Master'!$B$2:$B$378,'00_SKU_Master'!$F$2:$F$378,0)*G15/_xlfn.XLOOKUP($A15,'00_SKU_Master'!$B$2:$B$378,'00_SKU_Master'!$O:$O,0),"")</f>
        <v>#NAME?</v>
      </c>
      <c r="P13" s="112" t="e">
        <f ca="1">_xludf.IFNA(_xlfn.XLOOKUP($A15,'00_SKU_Master'!$B$2:$B$378,'00_SKU_Master'!$F$2:$F$378,0)*H15/_xlfn.XLOOKUP($A15,'00_SKU_Master'!$B$2:$B$378,'00_SKU_Master'!$O:$O,0),"")</f>
        <v>#NAME?</v>
      </c>
      <c r="Q13" s="112" t="e">
        <f ca="1">_xludf.IFNA(_xlfn.XLOOKUP($A15,'00_SKU_Master'!$B$2:$B$378,'00_SKU_Master'!$F$2:$F$378,0)*I15/_xlfn.XLOOKUP($A15,'00_SKU_Master'!$B$2:$B$378,'00_SKU_Master'!$O:$O,0),"")</f>
        <v>#NAME?</v>
      </c>
      <c r="R13" s="112" t="e">
        <f ca="1">_xludf.IFNA(_xlfn.XLOOKUP($A15,'00_SKU_Master'!$B$2:$B$378,'00_SKU_Master'!$F$2:$F$378,0)*J15/_xlfn.XLOOKUP($A15,'00_SKU_Master'!$B$2:$B$378,'00_SKU_Master'!$O:$O,0),"")</f>
        <v>#NAME?</v>
      </c>
      <c r="S13" s="112" t="e">
        <f ca="1">_xludf.IFNA(_xlfn.XLOOKUP($A15,'00_SKU_Master'!$B$2:$B$378,'00_SKU_Master'!$F$2:$F$378,0)*K15/_xlfn.XLOOKUP($A15,'00_SKU_Master'!$B$2:$B$378,'00_SKU_Master'!$O:$O,0),"")</f>
        <v>#NAME?</v>
      </c>
      <c r="T13" s="113" t="e">
        <f t="shared" si="0"/>
        <v>#VALUE!</v>
      </c>
      <c r="U13" s="114" t="str">
        <f>'05_Daily_Orders'!L13</f>
        <v>FB</v>
      </c>
    </row>
    <row r="14" spans="1:21">
      <c r="A14" s="108">
        <f>'05_Daily_Orders'!B14</f>
        <v>1838</v>
      </c>
      <c r="B14" s="50">
        <v>0</v>
      </c>
      <c r="C14" s="50">
        <v>0</v>
      </c>
      <c r="D14" s="109"/>
      <c r="E14" s="109"/>
      <c r="F14">
        <v>0</v>
      </c>
      <c r="L14" s="110">
        <f t="shared" si="1"/>
        <v>0</v>
      </c>
      <c r="M14" s="111" t="str">
        <f>_xlfn.IFNA(_xlfn.XLOOKUP(A14,'00_SKU_Master'!$B$2:$B$378,'00_SKU_Master'!$C$2:$C$378,0),"")</f>
        <v>61050F</v>
      </c>
      <c r="N14" s="112" t="e">
        <f>_xlfn.IFNA(_xlfn.XLOOKUP(A14,'00_SKU_Master'!$B$2:$B$378,'00_SKU_Master'!$F$2:$F$378,0)*F14/_xlfn.XLOOKUP(A14,'00_SKU_Master'!$B$2:$B$378,'00_SKU_Master'!$O:$O,0),"")</f>
        <v>#VALUE!</v>
      </c>
      <c r="O14" s="112" t="e">
        <f ca="1">_xludf.IFNA(_xlfn.XLOOKUP($A16,'00_SKU_Master'!$B$2:$B$378,'00_SKU_Master'!$F$2:$F$378,0)*G16/_xlfn.XLOOKUP($A16,'00_SKU_Master'!$B$2:$B$378,'00_SKU_Master'!$O:$O,0),"")</f>
        <v>#NAME?</v>
      </c>
      <c r="P14" s="112" t="e">
        <f ca="1">_xludf.IFNA(_xlfn.XLOOKUP($A16,'00_SKU_Master'!$B$2:$B$378,'00_SKU_Master'!$F$2:$F$378,0)*H16/_xlfn.XLOOKUP($A16,'00_SKU_Master'!$B$2:$B$378,'00_SKU_Master'!$O:$O,0),"")</f>
        <v>#NAME?</v>
      </c>
      <c r="Q14" s="112" t="e">
        <f ca="1">_xludf.IFNA(_xlfn.XLOOKUP($A16,'00_SKU_Master'!$B$2:$B$378,'00_SKU_Master'!$F$2:$F$378,0)*I16/_xlfn.XLOOKUP($A16,'00_SKU_Master'!$B$2:$B$378,'00_SKU_Master'!$O:$O,0),"")</f>
        <v>#NAME?</v>
      </c>
      <c r="R14" s="112" t="e">
        <f ca="1">_xludf.IFNA(_xlfn.XLOOKUP($A16,'00_SKU_Master'!$B$2:$B$378,'00_SKU_Master'!$F$2:$F$378,0)*J16/_xlfn.XLOOKUP($A16,'00_SKU_Master'!$B$2:$B$378,'00_SKU_Master'!$O:$O,0),"")</f>
        <v>#NAME?</v>
      </c>
      <c r="S14" s="112" t="e">
        <f ca="1">_xludf.IFNA(_xlfn.XLOOKUP($A16,'00_SKU_Master'!$B$2:$B$378,'00_SKU_Master'!$F$2:$F$378,0)*K16/_xlfn.XLOOKUP($A16,'00_SKU_Master'!$B$2:$B$378,'00_SKU_Master'!$O:$O,0),"")</f>
        <v>#NAME?</v>
      </c>
      <c r="T14" s="113" t="e">
        <f t="shared" si="0"/>
        <v>#VALUE!</v>
      </c>
      <c r="U14" s="114" t="str">
        <f>'05_Daily_Orders'!L14</f>
        <v>FB</v>
      </c>
    </row>
    <row r="15" spans="1:21">
      <c r="A15" s="108">
        <f>'05_Daily_Orders'!B15</f>
        <v>1839</v>
      </c>
      <c r="B15" s="50">
        <v>0</v>
      </c>
      <c r="C15" s="50">
        <v>0</v>
      </c>
      <c r="D15" s="109"/>
      <c r="E15" s="109"/>
      <c r="F15">
        <v>0</v>
      </c>
      <c r="L15" s="110">
        <f t="shared" si="1"/>
        <v>0</v>
      </c>
      <c r="M15" s="111">
        <f>_xlfn.IFNA(_xlfn.XLOOKUP(A15,'00_SKU_Master'!$B$2:$B$378,'00_SKU_Master'!$C$2:$C$378,0),"")</f>
        <v>203021</v>
      </c>
      <c r="N15" s="112" t="e">
        <f>_xlfn.IFNA(_xlfn.XLOOKUP(A15,'00_SKU_Master'!$B$2:$B$378,'00_SKU_Master'!$F$2:$F$378,0)*F15/_xlfn.XLOOKUP(A15,'00_SKU_Master'!$B$2:$B$378,'00_SKU_Master'!$O:$O,0),"")</f>
        <v>#VALUE!</v>
      </c>
      <c r="O15" s="112" t="e">
        <f ca="1">_xludf.IFNA(_xlfn.XLOOKUP($A17,'00_SKU_Master'!$B$2:$B$378,'00_SKU_Master'!$F$2:$F$378,0)*G17/_xlfn.XLOOKUP($A17,'00_SKU_Master'!$B$2:$B$378,'00_SKU_Master'!$O:$O,0),"")</f>
        <v>#NAME?</v>
      </c>
      <c r="P15" s="112" t="e">
        <f ca="1">_xludf.IFNA(_xlfn.XLOOKUP($A17,'00_SKU_Master'!$B$2:$B$378,'00_SKU_Master'!$F$2:$F$378,0)*H17/_xlfn.XLOOKUP($A17,'00_SKU_Master'!$B$2:$B$378,'00_SKU_Master'!$O:$O,0),"")</f>
        <v>#NAME?</v>
      </c>
      <c r="Q15" s="112" t="e">
        <f ca="1">_xludf.IFNA(_xlfn.XLOOKUP($A17,'00_SKU_Master'!$B$2:$B$378,'00_SKU_Master'!$F$2:$F$378,0)*I17/_xlfn.XLOOKUP($A17,'00_SKU_Master'!$B$2:$B$378,'00_SKU_Master'!$O:$O,0),"")</f>
        <v>#NAME?</v>
      </c>
      <c r="R15" s="112" t="e">
        <f ca="1">_xludf.IFNA(_xlfn.XLOOKUP($A17,'00_SKU_Master'!$B$2:$B$378,'00_SKU_Master'!$F$2:$F$378,0)*J17/_xlfn.XLOOKUP($A17,'00_SKU_Master'!$B$2:$B$378,'00_SKU_Master'!$O:$O,0),"")</f>
        <v>#NAME?</v>
      </c>
      <c r="S15" s="112" t="e">
        <f ca="1">_xludf.IFNA(_xlfn.XLOOKUP($A17,'00_SKU_Master'!$B$2:$B$378,'00_SKU_Master'!$F$2:$F$378,0)*K17/_xlfn.XLOOKUP($A17,'00_SKU_Master'!$B$2:$B$378,'00_SKU_Master'!$O:$O,0),"")</f>
        <v>#NAME?</v>
      </c>
      <c r="T15" s="113" t="e">
        <f t="shared" si="0"/>
        <v>#VALUE!</v>
      </c>
      <c r="U15" s="114" t="str">
        <f>'05_Daily_Orders'!L15</f>
        <v>FB</v>
      </c>
    </row>
    <row r="16" spans="1:21">
      <c r="A16" s="108">
        <f>'05_Daily_Orders'!B16</f>
        <v>1842</v>
      </c>
      <c r="B16" s="50">
        <v>0</v>
      </c>
      <c r="C16" s="50">
        <v>0</v>
      </c>
      <c r="D16" s="109"/>
      <c r="E16" s="109"/>
      <c r="F16">
        <v>0</v>
      </c>
      <c r="L16" s="110">
        <f t="shared" si="1"/>
        <v>0</v>
      </c>
      <c r="M16" s="111">
        <f>_xlfn.IFNA(_xlfn.XLOOKUP(A16,'00_SKU_Master'!$B$2:$B$378,'00_SKU_Master'!$C$2:$C$378,0),"")</f>
        <v>61040</v>
      </c>
      <c r="N16" s="112" t="e">
        <f>_xlfn.IFNA(_xlfn.XLOOKUP(A16,'00_SKU_Master'!$B$2:$B$378,'00_SKU_Master'!$F$2:$F$378,0)*F16/_xlfn.XLOOKUP(A16,'00_SKU_Master'!$B$2:$B$378,'00_SKU_Master'!$O:$O,0),"")</f>
        <v>#VALUE!</v>
      </c>
      <c r="O16" s="112" t="e">
        <f ca="1">_xludf.IFNA(_xlfn.XLOOKUP($A18,'00_SKU_Master'!$B$2:$B$378,'00_SKU_Master'!$F$2:$F$378,0)*G18/_xlfn.XLOOKUP($A18,'00_SKU_Master'!$B$2:$B$378,'00_SKU_Master'!$O:$O,0),"")</f>
        <v>#NAME?</v>
      </c>
      <c r="P16" s="112" t="e">
        <f ca="1">_xludf.IFNA(_xlfn.XLOOKUP($A18,'00_SKU_Master'!$B$2:$B$378,'00_SKU_Master'!$F$2:$F$378,0)*H18/_xlfn.XLOOKUP($A18,'00_SKU_Master'!$B$2:$B$378,'00_SKU_Master'!$O:$O,0),"")</f>
        <v>#NAME?</v>
      </c>
      <c r="Q16" s="112" t="e">
        <f ca="1">_xludf.IFNA(_xlfn.XLOOKUP($A18,'00_SKU_Master'!$B$2:$B$378,'00_SKU_Master'!$F$2:$F$378,0)*I18/_xlfn.XLOOKUP($A18,'00_SKU_Master'!$B$2:$B$378,'00_SKU_Master'!$O:$O,0),"")</f>
        <v>#NAME?</v>
      </c>
      <c r="R16" s="112" t="e">
        <f ca="1">_xludf.IFNA(_xlfn.XLOOKUP($A18,'00_SKU_Master'!$B$2:$B$378,'00_SKU_Master'!$F$2:$F$378,0)*J18/_xlfn.XLOOKUP($A18,'00_SKU_Master'!$B$2:$B$378,'00_SKU_Master'!$O:$O,0),"")</f>
        <v>#NAME?</v>
      </c>
      <c r="S16" s="112" t="e">
        <f ca="1">_xludf.IFNA(_xlfn.XLOOKUP($A18,'00_SKU_Master'!$B$2:$B$378,'00_SKU_Master'!$F$2:$F$378,0)*K18/_xlfn.XLOOKUP($A18,'00_SKU_Master'!$B$2:$B$378,'00_SKU_Master'!$O:$O,0),"")</f>
        <v>#NAME?</v>
      </c>
      <c r="T16" s="113" t="e">
        <f t="shared" si="0"/>
        <v>#VALUE!</v>
      </c>
      <c r="U16" s="114" t="str">
        <f>'05_Daily_Orders'!L16</f>
        <v>FB</v>
      </c>
    </row>
    <row r="17" spans="1:21">
      <c r="A17" s="108">
        <f>'05_Daily_Orders'!B17</f>
        <v>1843</v>
      </c>
      <c r="B17" s="50">
        <v>0</v>
      </c>
      <c r="C17" s="50">
        <v>0</v>
      </c>
      <c r="D17" s="109"/>
      <c r="E17" s="109"/>
      <c r="F17">
        <v>0</v>
      </c>
      <c r="L17" s="110">
        <f t="shared" si="1"/>
        <v>0</v>
      </c>
      <c r="M17" s="111">
        <f>_xlfn.IFNA(_xlfn.XLOOKUP(A17,'00_SKU_Master'!$B$2:$B$378,'00_SKU_Master'!$C$2:$C$378,0),"")</f>
        <v>61014</v>
      </c>
      <c r="N17" s="112" t="e">
        <f>_xlfn.IFNA(_xlfn.XLOOKUP(A17,'00_SKU_Master'!$B$2:$B$378,'00_SKU_Master'!$F$2:$F$378,0)*F17/_xlfn.XLOOKUP(A17,'00_SKU_Master'!$B$2:$B$378,'00_SKU_Master'!$O:$O,0),"")</f>
        <v>#VALUE!</v>
      </c>
      <c r="O17" s="112" t="e">
        <f ca="1">_xludf.IFNA(_xlfn.XLOOKUP($A19,'00_SKU_Master'!$B$2:$B$378,'00_SKU_Master'!$F$2:$F$378,0)*G19/_xlfn.XLOOKUP($A19,'00_SKU_Master'!$B$2:$B$378,'00_SKU_Master'!$O:$O,0),"")</f>
        <v>#NAME?</v>
      </c>
      <c r="P17" s="112" t="e">
        <f ca="1">_xludf.IFNA(_xlfn.XLOOKUP($A19,'00_SKU_Master'!$B$2:$B$378,'00_SKU_Master'!$F$2:$F$378,0)*H19/_xlfn.XLOOKUP($A19,'00_SKU_Master'!$B$2:$B$378,'00_SKU_Master'!$O:$O,0),"")</f>
        <v>#NAME?</v>
      </c>
      <c r="Q17" s="112" t="e">
        <f ca="1">_xludf.IFNA(_xlfn.XLOOKUP($A19,'00_SKU_Master'!$B$2:$B$378,'00_SKU_Master'!$F$2:$F$378,0)*I19/_xlfn.XLOOKUP($A19,'00_SKU_Master'!$B$2:$B$378,'00_SKU_Master'!$O:$O,0),"")</f>
        <v>#NAME?</v>
      </c>
      <c r="R17" s="112" t="e">
        <f ca="1">_xludf.IFNA(_xlfn.XLOOKUP($A19,'00_SKU_Master'!$B$2:$B$378,'00_SKU_Master'!$F$2:$F$378,0)*J19/_xlfn.XLOOKUP($A19,'00_SKU_Master'!$B$2:$B$378,'00_SKU_Master'!$O:$O,0),"")</f>
        <v>#NAME?</v>
      </c>
      <c r="S17" s="112" t="e">
        <f ca="1">_xludf.IFNA(_xlfn.XLOOKUP($A19,'00_SKU_Master'!$B$2:$B$378,'00_SKU_Master'!$F$2:$F$378,0)*K19/_xlfn.XLOOKUP($A19,'00_SKU_Master'!$B$2:$B$378,'00_SKU_Master'!$O:$O,0),"")</f>
        <v>#NAME?</v>
      </c>
      <c r="T17" s="113" t="e">
        <f t="shared" si="0"/>
        <v>#VALUE!</v>
      </c>
      <c r="U17" s="114" t="str">
        <f>'05_Daily_Orders'!L17</f>
        <v>FB</v>
      </c>
    </row>
    <row r="18" spans="1:21">
      <c r="A18" s="108">
        <f>'05_Daily_Orders'!B18</f>
        <v>1874</v>
      </c>
      <c r="B18" s="50">
        <v>0</v>
      </c>
      <c r="C18" s="50">
        <v>0</v>
      </c>
      <c r="D18" s="109"/>
      <c r="E18" s="109"/>
      <c r="F18">
        <v>0</v>
      </c>
      <c r="L18" s="110">
        <f t="shared" si="1"/>
        <v>0</v>
      </c>
      <c r="M18" s="111">
        <f>_xlfn.IFNA(_xlfn.XLOOKUP(A18,'00_SKU_Master'!$B$2:$B$378,'00_SKU_Master'!$C$2:$C$378,0),"")</f>
        <v>61050</v>
      </c>
      <c r="N18" s="112" t="e">
        <f>_xlfn.IFNA(_xlfn.XLOOKUP(A18,'00_SKU_Master'!$B$2:$B$378,'00_SKU_Master'!$F$2:$F$378,0)*F18/_xlfn.XLOOKUP(A18,'00_SKU_Master'!$B$2:$B$378,'00_SKU_Master'!$O:$O,0),"")</f>
        <v>#VALUE!</v>
      </c>
      <c r="O18" s="112" t="e">
        <f ca="1">_xludf.IFNA(_xlfn.XLOOKUP($A20,'00_SKU_Master'!$B$2:$B$378,'00_SKU_Master'!$F$2:$F$378,0)*G20/_xlfn.XLOOKUP($A20,'00_SKU_Master'!$B$2:$B$378,'00_SKU_Master'!$O:$O,0),"")</f>
        <v>#NAME?</v>
      </c>
      <c r="P18" s="112" t="e">
        <f ca="1">_xludf.IFNA(_xlfn.XLOOKUP($A20,'00_SKU_Master'!$B$2:$B$378,'00_SKU_Master'!$F$2:$F$378,0)*H20/_xlfn.XLOOKUP($A20,'00_SKU_Master'!$B$2:$B$378,'00_SKU_Master'!$O:$O,0),"")</f>
        <v>#NAME?</v>
      </c>
      <c r="Q18" s="112" t="e">
        <f ca="1">_xludf.IFNA(_xlfn.XLOOKUP($A20,'00_SKU_Master'!$B$2:$B$378,'00_SKU_Master'!$F$2:$F$378,0)*I20/_xlfn.XLOOKUP($A20,'00_SKU_Master'!$B$2:$B$378,'00_SKU_Master'!$O:$O,0),"")</f>
        <v>#NAME?</v>
      </c>
      <c r="R18" s="112" t="e">
        <f ca="1">_xludf.IFNA(_xlfn.XLOOKUP($A20,'00_SKU_Master'!$B$2:$B$378,'00_SKU_Master'!$F$2:$F$378,0)*J20/_xlfn.XLOOKUP($A20,'00_SKU_Master'!$B$2:$B$378,'00_SKU_Master'!$O:$O,0),"")</f>
        <v>#NAME?</v>
      </c>
      <c r="S18" s="112" t="e">
        <f ca="1">_xludf.IFNA(_xlfn.XLOOKUP($A20,'00_SKU_Master'!$B$2:$B$378,'00_SKU_Master'!$F$2:$F$378,0)*K20/_xlfn.XLOOKUP($A20,'00_SKU_Master'!$B$2:$B$378,'00_SKU_Master'!$O:$O,0),"")</f>
        <v>#NAME?</v>
      </c>
      <c r="T18" s="113" t="e">
        <f t="shared" si="0"/>
        <v>#VALUE!</v>
      </c>
      <c r="U18" s="114" t="str">
        <f>'05_Daily_Orders'!L18</f>
        <v>FB</v>
      </c>
    </row>
    <row r="19" spans="1:21">
      <c r="A19" s="108">
        <f>'05_Daily_Orders'!B19</f>
        <v>1876</v>
      </c>
      <c r="B19" s="50">
        <v>0</v>
      </c>
      <c r="C19" s="50">
        <v>106</v>
      </c>
      <c r="D19" s="109"/>
      <c r="E19" s="109"/>
      <c r="F19">
        <v>115</v>
      </c>
      <c r="L19" s="110">
        <f t="shared" si="1"/>
        <v>0</v>
      </c>
      <c r="M19" s="111" t="str">
        <f>_xlfn.IFNA(_xlfn.XLOOKUP(A19,'00_SKU_Master'!$B$2:$B$378,'00_SKU_Master'!$C$2:$C$378,0),"")</f>
        <v>61072#2</v>
      </c>
      <c r="N19" s="112" t="e">
        <f>_xlfn.IFNA(_xlfn.XLOOKUP(A19,'00_SKU_Master'!$B$2:$B$378,'00_SKU_Master'!$F$2:$F$378,0)*F19/_xlfn.XLOOKUP(A19,'00_SKU_Master'!$B$2:$B$378,'00_SKU_Master'!$O:$O,0),"")</f>
        <v>#VALUE!</v>
      </c>
      <c r="O19" s="112" t="e">
        <f ca="1">_xludf.IFNA(_xlfn.XLOOKUP($A21,'00_SKU_Master'!$B$2:$B$378,'00_SKU_Master'!$F$2:$F$378,0)*G21/_xlfn.XLOOKUP($A21,'00_SKU_Master'!$B$2:$B$378,'00_SKU_Master'!$O:$O,0),"")</f>
        <v>#NAME?</v>
      </c>
      <c r="P19" s="112" t="e">
        <f ca="1">_xludf.IFNA(_xlfn.XLOOKUP($A21,'00_SKU_Master'!$B$2:$B$378,'00_SKU_Master'!$F$2:$F$378,0)*H21/_xlfn.XLOOKUP($A21,'00_SKU_Master'!$B$2:$B$378,'00_SKU_Master'!$O:$O,0),"")</f>
        <v>#NAME?</v>
      </c>
      <c r="Q19" s="112" t="e">
        <f ca="1">_xludf.IFNA(_xlfn.XLOOKUP($A21,'00_SKU_Master'!$B$2:$B$378,'00_SKU_Master'!$F$2:$F$378,0)*I21/_xlfn.XLOOKUP($A21,'00_SKU_Master'!$B$2:$B$378,'00_SKU_Master'!$O:$O,0),"")</f>
        <v>#NAME?</v>
      </c>
      <c r="R19" s="112" t="e">
        <f ca="1">_xludf.IFNA(_xlfn.XLOOKUP($A21,'00_SKU_Master'!$B$2:$B$378,'00_SKU_Master'!$F$2:$F$378,0)*J21/_xlfn.XLOOKUP($A21,'00_SKU_Master'!$B$2:$B$378,'00_SKU_Master'!$O:$O,0),"")</f>
        <v>#NAME?</v>
      </c>
      <c r="S19" s="112" t="e">
        <f ca="1">_xludf.IFNA(_xlfn.XLOOKUP($A21,'00_SKU_Master'!$B$2:$B$378,'00_SKU_Master'!$F$2:$F$378,0)*K21/_xlfn.XLOOKUP($A21,'00_SKU_Master'!$B$2:$B$378,'00_SKU_Master'!$O:$O,0),"")</f>
        <v>#NAME?</v>
      </c>
      <c r="T19" s="113" t="e">
        <f t="shared" si="0"/>
        <v>#VALUE!</v>
      </c>
      <c r="U19" s="114" t="str">
        <f>'05_Daily_Orders'!L19</f>
        <v>FB</v>
      </c>
    </row>
    <row r="20" spans="1:21">
      <c r="A20" s="108">
        <f>'05_Daily_Orders'!B20</f>
        <v>1877</v>
      </c>
      <c r="B20" s="50">
        <v>0</v>
      </c>
      <c r="C20" s="50">
        <v>151</v>
      </c>
      <c r="D20" s="109"/>
      <c r="E20" s="109"/>
      <c r="F20">
        <v>128</v>
      </c>
      <c r="L20" s="110">
        <f t="shared" si="1"/>
        <v>0</v>
      </c>
      <c r="M20" s="111">
        <f>_xlfn.IFNA(_xlfn.XLOOKUP(A20,'00_SKU_Master'!$B$2:$B$378,'00_SKU_Master'!$C$2:$C$378,0),"")</f>
        <v>61082</v>
      </c>
      <c r="N20" s="112" t="e">
        <f>_xlfn.IFNA(_xlfn.XLOOKUP(A20,'00_SKU_Master'!$B$2:$B$378,'00_SKU_Master'!$F$2:$F$378,0)*F20/_xlfn.XLOOKUP(A20,'00_SKU_Master'!$B$2:$B$378,'00_SKU_Master'!$O:$O,0),"")</f>
        <v>#VALUE!</v>
      </c>
      <c r="O20" s="112" t="e">
        <f ca="1">_xludf.IFNA(_xlfn.XLOOKUP($A22,'00_SKU_Master'!$B$2:$B$378,'00_SKU_Master'!$F$2:$F$378,0)*G22/_xlfn.XLOOKUP($A22,'00_SKU_Master'!$B$2:$B$378,'00_SKU_Master'!$O:$O,0),"")</f>
        <v>#NAME?</v>
      </c>
      <c r="P20" s="112" t="e">
        <f ca="1">_xludf.IFNA(_xlfn.XLOOKUP($A22,'00_SKU_Master'!$B$2:$B$378,'00_SKU_Master'!$F$2:$F$378,0)*H22/_xlfn.XLOOKUP($A22,'00_SKU_Master'!$B$2:$B$378,'00_SKU_Master'!$O:$O,0),"")</f>
        <v>#NAME?</v>
      </c>
      <c r="Q20" s="112" t="e">
        <f ca="1">_xludf.IFNA(_xlfn.XLOOKUP($A22,'00_SKU_Master'!$B$2:$B$378,'00_SKU_Master'!$F$2:$F$378,0)*I22/_xlfn.XLOOKUP($A22,'00_SKU_Master'!$B$2:$B$378,'00_SKU_Master'!$O:$O,0),"")</f>
        <v>#NAME?</v>
      </c>
      <c r="R20" s="112" t="e">
        <f ca="1">_xludf.IFNA(_xlfn.XLOOKUP($A22,'00_SKU_Master'!$B$2:$B$378,'00_SKU_Master'!$F$2:$F$378,0)*J22/_xlfn.XLOOKUP($A22,'00_SKU_Master'!$B$2:$B$378,'00_SKU_Master'!$O:$O,0),"")</f>
        <v>#NAME?</v>
      </c>
      <c r="S20" s="112" t="e">
        <f ca="1">_xludf.IFNA(_xlfn.XLOOKUP($A22,'00_SKU_Master'!$B$2:$B$378,'00_SKU_Master'!$F$2:$F$378,0)*K22/_xlfn.XLOOKUP($A22,'00_SKU_Master'!$B$2:$B$378,'00_SKU_Master'!$O:$O,0),"")</f>
        <v>#NAME?</v>
      </c>
      <c r="T20" s="113" t="e">
        <f t="shared" si="0"/>
        <v>#VALUE!</v>
      </c>
      <c r="U20" s="114" t="str">
        <f>'05_Daily_Orders'!L20</f>
        <v>FB</v>
      </c>
    </row>
    <row r="21" spans="1:21">
      <c r="A21" s="108">
        <f>'05_Daily_Orders'!B21</f>
        <v>1878</v>
      </c>
      <c r="B21" s="50">
        <v>0</v>
      </c>
      <c r="C21" s="50">
        <v>0</v>
      </c>
      <c r="D21" s="109"/>
      <c r="E21" s="109"/>
      <c r="F21">
        <v>78</v>
      </c>
      <c r="L21" s="110">
        <f t="shared" si="1"/>
        <v>0</v>
      </c>
      <c r="M21" s="111" t="str">
        <f>_xlfn.IFNA(_xlfn.XLOOKUP(A21,'00_SKU_Master'!$B$2:$B$378,'00_SKU_Master'!$C$2:$C$378,0),"")</f>
        <v>61040#2</v>
      </c>
      <c r="N21" s="112" t="e">
        <f>_xlfn.IFNA(_xlfn.XLOOKUP(A21,'00_SKU_Master'!$B$2:$B$378,'00_SKU_Master'!$F$2:$F$378,0)*F21/_xlfn.XLOOKUP(A21,'00_SKU_Master'!$B$2:$B$378,'00_SKU_Master'!$O:$O,0),"")</f>
        <v>#VALUE!</v>
      </c>
      <c r="O21" s="112" t="e">
        <f ca="1">_xludf.IFNA(_xlfn.XLOOKUP($A23,'00_SKU_Master'!$B$2:$B$378,'00_SKU_Master'!$F$2:$F$378,0)*G23/_xlfn.XLOOKUP($A23,'00_SKU_Master'!$B$2:$B$378,'00_SKU_Master'!$O:$O,0),"")</f>
        <v>#NAME?</v>
      </c>
      <c r="P21" s="112" t="e">
        <f ca="1">_xludf.IFNA(_xlfn.XLOOKUP($A23,'00_SKU_Master'!$B$2:$B$378,'00_SKU_Master'!$F$2:$F$378,0)*H23/_xlfn.XLOOKUP($A23,'00_SKU_Master'!$B$2:$B$378,'00_SKU_Master'!$O:$O,0),"")</f>
        <v>#NAME?</v>
      </c>
      <c r="Q21" s="112" t="e">
        <f ca="1">_xludf.IFNA(_xlfn.XLOOKUP($A23,'00_SKU_Master'!$B$2:$B$378,'00_SKU_Master'!$F$2:$F$378,0)*I23/_xlfn.XLOOKUP($A23,'00_SKU_Master'!$B$2:$B$378,'00_SKU_Master'!$O:$O,0),"")</f>
        <v>#NAME?</v>
      </c>
      <c r="R21" s="112" t="e">
        <f ca="1">_xludf.IFNA(_xlfn.XLOOKUP($A23,'00_SKU_Master'!$B$2:$B$378,'00_SKU_Master'!$F$2:$F$378,0)*J23/_xlfn.XLOOKUP($A23,'00_SKU_Master'!$B$2:$B$378,'00_SKU_Master'!$O:$O,0),"")</f>
        <v>#NAME?</v>
      </c>
      <c r="S21" s="112" t="e">
        <f ca="1">_xludf.IFNA(_xlfn.XLOOKUP($A23,'00_SKU_Master'!$B$2:$B$378,'00_SKU_Master'!$F$2:$F$378,0)*K23/_xlfn.XLOOKUP($A23,'00_SKU_Master'!$B$2:$B$378,'00_SKU_Master'!$O:$O,0),"")</f>
        <v>#NAME?</v>
      </c>
      <c r="T21" s="113" t="e">
        <f t="shared" si="0"/>
        <v>#VALUE!</v>
      </c>
      <c r="U21" s="114" t="str">
        <f>'05_Daily_Orders'!L21</f>
        <v>FB</v>
      </c>
    </row>
    <row r="22" spans="1:21">
      <c r="A22" s="108">
        <f>'05_Daily_Orders'!B22</f>
        <v>1881</v>
      </c>
      <c r="B22" s="50">
        <v>0</v>
      </c>
      <c r="C22" s="50">
        <v>0</v>
      </c>
      <c r="D22" s="109"/>
      <c r="E22" s="109"/>
      <c r="F22">
        <v>0</v>
      </c>
      <c r="L22" s="110">
        <f t="shared" si="1"/>
        <v>0</v>
      </c>
      <c r="M22" s="111" t="str">
        <f>_xlfn.IFNA(_xlfn.XLOOKUP(A22,'00_SKU_Master'!$B$2:$B$378,'00_SKU_Master'!$C$2:$C$378,0),"")</f>
        <v>61050#2</v>
      </c>
      <c r="N22" s="112" t="e">
        <f>_xlfn.IFNA(_xlfn.XLOOKUP(A22,'00_SKU_Master'!$B$2:$B$378,'00_SKU_Master'!$F$2:$F$378,0)*F22/_xlfn.XLOOKUP(A22,'00_SKU_Master'!$B$2:$B$378,'00_SKU_Master'!$O:$O,0),"")</f>
        <v>#VALUE!</v>
      </c>
      <c r="O22" s="112" t="e">
        <f ca="1">_xludf.IFNA(_xlfn.XLOOKUP($A24,'00_SKU_Master'!$B$2:$B$378,'00_SKU_Master'!$F$2:$F$378,0)*G24/_xlfn.XLOOKUP($A24,'00_SKU_Master'!$B$2:$B$378,'00_SKU_Master'!$O:$O,0),"")</f>
        <v>#NAME?</v>
      </c>
      <c r="P22" s="112" t="e">
        <f ca="1">_xludf.IFNA(_xlfn.XLOOKUP($A24,'00_SKU_Master'!$B$2:$B$378,'00_SKU_Master'!$F$2:$F$378,0)*H24/_xlfn.XLOOKUP($A24,'00_SKU_Master'!$B$2:$B$378,'00_SKU_Master'!$O:$O,0),"")</f>
        <v>#NAME?</v>
      </c>
      <c r="Q22" s="112" t="e">
        <f ca="1">_xludf.IFNA(_xlfn.XLOOKUP($A24,'00_SKU_Master'!$B$2:$B$378,'00_SKU_Master'!$F$2:$F$378,0)*I24/_xlfn.XLOOKUP($A24,'00_SKU_Master'!$B$2:$B$378,'00_SKU_Master'!$O:$O,0),"")</f>
        <v>#NAME?</v>
      </c>
      <c r="R22" s="112" t="e">
        <f ca="1">_xludf.IFNA(_xlfn.XLOOKUP($A24,'00_SKU_Master'!$B$2:$B$378,'00_SKU_Master'!$F$2:$F$378,0)*J24/_xlfn.XLOOKUP($A24,'00_SKU_Master'!$B$2:$B$378,'00_SKU_Master'!$O:$O,0),"")</f>
        <v>#NAME?</v>
      </c>
      <c r="S22" s="112" t="e">
        <f ca="1">_xludf.IFNA(_xlfn.XLOOKUP($A24,'00_SKU_Master'!$B$2:$B$378,'00_SKU_Master'!$F$2:$F$378,0)*K24/_xlfn.XLOOKUP($A24,'00_SKU_Master'!$B$2:$B$378,'00_SKU_Master'!$O:$O,0),"")</f>
        <v>#NAME?</v>
      </c>
      <c r="T22" s="113" t="e">
        <f t="shared" si="0"/>
        <v>#VALUE!</v>
      </c>
      <c r="U22" s="114" t="str">
        <f>'05_Daily_Orders'!L22</f>
        <v>FB</v>
      </c>
    </row>
    <row r="23" spans="1:21">
      <c r="A23" s="108">
        <f>'05_Daily_Orders'!B23</f>
        <v>2030</v>
      </c>
      <c r="B23" s="50">
        <v>0</v>
      </c>
      <c r="C23" s="50">
        <v>0</v>
      </c>
      <c r="D23" s="109"/>
      <c r="E23" s="109"/>
      <c r="F23">
        <v>0</v>
      </c>
      <c r="L23" s="110">
        <f t="shared" si="1"/>
        <v>0</v>
      </c>
      <c r="M23" s="111" t="str">
        <f>_xlfn.IFNA(_xlfn.XLOOKUP(A23,'00_SKU_Master'!$B$2:$B$378,'00_SKU_Master'!$C$2:$C$378,0),"")</f>
        <v>61048#2</v>
      </c>
      <c r="N23" s="112" t="e">
        <f>_xlfn.IFNA(_xlfn.XLOOKUP(A23,'00_SKU_Master'!$B$2:$B$378,'00_SKU_Master'!$F$2:$F$378,0)*F23/_xlfn.XLOOKUP(A23,'00_SKU_Master'!$B$2:$B$378,'00_SKU_Master'!$O:$O,0),"")</f>
        <v>#VALUE!</v>
      </c>
      <c r="O23" s="112" t="e">
        <f ca="1">_xludf.IFNA(_xlfn.XLOOKUP($A25,'00_SKU_Master'!$B$2:$B$378,'00_SKU_Master'!$F$2:$F$378,0)*G25/_xlfn.XLOOKUP($A25,'00_SKU_Master'!$B$2:$B$378,'00_SKU_Master'!$O:$O,0),"")</f>
        <v>#NAME?</v>
      </c>
      <c r="P23" s="112" t="e">
        <f ca="1">_xludf.IFNA(_xlfn.XLOOKUP($A25,'00_SKU_Master'!$B$2:$B$378,'00_SKU_Master'!$F$2:$F$378,0)*H25/_xlfn.XLOOKUP($A25,'00_SKU_Master'!$B$2:$B$378,'00_SKU_Master'!$O:$O,0),"")</f>
        <v>#NAME?</v>
      </c>
      <c r="Q23" s="112" t="e">
        <f ca="1">_xludf.IFNA(_xlfn.XLOOKUP($A25,'00_SKU_Master'!$B$2:$B$378,'00_SKU_Master'!$F$2:$F$378,0)*I25/_xlfn.XLOOKUP($A25,'00_SKU_Master'!$B$2:$B$378,'00_SKU_Master'!$O:$O,0),"")</f>
        <v>#NAME?</v>
      </c>
      <c r="R23" s="112" t="e">
        <f ca="1">_xludf.IFNA(_xlfn.XLOOKUP($A25,'00_SKU_Master'!$B$2:$B$378,'00_SKU_Master'!$F$2:$F$378,0)*J25/_xlfn.XLOOKUP($A25,'00_SKU_Master'!$B$2:$B$378,'00_SKU_Master'!$O:$O,0),"")</f>
        <v>#NAME?</v>
      </c>
      <c r="S23" s="112" t="e">
        <f ca="1">_xludf.IFNA(_xlfn.XLOOKUP($A25,'00_SKU_Master'!$B$2:$B$378,'00_SKU_Master'!$F$2:$F$378,0)*K25/_xlfn.XLOOKUP($A25,'00_SKU_Master'!$B$2:$B$378,'00_SKU_Master'!$O:$O,0),"")</f>
        <v>#NAME?</v>
      </c>
      <c r="T23" s="113" t="e">
        <f t="shared" si="0"/>
        <v>#VALUE!</v>
      </c>
      <c r="U23" s="114" t="str">
        <f>'05_Daily_Orders'!L23</f>
        <v>FB</v>
      </c>
    </row>
    <row r="24" spans="1:21">
      <c r="A24" s="108">
        <f>'05_Daily_Orders'!B24</f>
        <v>2031</v>
      </c>
      <c r="B24" s="50">
        <v>0</v>
      </c>
      <c r="C24" s="50">
        <v>0</v>
      </c>
      <c r="D24" s="109"/>
      <c r="E24" s="109"/>
      <c r="F24">
        <v>0</v>
      </c>
      <c r="L24" s="110">
        <f t="shared" si="1"/>
        <v>0</v>
      </c>
      <c r="M24" s="111" t="str">
        <f>_xlfn.IFNA(_xlfn.XLOOKUP(A24,'00_SKU_Master'!$B$2:$B$378,'00_SKU_Master'!$C$2:$C$378,0),"")</f>
        <v>61048#2</v>
      </c>
      <c r="N24" s="112" t="e">
        <f>_xlfn.IFNA(_xlfn.XLOOKUP(A24,'00_SKU_Master'!$B$2:$B$378,'00_SKU_Master'!$F$2:$F$378,0)*F24/_xlfn.XLOOKUP(A24,'00_SKU_Master'!$B$2:$B$378,'00_SKU_Master'!$O:$O,0),"")</f>
        <v>#VALUE!</v>
      </c>
      <c r="O24" s="112" t="e">
        <f ca="1">_xludf.IFNA(_xlfn.XLOOKUP($A26,'00_SKU_Master'!$B$2:$B$378,'00_SKU_Master'!$F$2:$F$378,0)*G26/_xlfn.XLOOKUP($A26,'00_SKU_Master'!$B$2:$B$378,'00_SKU_Master'!$O:$O,0),"")</f>
        <v>#NAME?</v>
      </c>
      <c r="P24" s="112" t="e">
        <f ca="1">_xludf.IFNA(_xlfn.XLOOKUP($A26,'00_SKU_Master'!$B$2:$B$378,'00_SKU_Master'!$F$2:$F$378,0)*H26/_xlfn.XLOOKUP($A26,'00_SKU_Master'!$B$2:$B$378,'00_SKU_Master'!$O:$O,0),"")</f>
        <v>#NAME?</v>
      </c>
      <c r="Q24" s="112" t="e">
        <f ca="1">_xludf.IFNA(_xlfn.XLOOKUP($A26,'00_SKU_Master'!$B$2:$B$378,'00_SKU_Master'!$F$2:$F$378,0)*I26/_xlfn.XLOOKUP($A26,'00_SKU_Master'!$B$2:$B$378,'00_SKU_Master'!$O:$O,0),"")</f>
        <v>#NAME?</v>
      </c>
      <c r="R24" s="112" t="e">
        <f ca="1">_xludf.IFNA(_xlfn.XLOOKUP($A26,'00_SKU_Master'!$B$2:$B$378,'00_SKU_Master'!$F$2:$F$378,0)*J26/_xlfn.XLOOKUP($A26,'00_SKU_Master'!$B$2:$B$378,'00_SKU_Master'!$O:$O,0),"")</f>
        <v>#NAME?</v>
      </c>
      <c r="S24" s="112" t="e">
        <f ca="1">_xludf.IFNA(_xlfn.XLOOKUP($A26,'00_SKU_Master'!$B$2:$B$378,'00_SKU_Master'!$F$2:$F$378,0)*K26/_xlfn.XLOOKUP($A26,'00_SKU_Master'!$B$2:$B$378,'00_SKU_Master'!$O:$O,0),"")</f>
        <v>#NAME?</v>
      </c>
      <c r="T24" s="113" t="e">
        <f t="shared" si="0"/>
        <v>#VALUE!</v>
      </c>
      <c r="U24" s="114" t="str">
        <f>'05_Daily_Orders'!L24</f>
        <v>FB</v>
      </c>
    </row>
    <row r="25" spans="1:21">
      <c r="A25" s="108">
        <f>'05_Daily_Orders'!B25</f>
        <v>2042</v>
      </c>
      <c r="B25" s="50">
        <v>0</v>
      </c>
      <c r="C25" s="50">
        <v>0</v>
      </c>
      <c r="D25" s="109"/>
      <c r="E25" s="109"/>
      <c r="F25">
        <v>0</v>
      </c>
      <c r="L25" s="110">
        <f t="shared" si="1"/>
        <v>0</v>
      </c>
      <c r="M25" s="111" t="str">
        <f>_xlfn.IFNA(_xlfn.XLOOKUP(A25,'00_SKU_Master'!$B$2:$B$378,'00_SKU_Master'!$C$2:$C$378,0),"")</f>
        <v>61050#2</v>
      </c>
      <c r="N25" s="112" t="e">
        <f>_xlfn.IFNA(_xlfn.XLOOKUP(A25,'00_SKU_Master'!$B$2:$B$378,'00_SKU_Master'!$F$2:$F$378,0)*F25/_xlfn.XLOOKUP(A25,'00_SKU_Master'!$B$2:$B$378,'00_SKU_Master'!$O:$O,0),"")</f>
        <v>#VALUE!</v>
      </c>
      <c r="O25" s="112" t="e">
        <f ca="1">_xludf.IFNA(_xlfn.XLOOKUP($A27,'00_SKU_Master'!$B$2:$B$378,'00_SKU_Master'!$F$2:$F$378,0)*G27/_xlfn.XLOOKUP($A27,'00_SKU_Master'!$B$2:$B$378,'00_SKU_Master'!$O:$O,0),"")</f>
        <v>#NAME?</v>
      </c>
      <c r="P25" s="112" t="e">
        <f ca="1">_xludf.IFNA(_xlfn.XLOOKUP($A27,'00_SKU_Master'!$B$2:$B$378,'00_SKU_Master'!$F$2:$F$378,0)*H27/_xlfn.XLOOKUP($A27,'00_SKU_Master'!$B$2:$B$378,'00_SKU_Master'!$O:$O,0),"")</f>
        <v>#NAME?</v>
      </c>
      <c r="Q25" s="112" t="e">
        <f ca="1">_xludf.IFNA(_xlfn.XLOOKUP($A27,'00_SKU_Master'!$B$2:$B$378,'00_SKU_Master'!$F$2:$F$378,0)*I27/_xlfn.XLOOKUP($A27,'00_SKU_Master'!$B$2:$B$378,'00_SKU_Master'!$O:$O,0),"")</f>
        <v>#NAME?</v>
      </c>
      <c r="R25" s="112" t="e">
        <f ca="1">_xludf.IFNA(_xlfn.XLOOKUP($A27,'00_SKU_Master'!$B$2:$B$378,'00_SKU_Master'!$F$2:$F$378,0)*J27/_xlfn.XLOOKUP($A27,'00_SKU_Master'!$B$2:$B$378,'00_SKU_Master'!$O:$O,0),"")</f>
        <v>#NAME?</v>
      </c>
      <c r="S25" s="112" t="e">
        <f ca="1">_xludf.IFNA(_xlfn.XLOOKUP($A27,'00_SKU_Master'!$B$2:$B$378,'00_SKU_Master'!$F$2:$F$378,0)*K27/_xlfn.XLOOKUP($A27,'00_SKU_Master'!$B$2:$B$378,'00_SKU_Master'!$O:$O,0),"")</f>
        <v>#NAME?</v>
      </c>
      <c r="T25" s="113" t="e">
        <f t="shared" si="0"/>
        <v>#VALUE!</v>
      </c>
      <c r="U25" s="114" t="str">
        <f>'05_Daily_Orders'!L25</f>
        <v>FB</v>
      </c>
    </row>
    <row r="26" spans="1:21">
      <c r="A26" s="108">
        <f>'05_Daily_Orders'!B26</f>
        <v>2043</v>
      </c>
      <c r="B26" s="50">
        <v>1</v>
      </c>
      <c r="C26" s="50">
        <v>0</v>
      </c>
      <c r="D26" s="109"/>
      <c r="E26" s="109"/>
      <c r="F26">
        <v>320</v>
      </c>
      <c r="L26" s="110">
        <f t="shared" si="1"/>
        <v>0</v>
      </c>
      <c r="M26" s="111" t="str">
        <f>_xlfn.IFNA(_xlfn.XLOOKUP(A26,'00_SKU_Master'!$B$2:$B$378,'00_SKU_Master'!$C$2:$C$378,0),"")</f>
        <v>61050#2</v>
      </c>
      <c r="N26" s="112" t="e">
        <f>_xlfn.IFNA(_xlfn.XLOOKUP(A26,'00_SKU_Master'!$B$2:$B$378,'00_SKU_Master'!$F$2:$F$378,0)*F26/_xlfn.XLOOKUP(A26,'00_SKU_Master'!$B$2:$B$378,'00_SKU_Master'!$O:$O,0),"")</f>
        <v>#VALUE!</v>
      </c>
      <c r="O26" s="112" t="e">
        <f ca="1">_xludf.IFNA(_xlfn.XLOOKUP($A28,'00_SKU_Master'!$B$2:$B$378,'00_SKU_Master'!$F$2:$F$378,0)*G28/_xlfn.XLOOKUP($A28,'00_SKU_Master'!$B$2:$B$378,'00_SKU_Master'!$O:$O,0),"")</f>
        <v>#NAME?</v>
      </c>
      <c r="P26" s="112" t="e">
        <f ca="1">_xludf.IFNA(_xlfn.XLOOKUP($A28,'00_SKU_Master'!$B$2:$B$378,'00_SKU_Master'!$F$2:$F$378,0)*H28/_xlfn.XLOOKUP($A28,'00_SKU_Master'!$B$2:$B$378,'00_SKU_Master'!$O:$O,0),"")</f>
        <v>#NAME?</v>
      </c>
      <c r="Q26" s="112" t="e">
        <f ca="1">_xludf.IFNA(_xlfn.XLOOKUP($A28,'00_SKU_Master'!$B$2:$B$378,'00_SKU_Master'!$F$2:$F$378,0)*I28/_xlfn.XLOOKUP($A28,'00_SKU_Master'!$B$2:$B$378,'00_SKU_Master'!$O:$O,0),"")</f>
        <v>#NAME?</v>
      </c>
      <c r="R26" s="112" t="e">
        <f ca="1">_xludf.IFNA(_xlfn.XLOOKUP($A28,'00_SKU_Master'!$B$2:$B$378,'00_SKU_Master'!$F$2:$F$378,0)*J28/_xlfn.XLOOKUP($A28,'00_SKU_Master'!$B$2:$B$378,'00_SKU_Master'!$O:$O,0),"")</f>
        <v>#NAME?</v>
      </c>
      <c r="S26" s="112" t="e">
        <f ca="1">_xludf.IFNA(_xlfn.XLOOKUP($A28,'00_SKU_Master'!$B$2:$B$378,'00_SKU_Master'!$F$2:$F$378,0)*K28/_xlfn.XLOOKUP($A28,'00_SKU_Master'!$B$2:$B$378,'00_SKU_Master'!$O:$O,0),"")</f>
        <v>#NAME?</v>
      </c>
      <c r="T26" s="113" t="e">
        <f t="shared" si="0"/>
        <v>#VALUE!</v>
      </c>
      <c r="U26" s="114" t="str">
        <f>'05_Daily_Orders'!L26</f>
        <v>FB</v>
      </c>
    </row>
    <row r="27" spans="1:21">
      <c r="A27" s="108">
        <f>'05_Daily_Orders'!B27</f>
        <v>2044</v>
      </c>
      <c r="B27" s="50">
        <v>19</v>
      </c>
      <c r="C27" s="50">
        <v>0</v>
      </c>
      <c r="D27" s="109"/>
      <c r="E27" s="109"/>
      <c r="F27">
        <v>115</v>
      </c>
      <c r="L27" s="110">
        <f t="shared" si="1"/>
        <v>0</v>
      </c>
      <c r="M27" s="111">
        <f>_xlfn.IFNA(_xlfn.XLOOKUP(A27,'00_SKU_Master'!$B$2:$B$378,'00_SKU_Master'!$C$2:$C$378,0),"")</f>
        <v>61104</v>
      </c>
      <c r="N27" s="112" t="e">
        <f>_xlfn.IFNA(_xlfn.XLOOKUP(A27,'00_SKU_Master'!$B$2:$B$378,'00_SKU_Master'!$F$2:$F$378,0)*F27/_xlfn.XLOOKUP(A27,'00_SKU_Master'!$B$2:$B$378,'00_SKU_Master'!$O:$O,0),"")</f>
        <v>#VALUE!</v>
      </c>
      <c r="O27" s="112" t="e">
        <f ca="1">_xludf.IFNA(_xlfn.XLOOKUP($A29,'00_SKU_Master'!$B$2:$B$378,'00_SKU_Master'!$F$2:$F$378,0)*G29/_xlfn.XLOOKUP($A29,'00_SKU_Master'!$B$2:$B$378,'00_SKU_Master'!$O:$O,0),"")</f>
        <v>#NAME?</v>
      </c>
      <c r="P27" s="112" t="e">
        <f ca="1">_xludf.IFNA(_xlfn.XLOOKUP($A29,'00_SKU_Master'!$B$2:$B$378,'00_SKU_Master'!$F$2:$F$378,0)*H29/_xlfn.XLOOKUP($A29,'00_SKU_Master'!$B$2:$B$378,'00_SKU_Master'!$O:$O,0),"")</f>
        <v>#NAME?</v>
      </c>
      <c r="Q27" s="112" t="e">
        <f ca="1">_xludf.IFNA(_xlfn.XLOOKUP($A29,'00_SKU_Master'!$B$2:$B$378,'00_SKU_Master'!$F$2:$F$378,0)*I29/_xlfn.XLOOKUP($A29,'00_SKU_Master'!$B$2:$B$378,'00_SKU_Master'!$O:$O,0),"")</f>
        <v>#NAME?</v>
      </c>
      <c r="R27" s="112" t="e">
        <f ca="1">_xludf.IFNA(_xlfn.XLOOKUP($A29,'00_SKU_Master'!$B$2:$B$378,'00_SKU_Master'!$F$2:$F$378,0)*J29/_xlfn.XLOOKUP($A29,'00_SKU_Master'!$B$2:$B$378,'00_SKU_Master'!$O:$O,0),"")</f>
        <v>#NAME?</v>
      </c>
      <c r="S27" s="112" t="e">
        <f ca="1">_xludf.IFNA(_xlfn.XLOOKUP($A29,'00_SKU_Master'!$B$2:$B$378,'00_SKU_Master'!$F$2:$F$378,0)*K29/_xlfn.XLOOKUP($A29,'00_SKU_Master'!$B$2:$B$378,'00_SKU_Master'!$O:$O,0),"")</f>
        <v>#NAME?</v>
      </c>
      <c r="T27" s="113" t="e">
        <f t="shared" si="0"/>
        <v>#VALUE!</v>
      </c>
      <c r="U27" s="114" t="str">
        <f>'05_Daily_Orders'!L27</f>
        <v>FB</v>
      </c>
    </row>
    <row r="28" spans="1:21">
      <c r="A28" s="108">
        <f>'05_Daily_Orders'!B28</f>
        <v>2045</v>
      </c>
      <c r="B28" s="50">
        <v>0</v>
      </c>
      <c r="C28" s="50">
        <v>23</v>
      </c>
      <c r="D28" s="109"/>
      <c r="E28" s="109"/>
      <c r="F28">
        <v>98</v>
      </c>
      <c r="L28" s="110">
        <f t="shared" si="1"/>
        <v>0</v>
      </c>
      <c r="M28" s="111" t="str">
        <f>_xlfn.IFNA(_xlfn.XLOOKUP(A28,'00_SKU_Master'!$B$2:$B$378,'00_SKU_Master'!$C$2:$C$378,0),"")</f>
        <v>61072#2</v>
      </c>
      <c r="N28" s="112" t="e">
        <f>_xlfn.IFNA(_xlfn.XLOOKUP(A28,'00_SKU_Master'!$B$2:$B$378,'00_SKU_Master'!$F$2:$F$378,0)*F28/_xlfn.XLOOKUP(A28,'00_SKU_Master'!$B$2:$B$378,'00_SKU_Master'!$O:$O,0),"")</f>
        <v>#VALUE!</v>
      </c>
      <c r="O28" s="112" t="e">
        <f ca="1">_xludf.IFNA(_xlfn.XLOOKUP($A30,'00_SKU_Master'!$B$2:$B$378,'00_SKU_Master'!$F$2:$F$378,0)*G30/_xlfn.XLOOKUP($A30,'00_SKU_Master'!$B$2:$B$378,'00_SKU_Master'!$O:$O,0),"")</f>
        <v>#NAME?</v>
      </c>
      <c r="P28" s="112" t="e">
        <f ca="1">_xludf.IFNA(_xlfn.XLOOKUP($A30,'00_SKU_Master'!$B$2:$B$378,'00_SKU_Master'!$F$2:$F$378,0)*H30/_xlfn.XLOOKUP($A30,'00_SKU_Master'!$B$2:$B$378,'00_SKU_Master'!$O:$O,0),"")</f>
        <v>#NAME?</v>
      </c>
      <c r="Q28" s="112" t="e">
        <f ca="1">_xludf.IFNA(_xlfn.XLOOKUP($A30,'00_SKU_Master'!$B$2:$B$378,'00_SKU_Master'!$F$2:$F$378,0)*I30/_xlfn.XLOOKUP($A30,'00_SKU_Master'!$B$2:$B$378,'00_SKU_Master'!$O:$O,0),"")</f>
        <v>#NAME?</v>
      </c>
      <c r="R28" s="112" t="e">
        <f ca="1">_xludf.IFNA(_xlfn.XLOOKUP($A30,'00_SKU_Master'!$B$2:$B$378,'00_SKU_Master'!$F$2:$F$378,0)*J30/_xlfn.XLOOKUP($A30,'00_SKU_Master'!$B$2:$B$378,'00_SKU_Master'!$O:$O,0),"")</f>
        <v>#NAME?</v>
      </c>
      <c r="S28" s="112" t="e">
        <f ca="1">_xludf.IFNA(_xlfn.XLOOKUP($A30,'00_SKU_Master'!$B$2:$B$378,'00_SKU_Master'!$F$2:$F$378,0)*K30/_xlfn.XLOOKUP($A30,'00_SKU_Master'!$B$2:$B$378,'00_SKU_Master'!$O:$O,0),"")</f>
        <v>#NAME?</v>
      </c>
      <c r="T28" s="113" t="e">
        <f t="shared" si="0"/>
        <v>#VALUE!</v>
      </c>
      <c r="U28" s="114" t="str">
        <f>'05_Daily_Orders'!L28</f>
        <v>FB</v>
      </c>
    </row>
    <row r="29" spans="1:21">
      <c r="A29" s="108">
        <f>'05_Daily_Orders'!B29</f>
        <v>2046</v>
      </c>
      <c r="B29" s="50">
        <v>0</v>
      </c>
      <c r="C29" s="50">
        <v>46</v>
      </c>
      <c r="D29" s="109"/>
      <c r="E29" s="109"/>
      <c r="F29">
        <v>148</v>
      </c>
      <c r="L29" s="110">
        <f t="shared" si="1"/>
        <v>0</v>
      </c>
      <c r="M29" s="111">
        <f>_xlfn.IFNA(_xlfn.XLOOKUP(A29,'00_SKU_Master'!$B$2:$B$378,'00_SKU_Master'!$C$2:$C$378,0),"")</f>
        <v>61082</v>
      </c>
      <c r="N29" s="112" t="e">
        <f>_xlfn.IFNA(_xlfn.XLOOKUP(A29,'00_SKU_Master'!$B$2:$B$378,'00_SKU_Master'!$F$2:$F$378,0)*F29/_xlfn.XLOOKUP(A29,'00_SKU_Master'!$B$2:$B$378,'00_SKU_Master'!$O:$O,0),"")</f>
        <v>#VALUE!</v>
      </c>
      <c r="O29" s="112" t="e">
        <f ca="1">_xludf.IFNA(_xlfn.XLOOKUP($A31,'00_SKU_Master'!$B$2:$B$378,'00_SKU_Master'!$F$2:$F$378,0)*G31/_xlfn.XLOOKUP($A31,'00_SKU_Master'!$B$2:$B$378,'00_SKU_Master'!$O:$O,0),"")</f>
        <v>#NAME?</v>
      </c>
      <c r="P29" s="112" t="e">
        <f ca="1">_xludf.IFNA(_xlfn.XLOOKUP($A31,'00_SKU_Master'!$B$2:$B$378,'00_SKU_Master'!$F$2:$F$378,0)*H31/_xlfn.XLOOKUP($A31,'00_SKU_Master'!$B$2:$B$378,'00_SKU_Master'!$O:$O,0),"")</f>
        <v>#NAME?</v>
      </c>
      <c r="Q29" s="112" t="e">
        <f ca="1">_xludf.IFNA(_xlfn.XLOOKUP($A31,'00_SKU_Master'!$B$2:$B$378,'00_SKU_Master'!$F$2:$F$378,0)*I31/_xlfn.XLOOKUP($A31,'00_SKU_Master'!$B$2:$B$378,'00_SKU_Master'!$O:$O,0),"")</f>
        <v>#NAME?</v>
      </c>
      <c r="R29" s="112" t="e">
        <f ca="1">_xludf.IFNA(_xlfn.XLOOKUP($A31,'00_SKU_Master'!$B$2:$B$378,'00_SKU_Master'!$F$2:$F$378,0)*J31/_xlfn.XLOOKUP($A31,'00_SKU_Master'!$B$2:$B$378,'00_SKU_Master'!$O:$O,0),"")</f>
        <v>#NAME?</v>
      </c>
      <c r="S29" s="112" t="e">
        <f ca="1">_xludf.IFNA(_xlfn.XLOOKUP($A31,'00_SKU_Master'!$B$2:$B$378,'00_SKU_Master'!$F$2:$F$378,0)*K31/_xlfn.XLOOKUP($A31,'00_SKU_Master'!$B$2:$B$378,'00_SKU_Master'!$O:$O,0),"")</f>
        <v>#NAME?</v>
      </c>
      <c r="T29" s="113" t="e">
        <f t="shared" si="0"/>
        <v>#VALUE!</v>
      </c>
      <c r="U29" s="114" t="str">
        <f>'05_Daily_Orders'!L29</f>
        <v>FB</v>
      </c>
    </row>
    <row r="30" spans="1:21">
      <c r="A30" s="108">
        <f>'05_Daily_Orders'!B30</f>
        <v>2047</v>
      </c>
      <c r="B30" s="50">
        <v>0</v>
      </c>
      <c r="C30" s="50">
        <v>28</v>
      </c>
      <c r="D30" s="109"/>
      <c r="E30" s="109"/>
      <c r="F30">
        <v>31</v>
      </c>
      <c r="L30" s="110">
        <f t="shared" si="1"/>
        <v>0</v>
      </c>
      <c r="M30" s="111">
        <f>_xlfn.IFNA(_xlfn.XLOOKUP(A30,'00_SKU_Master'!$B$2:$B$378,'00_SKU_Master'!$C$2:$C$378,0),"")</f>
        <v>61010</v>
      </c>
      <c r="N30" s="112" t="e">
        <f>_xlfn.IFNA(_xlfn.XLOOKUP(A30,'00_SKU_Master'!$B$2:$B$378,'00_SKU_Master'!$F$2:$F$378,0)*F30/_xlfn.XLOOKUP(A30,'00_SKU_Master'!$B$2:$B$378,'00_SKU_Master'!$O:$O,0),"")</f>
        <v>#VALUE!</v>
      </c>
      <c r="O30" s="112" t="e">
        <f ca="1">_xludf.IFNA(_xlfn.XLOOKUP($A32,'00_SKU_Master'!$B$2:$B$378,'00_SKU_Master'!$F$2:$F$378,0)*G32/_xlfn.XLOOKUP($A32,'00_SKU_Master'!$B$2:$B$378,'00_SKU_Master'!$O:$O,0),"")</f>
        <v>#NAME?</v>
      </c>
      <c r="P30" s="112" t="e">
        <f ca="1">_xludf.IFNA(_xlfn.XLOOKUP($A32,'00_SKU_Master'!$B$2:$B$378,'00_SKU_Master'!$F$2:$F$378,0)*H32/_xlfn.XLOOKUP($A32,'00_SKU_Master'!$B$2:$B$378,'00_SKU_Master'!$O:$O,0),"")</f>
        <v>#NAME?</v>
      </c>
      <c r="Q30" s="112" t="e">
        <f ca="1">_xludf.IFNA(_xlfn.XLOOKUP($A32,'00_SKU_Master'!$B$2:$B$378,'00_SKU_Master'!$F$2:$F$378,0)*I32/_xlfn.XLOOKUP($A32,'00_SKU_Master'!$B$2:$B$378,'00_SKU_Master'!$O:$O,0),"")</f>
        <v>#NAME?</v>
      </c>
      <c r="R30" s="112" t="e">
        <f ca="1">_xludf.IFNA(_xlfn.XLOOKUP($A32,'00_SKU_Master'!$B$2:$B$378,'00_SKU_Master'!$F$2:$F$378,0)*J32/_xlfn.XLOOKUP($A32,'00_SKU_Master'!$B$2:$B$378,'00_SKU_Master'!$O:$O,0),"")</f>
        <v>#NAME?</v>
      </c>
      <c r="S30" s="112" t="e">
        <f ca="1">_xludf.IFNA(_xlfn.XLOOKUP($A32,'00_SKU_Master'!$B$2:$B$378,'00_SKU_Master'!$F$2:$F$378,0)*K32/_xlfn.XLOOKUP($A32,'00_SKU_Master'!$B$2:$B$378,'00_SKU_Master'!$O:$O,0),"")</f>
        <v>#NAME?</v>
      </c>
      <c r="T30" s="113" t="e">
        <f t="shared" si="0"/>
        <v>#VALUE!</v>
      </c>
      <c r="U30" s="114" t="str">
        <f>'05_Daily_Orders'!L30</f>
        <v>FB</v>
      </c>
    </row>
    <row r="31" spans="1:21">
      <c r="A31" s="108">
        <f>'05_Daily_Orders'!B31</f>
        <v>2060</v>
      </c>
      <c r="B31" s="50">
        <v>0</v>
      </c>
      <c r="C31" s="50">
        <v>120</v>
      </c>
      <c r="D31" s="109"/>
      <c r="E31" s="109"/>
      <c r="F31">
        <v>0</v>
      </c>
      <c r="L31" s="110">
        <f t="shared" si="1"/>
        <v>0</v>
      </c>
      <c r="M31" s="111" t="str">
        <f>_xlfn.IFNA(_xlfn.XLOOKUP(A31,'00_SKU_Master'!$B$2:$B$378,'00_SKU_Master'!$C$2:$C$378,0),"")</f>
        <v>61072#2</v>
      </c>
      <c r="N31" s="112" t="e">
        <f>_xlfn.IFNA(_xlfn.XLOOKUP(A31,'00_SKU_Master'!$B$2:$B$378,'00_SKU_Master'!$F$2:$F$378,0)*F31/_xlfn.XLOOKUP(A31,'00_SKU_Master'!$B$2:$B$378,'00_SKU_Master'!$O:$O,0),"")</f>
        <v>#VALUE!</v>
      </c>
      <c r="O31" s="112" t="e">
        <f ca="1">_xludf.IFNA(_xlfn.XLOOKUP($A33,'00_SKU_Master'!$B$2:$B$378,'00_SKU_Master'!$F$2:$F$378,0)*G33/_xlfn.XLOOKUP($A33,'00_SKU_Master'!$B$2:$B$378,'00_SKU_Master'!$O:$O,0),"")</f>
        <v>#NAME?</v>
      </c>
      <c r="P31" s="112" t="e">
        <f ca="1">_xludf.IFNA(_xlfn.XLOOKUP($A33,'00_SKU_Master'!$B$2:$B$378,'00_SKU_Master'!$F$2:$F$378,0)*H33/_xlfn.XLOOKUP($A33,'00_SKU_Master'!$B$2:$B$378,'00_SKU_Master'!$O:$O,0),"")</f>
        <v>#NAME?</v>
      </c>
      <c r="Q31" s="112" t="e">
        <f ca="1">_xludf.IFNA(_xlfn.XLOOKUP($A33,'00_SKU_Master'!$B$2:$B$378,'00_SKU_Master'!$F$2:$F$378,0)*I33/_xlfn.XLOOKUP($A33,'00_SKU_Master'!$B$2:$B$378,'00_SKU_Master'!$O:$O,0),"")</f>
        <v>#NAME?</v>
      </c>
      <c r="R31" s="112" t="e">
        <f ca="1">_xludf.IFNA(_xlfn.XLOOKUP($A33,'00_SKU_Master'!$B$2:$B$378,'00_SKU_Master'!$F$2:$F$378,0)*J33/_xlfn.XLOOKUP($A33,'00_SKU_Master'!$B$2:$B$378,'00_SKU_Master'!$O:$O,0),"")</f>
        <v>#NAME?</v>
      </c>
      <c r="S31" s="112" t="e">
        <f ca="1">_xludf.IFNA(_xlfn.XLOOKUP($A33,'00_SKU_Master'!$B$2:$B$378,'00_SKU_Master'!$F$2:$F$378,0)*K33/_xlfn.XLOOKUP($A33,'00_SKU_Master'!$B$2:$B$378,'00_SKU_Master'!$O:$O,0),"")</f>
        <v>#NAME?</v>
      </c>
      <c r="T31" s="113" t="e">
        <f t="shared" si="0"/>
        <v>#VALUE!</v>
      </c>
      <c r="U31" s="114" t="str">
        <f>'05_Daily_Orders'!L31</f>
        <v>METRO</v>
      </c>
    </row>
    <row r="32" spans="1:21">
      <c r="A32" s="108">
        <f>'05_Daily_Orders'!B32</f>
        <v>2061</v>
      </c>
      <c r="B32" s="50">
        <v>0</v>
      </c>
      <c r="C32" s="50">
        <v>180</v>
      </c>
      <c r="D32" s="109"/>
      <c r="E32" s="109"/>
      <c r="F32">
        <v>0</v>
      </c>
      <c r="L32" s="110">
        <f t="shared" si="1"/>
        <v>0</v>
      </c>
      <c r="M32" s="111">
        <f>_xlfn.IFNA(_xlfn.XLOOKUP(A32,'00_SKU_Master'!$B$2:$B$378,'00_SKU_Master'!$C$2:$C$378,0),"")</f>
        <v>61082</v>
      </c>
      <c r="N32" s="112" t="e">
        <f>_xlfn.IFNA(_xlfn.XLOOKUP(A32,'00_SKU_Master'!$B$2:$B$378,'00_SKU_Master'!$F$2:$F$378,0)*F32/_xlfn.XLOOKUP(A32,'00_SKU_Master'!$B$2:$B$378,'00_SKU_Master'!$O:$O,0),"")</f>
        <v>#VALUE!</v>
      </c>
      <c r="O32" s="112" t="e">
        <f ca="1">_xludf.IFNA(_xlfn.XLOOKUP($A34,'00_SKU_Master'!$B$2:$B$378,'00_SKU_Master'!$F$2:$F$378,0)*G34/_xlfn.XLOOKUP($A34,'00_SKU_Master'!$B$2:$B$378,'00_SKU_Master'!$O:$O,0),"")</f>
        <v>#NAME?</v>
      </c>
      <c r="P32" s="112" t="e">
        <f ca="1">_xludf.IFNA(_xlfn.XLOOKUP($A34,'00_SKU_Master'!$B$2:$B$378,'00_SKU_Master'!$F$2:$F$378,0)*H34/_xlfn.XLOOKUP($A34,'00_SKU_Master'!$B$2:$B$378,'00_SKU_Master'!$O:$O,0),"")</f>
        <v>#NAME?</v>
      </c>
      <c r="Q32" s="112" t="e">
        <f ca="1">_xludf.IFNA(_xlfn.XLOOKUP($A34,'00_SKU_Master'!$B$2:$B$378,'00_SKU_Master'!$F$2:$F$378,0)*I34/_xlfn.XLOOKUP($A34,'00_SKU_Master'!$B$2:$B$378,'00_SKU_Master'!$O:$O,0),"")</f>
        <v>#NAME?</v>
      </c>
      <c r="R32" s="112" t="e">
        <f ca="1">_xludf.IFNA(_xlfn.XLOOKUP($A34,'00_SKU_Master'!$B$2:$B$378,'00_SKU_Master'!$F$2:$F$378,0)*J34/_xlfn.XLOOKUP($A34,'00_SKU_Master'!$B$2:$B$378,'00_SKU_Master'!$O:$O,0),"")</f>
        <v>#NAME?</v>
      </c>
      <c r="S32" s="112" t="e">
        <f ca="1">_xludf.IFNA(_xlfn.XLOOKUP($A34,'00_SKU_Master'!$B$2:$B$378,'00_SKU_Master'!$F$2:$F$378,0)*K34/_xlfn.XLOOKUP($A34,'00_SKU_Master'!$B$2:$B$378,'00_SKU_Master'!$O:$O,0),"")</f>
        <v>#NAME?</v>
      </c>
      <c r="T32" s="113" t="e">
        <f t="shared" si="0"/>
        <v>#VALUE!</v>
      </c>
      <c r="U32" s="114" t="str">
        <f>'05_Daily_Orders'!L32</f>
        <v>METRO</v>
      </c>
    </row>
    <row r="33" spans="1:21">
      <c r="A33" s="108">
        <f>'05_Daily_Orders'!B33</f>
        <v>2062</v>
      </c>
      <c r="B33" s="50">
        <v>0</v>
      </c>
      <c r="C33" s="50">
        <v>0</v>
      </c>
      <c r="D33" s="109"/>
      <c r="E33" s="109"/>
      <c r="F33">
        <v>0</v>
      </c>
      <c r="L33" s="110">
        <f t="shared" si="1"/>
        <v>0</v>
      </c>
      <c r="M33" s="111" t="str">
        <f>_xlfn.IFNA(_xlfn.XLOOKUP(A33,'00_SKU_Master'!$B$2:$B$378,'00_SKU_Master'!$C$2:$C$378,0),"")</f>
        <v>61048#2</v>
      </c>
      <c r="N33" s="112" t="e">
        <f>_xlfn.IFNA(_xlfn.XLOOKUP(A33,'00_SKU_Master'!$B$2:$B$378,'00_SKU_Master'!$F$2:$F$378,0)*F33/_xlfn.XLOOKUP(A33,'00_SKU_Master'!$B$2:$B$378,'00_SKU_Master'!$O:$O,0),"")</f>
        <v>#VALUE!</v>
      </c>
      <c r="O33" s="112" t="e">
        <f ca="1">_xludf.IFNA(_xlfn.XLOOKUP($A35,'00_SKU_Master'!$B$2:$B$378,'00_SKU_Master'!$F$2:$F$378,0)*G35/_xlfn.XLOOKUP($A35,'00_SKU_Master'!$B$2:$B$378,'00_SKU_Master'!$O:$O,0),"")</f>
        <v>#NAME?</v>
      </c>
      <c r="P33" s="112" t="e">
        <f ca="1">_xludf.IFNA(_xlfn.XLOOKUP($A35,'00_SKU_Master'!$B$2:$B$378,'00_SKU_Master'!$F$2:$F$378,0)*H35/_xlfn.XLOOKUP($A35,'00_SKU_Master'!$B$2:$B$378,'00_SKU_Master'!$O:$O,0),"")</f>
        <v>#NAME?</v>
      </c>
      <c r="Q33" s="112" t="e">
        <f ca="1">_xludf.IFNA(_xlfn.XLOOKUP($A35,'00_SKU_Master'!$B$2:$B$378,'00_SKU_Master'!$F$2:$F$378,0)*I35/_xlfn.XLOOKUP($A35,'00_SKU_Master'!$B$2:$B$378,'00_SKU_Master'!$O:$O,0),"")</f>
        <v>#NAME?</v>
      </c>
      <c r="R33" s="112" t="e">
        <f ca="1">_xludf.IFNA(_xlfn.XLOOKUP($A35,'00_SKU_Master'!$B$2:$B$378,'00_SKU_Master'!$F$2:$F$378,0)*J35/_xlfn.XLOOKUP($A35,'00_SKU_Master'!$B$2:$B$378,'00_SKU_Master'!$O:$O,0),"")</f>
        <v>#NAME?</v>
      </c>
      <c r="S33" s="112" t="e">
        <f ca="1">_xludf.IFNA(_xlfn.XLOOKUP($A35,'00_SKU_Master'!$B$2:$B$378,'00_SKU_Master'!$F$2:$F$378,0)*K35/_xlfn.XLOOKUP($A35,'00_SKU_Master'!$B$2:$B$378,'00_SKU_Master'!$O:$O,0),"")</f>
        <v>#NAME?</v>
      </c>
      <c r="T33" s="113" t="e">
        <f t="shared" si="0"/>
        <v>#VALUE!</v>
      </c>
      <c r="U33" s="114" t="str">
        <f>'05_Daily_Orders'!L33</f>
        <v>METRO</v>
      </c>
    </row>
    <row r="34" spans="1:21">
      <c r="A34" s="108">
        <f>'05_Daily_Orders'!B34</f>
        <v>2063</v>
      </c>
      <c r="B34" s="50">
        <v>0</v>
      </c>
      <c r="C34" s="50">
        <v>280</v>
      </c>
      <c r="D34" s="109"/>
      <c r="E34" s="109"/>
      <c r="F34">
        <v>0</v>
      </c>
      <c r="L34" s="110">
        <f t="shared" si="1"/>
        <v>0</v>
      </c>
      <c r="M34" s="111">
        <f>_xlfn.IFNA(_xlfn.XLOOKUP(A34,'00_SKU_Master'!$B$2:$B$378,'00_SKU_Master'!$C$2:$C$378,0),"")</f>
        <v>203891</v>
      </c>
      <c r="N34" s="112" t="e">
        <f>_xlfn.IFNA(_xlfn.XLOOKUP(A34,'00_SKU_Master'!$B$2:$B$378,'00_SKU_Master'!$F$2:$F$378,0)*F34/_xlfn.XLOOKUP(A34,'00_SKU_Master'!$B$2:$B$378,'00_SKU_Master'!$O:$O,0),"")</f>
        <v>#VALUE!</v>
      </c>
      <c r="O34" s="112" t="e">
        <f ca="1">_xludf.IFNA(_xlfn.XLOOKUP($A36,'00_SKU_Master'!$B$2:$B$378,'00_SKU_Master'!$F$2:$F$378,0)*G36/_xlfn.XLOOKUP($A36,'00_SKU_Master'!$B$2:$B$378,'00_SKU_Master'!$O:$O,0),"")</f>
        <v>#NAME?</v>
      </c>
      <c r="P34" s="112" t="e">
        <f ca="1">_xludf.IFNA(_xlfn.XLOOKUP($A36,'00_SKU_Master'!$B$2:$B$378,'00_SKU_Master'!$F$2:$F$378,0)*H36/_xlfn.XLOOKUP($A36,'00_SKU_Master'!$B$2:$B$378,'00_SKU_Master'!$O:$O,0),"")</f>
        <v>#NAME?</v>
      </c>
      <c r="Q34" s="112" t="e">
        <f ca="1">_xludf.IFNA(_xlfn.XLOOKUP($A36,'00_SKU_Master'!$B$2:$B$378,'00_SKU_Master'!$F$2:$F$378,0)*I36/_xlfn.XLOOKUP($A36,'00_SKU_Master'!$B$2:$B$378,'00_SKU_Master'!$O:$O,0),"")</f>
        <v>#NAME?</v>
      </c>
      <c r="R34" s="112" t="e">
        <f ca="1">_xludf.IFNA(_xlfn.XLOOKUP($A36,'00_SKU_Master'!$B$2:$B$378,'00_SKU_Master'!$F$2:$F$378,0)*J36/_xlfn.XLOOKUP($A36,'00_SKU_Master'!$B$2:$B$378,'00_SKU_Master'!$O:$O,0),"")</f>
        <v>#NAME?</v>
      </c>
      <c r="S34" s="112" t="e">
        <f ca="1">_xludf.IFNA(_xlfn.XLOOKUP($A36,'00_SKU_Master'!$B$2:$B$378,'00_SKU_Master'!$F$2:$F$378,0)*K36/_xlfn.XLOOKUP($A36,'00_SKU_Master'!$B$2:$B$378,'00_SKU_Master'!$O:$O,0),"")</f>
        <v>#NAME?</v>
      </c>
      <c r="T34" s="113" t="e">
        <f t="shared" si="0"/>
        <v>#VALUE!</v>
      </c>
      <c r="U34" s="114" t="str">
        <f>'05_Daily_Orders'!L34</f>
        <v>METRO</v>
      </c>
    </row>
    <row r="35" spans="1:21">
      <c r="A35" s="108">
        <f>'05_Daily_Orders'!B35</f>
        <v>2064</v>
      </c>
      <c r="B35" s="50">
        <v>0</v>
      </c>
      <c r="C35" s="50">
        <v>160</v>
      </c>
      <c r="D35" s="109"/>
      <c r="E35" s="109"/>
      <c r="F35">
        <v>0</v>
      </c>
      <c r="L35" s="110">
        <f t="shared" si="1"/>
        <v>0</v>
      </c>
      <c r="M35" s="111">
        <f>_xlfn.IFNA(_xlfn.XLOOKUP(A35,'00_SKU_Master'!$B$2:$B$378,'00_SKU_Master'!$C$2:$C$378,0),"")</f>
        <v>61061</v>
      </c>
      <c r="N35" s="112" t="e">
        <f>_xlfn.IFNA(_xlfn.XLOOKUP(A35,'00_SKU_Master'!$B$2:$B$378,'00_SKU_Master'!$F$2:$F$378,0)*F35/_xlfn.XLOOKUP(A35,'00_SKU_Master'!$B$2:$B$378,'00_SKU_Master'!$O:$O,0),"")</f>
        <v>#VALUE!</v>
      </c>
      <c r="O35" s="112" t="e">
        <f ca="1">_xludf.IFNA(_xlfn.XLOOKUP($A37,'00_SKU_Master'!$B$2:$B$378,'00_SKU_Master'!$F$2:$F$378,0)*G37/_xlfn.XLOOKUP($A37,'00_SKU_Master'!$B$2:$B$378,'00_SKU_Master'!$O:$O,0),"")</f>
        <v>#NAME?</v>
      </c>
      <c r="P35" s="112" t="e">
        <f ca="1">_xludf.IFNA(_xlfn.XLOOKUP($A37,'00_SKU_Master'!$B$2:$B$378,'00_SKU_Master'!$F$2:$F$378,0)*H37/_xlfn.XLOOKUP($A37,'00_SKU_Master'!$B$2:$B$378,'00_SKU_Master'!$O:$O,0),"")</f>
        <v>#NAME?</v>
      </c>
      <c r="Q35" s="112" t="e">
        <f ca="1">_xludf.IFNA(_xlfn.XLOOKUP($A37,'00_SKU_Master'!$B$2:$B$378,'00_SKU_Master'!$F$2:$F$378,0)*I37/_xlfn.XLOOKUP($A37,'00_SKU_Master'!$B$2:$B$378,'00_SKU_Master'!$O:$O,0),"")</f>
        <v>#NAME?</v>
      </c>
      <c r="R35" s="112" t="e">
        <f ca="1">_xludf.IFNA(_xlfn.XLOOKUP($A37,'00_SKU_Master'!$B$2:$B$378,'00_SKU_Master'!$F$2:$F$378,0)*J37/_xlfn.XLOOKUP($A37,'00_SKU_Master'!$B$2:$B$378,'00_SKU_Master'!$O:$O,0),"")</f>
        <v>#NAME?</v>
      </c>
      <c r="S35" s="112" t="e">
        <f ca="1">_xludf.IFNA(_xlfn.XLOOKUP($A37,'00_SKU_Master'!$B$2:$B$378,'00_SKU_Master'!$F$2:$F$378,0)*K37/_xlfn.XLOOKUP($A37,'00_SKU_Master'!$B$2:$B$378,'00_SKU_Master'!$O:$O,0),"")</f>
        <v>#NAME?</v>
      </c>
      <c r="T35" s="113" t="e">
        <f t="shared" si="0"/>
        <v>#VALUE!</v>
      </c>
      <c r="U35" s="114" t="str">
        <f>'05_Daily_Orders'!L35</f>
        <v>METRO</v>
      </c>
    </row>
    <row r="36" spans="1:21">
      <c r="A36" s="108">
        <f>'05_Daily_Orders'!B36</f>
        <v>2065</v>
      </c>
      <c r="B36" s="50">
        <v>0</v>
      </c>
      <c r="C36" s="50">
        <v>0</v>
      </c>
      <c r="D36" s="109"/>
      <c r="E36" s="109"/>
      <c r="F36">
        <v>0</v>
      </c>
      <c r="L36" s="110">
        <f t="shared" si="1"/>
        <v>0</v>
      </c>
      <c r="M36" s="111">
        <f>_xlfn.IFNA(_xlfn.XLOOKUP(A36,'00_SKU_Master'!$B$2:$B$378,'00_SKU_Master'!$C$2:$C$378,0),"")</f>
        <v>61010</v>
      </c>
      <c r="N36" s="112" t="e">
        <f>_xlfn.IFNA(_xlfn.XLOOKUP(A36,'00_SKU_Master'!$B$2:$B$378,'00_SKU_Master'!$F$2:$F$378,0)*F36/_xlfn.XLOOKUP(A36,'00_SKU_Master'!$B$2:$B$378,'00_SKU_Master'!$O:$O,0),"")</f>
        <v>#VALUE!</v>
      </c>
      <c r="O36" s="112" t="e">
        <f ca="1">_xludf.IFNA(_xlfn.XLOOKUP($A38,'00_SKU_Master'!$B$2:$B$378,'00_SKU_Master'!$F$2:$F$378,0)*G38/_xlfn.XLOOKUP($A38,'00_SKU_Master'!$B$2:$B$378,'00_SKU_Master'!$O:$O,0),"")</f>
        <v>#NAME?</v>
      </c>
      <c r="P36" s="112" t="e">
        <f ca="1">_xludf.IFNA(_xlfn.XLOOKUP($A38,'00_SKU_Master'!$B$2:$B$378,'00_SKU_Master'!$F$2:$F$378,0)*H38/_xlfn.XLOOKUP($A38,'00_SKU_Master'!$B$2:$B$378,'00_SKU_Master'!$O:$O,0),"")</f>
        <v>#NAME?</v>
      </c>
      <c r="Q36" s="112" t="e">
        <f ca="1">_xludf.IFNA(_xlfn.XLOOKUP($A38,'00_SKU_Master'!$B$2:$B$378,'00_SKU_Master'!$F$2:$F$378,0)*I38/_xlfn.XLOOKUP($A38,'00_SKU_Master'!$B$2:$B$378,'00_SKU_Master'!$O:$O,0),"")</f>
        <v>#NAME?</v>
      </c>
      <c r="R36" s="112" t="e">
        <f ca="1">_xludf.IFNA(_xlfn.XLOOKUP($A38,'00_SKU_Master'!$B$2:$B$378,'00_SKU_Master'!$F$2:$F$378,0)*J38/_xlfn.XLOOKUP($A38,'00_SKU_Master'!$B$2:$B$378,'00_SKU_Master'!$O:$O,0),"")</f>
        <v>#NAME?</v>
      </c>
      <c r="S36" s="112" t="e">
        <f ca="1">_xludf.IFNA(_xlfn.XLOOKUP($A38,'00_SKU_Master'!$B$2:$B$378,'00_SKU_Master'!$F$2:$F$378,0)*K38/_xlfn.XLOOKUP($A38,'00_SKU_Master'!$B$2:$B$378,'00_SKU_Master'!$O:$O,0),"")</f>
        <v>#NAME?</v>
      </c>
      <c r="T36" s="113" t="e">
        <f t="shared" si="0"/>
        <v>#VALUE!</v>
      </c>
      <c r="U36" s="114" t="str">
        <f>'05_Daily_Orders'!L36</f>
        <v>METRO</v>
      </c>
    </row>
    <row r="37" spans="1:21">
      <c r="A37" s="108">
        <f>'05_Daily_Orders'!B37</f>
        <v>2066</v>
      </c>
      <c r="B37" s="50">
        <v>0</v>
      </c>
      <c r="C37" s="50">
        <v>180</v>
      </c>
      <c r="D37" s="109"/>
      <c r="E37" s="109"/>
      <c r="F37">
        <v>0</v>
      </c>
      <c r="L37" s="110">
        <f t="shared" si="1"/>
        <v>0</v>
      </c>
      <c r="M37" s="111" t="str">
        <f>_xlfn.IFNA(_xlfn.XLOOKUP(A37,'00_SKU_Master'!$B$2:$B$378,'00_SKU_Master'!$C$2:$C$378,0),"")</f>
        <v>61040#2</v>
      </c>
      <c r="N37" s="112" t="e">
        <f>_xlfn.IFNA(_xlfn.XLOOKUP(A37,'00_SKU_Master'!$B$2:$B$378,'00_SKU_Master'!$F$2:$F$378,0)*F37/_xlfn.XLOOKUP(A37,'00_SKU_Master'!$B$2:$B$378,'00_SKU_Master'!$O:$O,0),"")</f>
        <v>#VALUE!</v>
      </c>
      <c r="O37" s="112" t="e">
        <f ca="1">_xludf.IFNA(_xlfn.XLOOKUP($A39,'00_SKU_Master'!$B$2:$B$378,'00_SKU_Master'!$F$2:$F$378,0)*G39/_xlfn.XLOOKUP($A39,'00_SKU_Master'!$B$2:$B$378,'00_SKU_Master'!$O:$O,0),"")</f>
        <v>#NAME?</v>
      </c>
      <c r="P37" s="112" t="e">
        <f ca="1">_xludf.IFNA(_xlfn.XLOOKUP($A39,'00_SKU_Master'!$B$2:$B$378,'00_SKU_Master'!$F$2:$F$378,0)*H39/_xlfn.XLOOKUP($A39,'00_SKU_Master'!$B$2:$B$378,'00_SKU_Master'!$O:$O,0),"")</f>
        <v>#NAME?</v>
      </c>
      <c r="Q37" s="112" t="e">
        <f ca="1">_xludf.IFNA(_xlfn.XLOOKUP($A39,'00_SKU_Master'!$B$2:$B$378,'00_SKU_Master'!$F$2:$F$378,0)*I39/_xlfn.XLOOKUP($A39,'00_SKU_Master'!$B$2:$B$378,'00_SKU_Master'!$O:$O,0),"")</f>
        <v>#NAME?</v>
      </c>
      <c r="R37" s="112" t="e">
        <f ca="1">_xludf.IFNA(_xlfn.XLOOKUP($A39,'00_SKU_Master'!$B$2:$B$378,'00_SKU_Master'!$F$2:$F$378,0)*J39/_xlfn.XLOOKUP($A39,'00_SKU_Master'!$B$2:$B$378,'00_SKU_Master'!$O:$O,0),"")</f>
        <v>#NAME?</v>
      </c>
      <c r="S37" s="112" t="e">
        <f ca="1">_xludf.IFNA(_xlfn.XLOOKUP($A39,'00_SKU_Master'!$B$2:$B$378,'00_SKU_Master'!$F$2:$F$378,0)*K39/_xlfn.XLOOKUP($A39,'00_SKU_Master'!$B$2:$B$378,'00_SKU_Master'!$O:$O,0),"")</f>
        <v>#NAME?</v>
      </c>
      <c r="T37" s="113" t="e">
        <f t="shared" si="0"/>
        <v>#VALUE!</v>
      </c>
      <c r="U37" s="114" t="str">
        <f>'05_Daily_Orders'!L37</f>
        <v>METRO</v>
      </c>
    </row>
    <row r="38" spans="1:21">
      <c r="A38" s="108">
        <f>'05_Daily_Orders'!B38</f>
        <v>2067</v>
      </c>
      <c r="B38" s="50">
        <v>0</v>
      </c>
      <c r="C38" s="50">
        <v>0</v>
      </c>
      <c r="D38" s="109"/>
      <c r="E38" s="109"/>
      <c r="F38">
        <v>0</v>
      </c>
      <c r="L38" s="110">
        <f t="shared" si="1"/>
        <v>0</v>
      </c>
      <c r="M38" s="111" t="str">
        <f>_xlfn.IFNA(_xlfn.XLOOKUP(A38,'00_SKU_Master'!$B$2:$B$378,'00_SKU_Master'!$C$2:$C$378,0),"")</f>
        <v>61086#2</v>
      </c>
      <c r="N38" s="112" t="e">
        <f>_xlfn.IFNA(_xlfn.XLOOKUP(A38,'00_SKU_Master'!$B$2:$B$378,'00_SKU_Master'!$F$2:$F$378,0)*F38/_xlfn.XLOOKUP(A38,'00_SKU_Master'!$B$2:$B$378,'00_SKU_Master'!$O:$O,0),"")</f>
        <v>#VALUE!</v>
      </c>
      <c r="O38" s="112" t="e">
        <f ca="1">_xludf.IFNA(_xlfn.XLOOKUP($A40,'00_SKU_Master'!$B$2:$B$378,'00_SKU_Master'!$F$2:$F$378,0)*G40/_xlfn.XLOOKUP($A40,'00_SKU_Master'!$B$2:$B$378,'00_SKU_Master'!$O:$O,0),"")</f>
        <v>#NAME?</v>
      </c>
      <c r="P38" s="112" t="e">
        <f ca="1">_xludf.IFNA(_xlfn.XLOOKUP($A40,'00_SKU_Master'!$B$2:$B$378,'00_SKU_Master'!$F$2:$F$378,0)*H40/_xlfn.XLOOKUP($A40,'00_SKU_Master'!$B$2:$B$378,'00_SKU_Master'!$O:$O,0),"")</f>
        <v>#NAME?</v>
      </c>
      <c r="Q38" s="112" t="e">
        <f ca="1">_xludf.IFNA(_xlfn.XLOOKUP($A40,'00_SKU_Master'!$B$2:$B$378,'00_SKU_Master'!$F$2:$F$378,0)*I40/_xlfn.XLOOKUP($A40,'00_SKU_Master'!$B$2:$B$378,'00_SKU_Master'!$O:$O,0),"")</f>
        <v>#NAME?</v>
      </c>
      <c r="R38" s="112" t="e">
        <f ca="1">_xludf.IFNA(_xlfn.XLOOKUP($A40,'00_SKU_Master'!$B$2:$B$378,'00_SKU_Master'!$F$2:$F$378,0)*J40/_xlfn.XLOOKUP($A40,'00_SKU_Master'!$B$2:$B$378,'00_SKU_Master'!$O:$O,0),"")</f>
        <v>#NAME?</v>
      </c>
      <c r="S38" s="112" t="e">
        <f ca="1">_xludf.IFNA(_xlfn.XLOOKUP($A40,'00_SKU_Master'!$B$2:$B$378,'00_SKU_Master'!$F$2:$F$378,0)*K40/_xlfn.XLOOKUP($A40,'00_SKU_Master'!$B$2:$B$378,'00_SKU_Master'!$O:$O,0),"")</f>
        <v>#NAME?</v>
      </c>
      <c r="T38" s="113" t="e">
        <f t="shared" si="0"/>
        <v>#VALUE!</v>
      </c>
      <c r="U38" s="114" t="str">
        <f>'05_Daily_Orders'!L38</f>
        <v>METRO</v>
      </c>
    </row>
    <row r="39" spans="1:21">
      <c r="A39" s="108">
        <f>'05_Daily_Orders'!B39</f>
        <v>2068</v>
      </c>
      <c r="B39" s="50">
        <v>0</v>
      </c>
      <c r="C39" s="50">
        <v>0</v>
      </c>
      <c r="D39" s="109"/>
      <c r="E39" s="109"/>
      <c r="F39">
        <v>0</v>
      </c>
      <c r="L39" s="110">
        <f t="shared" si="1"/>
        <v>0</v>
      </c>
      <c r="M39" s="111" t="str">
        <f>_xlfn.IFNA(_xlfn.XLOOKUP(A39,'00_SKU_Master'!$B$2:$B$378,'00_SKU_Master'!$C$2:$C$378,0),"")</f>
        <v>61050#2</v>
      </c>
      <c r="N39" s="112" t="e">
        <f>_xlfn.IFNA(_xlfn.XLOOKUP(A39,'00_SKU_Master'!$B$2:$B$378,'00_SKU_Master'!$F$2:$F$378,0)*F39/_xlfn.XLOOKUP(A39,'00_SKU_Master'!$B$2:$B$378,'00_SKU_Master'!$O:$O,0),"")</f>
        <v>#VALUE!</v>
      </c>
      <c r="O39" s="112" t="e">
        <f ca="1">_xludf.IFNA(_xlfn.XLOOKUP($A41,'00_SKU_Master'!$B$2:$B$378,'00_SKU_Master'!$F$2:$F$378,0)*G41/_xlfn.XLOOKUP($A41,'00_SKU_Master'!$B$2:$B$378,'00_SKU_Master'!$O:$O,0),"")</f>
        <v>#NAME?</v>
      </c>
      <c r="P39" s="112" t="e">
        <f ca="1">_xludf.IFNA(_xlfn.XLOOKUP($A41,'00_SKU_Master'!$B$2:$B$378,'00_SKU_Master'!$F$2:$F$378,0)*H41/_xlfn.XLOOKUP($A41,'00_SKU_Master'!$B$2:$B$378,'00_SKU_Master'!$O:$O,0),"")</f>
        <v>#NAME?</v>
      </c>
      <c r="Q39" s="112" t="e">
        <f ca="1">_xludf.IFNA(_xlfn.XLOOKUP($A41,'00_SKU_Master'!$B$2:$B$378,'00_SKU_Master'!$F$2:$F$378,0)*I41/_xlfn.XLOOKUP($A41,'00_SKU_Master'!$B$2:$B$378,'00_SKU_Master'!$O:$O,0),"")</f>
        <v>#NAME?</v>
      </c>
      <c r="R39" s="112" t="e">
        <f ca="1">_xludf.IFNA(_xlfn.XLOOKUP($A41,'00_SKU_Master'!$B$2:$B$378,'00_SKU_Master'!$F$2:$F$378,0)*J41/_xlfn.XLOOKUP($A41,'00_SKU_Master'!$B$2:$B$378,'00_SKU_Master'!$O:$O,0),"")</f>
        <v>#NAME?</v>
      </c>
      <c r="S39" s="112" t="e">
        <f ca="1">_xludf.IFNA(_xlfn.XLOOKUP($A41,'00_SKU_Master'!$B$2:$B$378,'00_SKU_Master'!$F$2:$F$378,0)*K41/_xlfn.XLOOKUP($A41,'00_SKU_Master'!$B$2:$B$378,'00_SKU_Master'!$O:$O,0),"")</f>
        <v>#NAME?</v>
      </c>
      <c r="T39" s="113" t="e">
        <f t="shared" si="0"/>
        <v>#VALUE!</v>
      </c>
      <c r="U39" s="114" t="str">
        <f>'05_Daily_Orders'!L39</f>
        <v>METRO</v>
      </c>
    </row>
    <row r="40" spans="1:21">
      <c r="A40" s="108">
        <f>'05_Daily_Orders'!B40</f>
        <v>2069</v>
      </c>
      <c r="B40" s="50">
        <v>0</v>
      </c>
      <c r="C40" s="50">
        <v>24</v>
      </c>
      <c r="D40" s="109"/>
      <c r="E40" s="109"/>
      <c r="F40">
        <v>45</v>
      </c>
      <c r="L40" s="110">
        <f t="shared" si="1"/>
        <v>0</v>
      </c>
      <c r="M40" s="111" t="str">
        <f>_xlfn.IFNA(_xlfn.XLOOKUP(A40,'00_SKU_Master'!$B$2:$B$378,'00_SKU_Master'!$C$2:$C$378,0),"")</f>
        <v>61040#2</v>
      </c>
      <c r="N40" s="112" t="e">
        <f>_xlfn.IFNA(_xlfn.XLOOKUP(A40,'00_SKU_Master'!$B$2:$B$378,'00_SKU_Master'!$F$2:$F$378,0)*F40/_xlfn.XLOOKUP(A40,'00_SKU_Master'!$B$2:$B$378,'00_SKU_Master'!$O:$O,0),"")</f>
        <v>#VALUE!</v>
      </c>
      <c r="O40" s="112" t="e">
        <f ca="1">_xludf.IFNA(_xlfn.XLOOKUP($A42,'00_SKU_Master'!$B$2:$B$378,'00_SKU_Master'!$F$2:$F$378,0)*G42/_xlfn.XLOOKUP($A42,'00_SKU_Master'!$B$2:$B$378,'00_SKU_Master'!$O:$O,0),"")</f>
        <v>#NAME?</v>
      </c>
      <c r="P40" s="112" t="e">
        <f ca="1">_xludf.IFNA(_xlfn.XLOOKUP($A42,'00_SKU_Master'!$B$2:$B$378,'00_SKU_Master'!$F$2:$F$378,0)*H42/_xlfn.XLOOKUP($A42,'00_SKU_Master'!$B$2:$B$378,'00_SKU_Master'!$O:$O,0),"")</f>
        <v>#NAME?</v>
      </c>
      <c r="Q40" s="112" t="e">
        <f ca="1">_xludf.IFNA(_xlfn.XLOOKUP($A42,'00_SKU_Master'!$B$2:$B$378,'00_SKU_Master'!$F$2:$F$378,0)*I42/_xlfn.XLOOKUP($A42,'00_SKU_Master'!$B$2:$B$378,'00_SKU_Master'!$O:$O,0),"")</f>
        <v>#NAME?</v>
      </c>
      <c r="R40" s="112" t="e">
        <f ca="1">_xludf.IFNA(_xlfn.XLOOKUP($A42,'00_SKU_Master'!$B$2:$B$378,'00_SKU_Master'!$F$2:$F$378,0)*J42/_xlfn.XLOOKUP($A42,'00_SKU_Master'!$B$2:$B$378,'00_SKU_Master'!$O:$O,0),"")</f>
        <v>#NAME?</v>
      </c>
      <c r="S40" s="112" t="e">
        <f ca="1">_xludf.IFNA(_xlfn.XLOOKUP($A42,'00_SKU_Master'!$B$2:$B$378,'00_SKU_Master'!$F$2:$F$378,0)*K42/_xlfn.XLOOKUP($A42,'00_SKU_Master'!$B$2:$B$378,'00_SKU_Master'!$O:$O,0),"")</f>
        <v>#NAME?</v>
      </c>
      <c r="T40" s="113" t="e">
        <f t="shared" si="0"/>
        <v>#VALUE!</v>
      </c>
      <c r="U40" s="114" t="str">
        <f>'05_Daily_Orders'!L40</f>
        <v>FB</v>
      </c>
    </row>
    <row r="41" spans="1:21">
      <c r="A41" s="108">
        <f>'05_Daily_Orders'!B41</f>
        <v>2070</v>
      </c>
      <c r="B41" s="50">
        <v>0</v>
      </c>
      <c r="C41" s="50">
        <v>37</v>
      </c>
      <c r="D41" s="109"/>
      <c r="E41" s="109"/>
      <c r="F41">
        <v>40</v>
      </c>
      <c r="L41" s="110">
        <f t="shared" si="1"/>
        <v>0</v>
      </c>
      <c r="M41" s="111" t="str">
        <f>_xlfn.IFNA(_xlfn.XLOOKUP(A41,'00_SKU_Master'!$B$2:$B$378,'00_SKU_Master'!$C$2:$C$378,0),"")</f>
        <v>61048#2</v>
      </c>
      <c r="N41" s="112" t="e">
        <f>_xlfn.IFNA(_xlfn.XLOOKUP(A41,'00_SKU_Master'!$B$2:$B$378,'00_SKU_Master'!$F$2:$F$378,0)*F41/_xlfn.XLOOKUP(A41,'00_SKU_Master'!$B$2:$B$378,'00_SKU_Master'!$O:$O,0),"")</f>
        <v>#VALUE!</v>
      </c>
      <c r="O41" s="112" t="e">
        <f ca="1">_xludf.IFNA(_xlfn.XLOOKUP($A43,'00_SKU_Master'!$B$2:$B$378,'00_SKU_Master'!$F$2:$F$378,0)*G43/_xlfn.XLOOKUP($A43,'00_SKU_Master'!$B$2:$B$378,'00_SKU_Master'!$O:$O,0),"")</f>
        <v>#NAME?</v>
      </c>
      <c r="P41" s="112" t="e">
        <f ca="1">_xludf.IFNA(_xlfn.XLOOKUP($A43,'00_SKU_Master'!$B$2:$B$378,'00_SKU_Master'!$F$2:$F$378,0)*H43/_xlfn.XLOOKUP($A43,'00_SKU_Master'!$B$2:$B$378,'00_SKU_Master'!$O:$O,0),"")</f>
        <v>#NAME?</v>
      </c>
      <c r="Q41" s="112" t="e">
        <f ca="1">_xludf.IFNA(_xlfn.XLOOKUP($A43,'00_SKU_Master'!$B$2:$B$378,'00_SKU_Master'!$F$2:$F$378,0)*I43/_xlfn.XLOOKUP($A43,'00_SKU_Master'!$B$2:$B$378,'00_SKU_Master'!$O:$O,0),"")</f>
        <v>#NAME?</v>
      </c>
      <c r="R41" s="112" t="e">
        <f ca="1">_xludf.IFNA(_xlfn.XLOOKUP($A43,'00_SKU_Master'!$B$2:$B$378,'00_SKU_Master'!$F$2:$F$378,0)*J43/_xlfn.XLOOKUP($A43,'00_SKU_Master'!$B$2:$B$378,'00_SKU_Master'!$O:$O,0),"")</f>
        <v>#NAME?</v>
      </c>
      <c r="S41" s="112" t="e">
        <f ca="1">_xludf.IFNA(_xlfn.XLOOKUP($A43,'00_SKU_Master'!$B$2:$B$378,'00_SKU_Master'!$F$2:$F$378,0)*K43/_xlfn.XLOOKUP($A43,'00_SKU_Master'!$B$2:$B$378,'00_SKU_Master'!$O:$O,0),"")</f>
        <v>#NAME?</v>
      </c>
      <c r="T41" s="113" t="e">
        <f t="shared" si="0"/>
        <v>#VALUE!</v>
      </c>
      <c r="U41" s="114" t="str">
        <f>'05_Daily_Orders'!L41</f>
        <v>FB</v>
      </c>
    </row>
    <row r="42" spans="1:21">
      <c r="A42" s="108">
        <f>'05_Daily_Orders'!B42</f>
        <v>2071</v>
      </c>
      <c r="B42" s="50">
        <v>0</v>
      </c>
      <c r="C42" s="50">
        <v>28</v>
      </c>
      <c r="D42" s="109"/>
      <c r="E42" s="109"/>
      <c r="F42">
        <v>67</v>
      </c>
      <c r="L42" s="110">
        <f t="shared" si="1"/>
        <v>0</v>
      </c>
      <c r="M42" s="111" t="str">
        <f>_xlfn.IFNA(_xlfn.XLOOKUP(A42,'00_SKU_Master'!$B$2:$B$378,'00_SKU_Master'!$C$2:$C$378,0),"")</f>
        <v>61048#2</v>
      </c>
      <c r="N42" s="112" t="e">
        <f>_xlfn.IFNA(_xlfn.XLOOKUP(A42,'00_SKU_Master'!$B$2:$B$378,'00_SKU_Master'!$F$2:$F$378,0)*F42/_xlfn.XLOOKUP(A42,'00_SKU_Master'!$B$2:$B$378,'00_SKU_Master'!$O:$O,0),"")</f>
        <v>#VALUE!</v>
      </c>
      <c r="O42" s="112" t="e">
        <f ca="1">_xludf.IFNA(_xlfn.XLOOKUP($A44,'00_SKU_Master'!$B$2:$B$378,'00_SKU_Master'!$F$2:$F$378,0)*G44/_xlfn.XLOOKUP($A44,'00_SKU_Master'!$B$2:$B$378,'00_SKU_Master'!$O:$O,0),"")</f>
        <v>#NAME?</v>
      </c>
      <c r="P42" s="112" t="e">
        <f ca="1">_xludf.IFNA(_xlfn.XLOOKUP($A44,'00_SKU_Master'!$B$2:$B$378,'00_SKU_Master'!$F$2:$F$378,0)*H44/_xlfn.XLOOKUP($A44,'00_SKU_Master'!$B$2:$B$378,'00_SKU_Master'!$O:$O,0),"")</f>
        <v>#NAME?</v>
      </c>
      <c r="Q42" s="112" t="e">
        <f ca="1">_xludf.IFNA(_xlfn.XLOOKUP($A44,'00_SKU_Master'!$B$2:$B$378,'00_SKU_Master'!$F$2:$F$378,0)*I44/_xlfn.XLOOKUP($A44,'00_SKU_Master'!$B$2:$B$378,'00_SKU_Master'!$O:$O,0),"")</f>
        <v>#NAME?</v>
      </c>
      <c r="R42" s="112" t="e">
        <f ca="1">_xludf.IFNA(_xlfn.XLOOKUP($A44,'00_SKU_Master'!$B$2:$B$378,'00_SKU_Master'!$F$2:$F$378,0)*J44/_xlfn.XLOOKUP($A44,'00_SKU_Master'!$B$2:$B$378,'00_SKU_Master'!$O:$O,0),"")</f>
        <v>#NAME?</v>
      </c>
      <c r="S42" s="112" t="e">
        <f ca="1">_xludf.IFNA(_xlfn.XLOOKUP($A44,'00_SKU_Master'!$B$2:$B$378,'00_SKU_Master'!$F$2:$F$378,0)*K44/_xlfn.XLOOKUP($A44,'00_SKU_Master'!$B$2:$B$378,'00_SKU_Master'!$O:$O,0),"")</f>
        <v>#NAME?</v>
      </c>
      <c r="T42" s="113" t="e">
        <f t="shared" si="0"/>
        <v>#VALUE!</v>
      </c>
      <c r="U42" s="114" t="str">
        <f>'05_Daily_Orders'!L42</f>
        <v>FB</v>
      </c>
    </row>
    <row r="43" spans="1:21">
      <c r="A43" s="108">
        <f>'05_Daily_Orders'!B43</f>
        <v>2072</v>
      </c>
      <c r="B43" s="50">
        <v>0</v>
      </c>
      <c r="C43" s="50">
        <v>0</v>
      </c>
      <c r="D43" s="109"/>
      <c r="E43" s="109"/>
      <c r="F43">
        <v>0</v>
      </c>
      <c r="L43" s="110">
        <f t="shared" si="1"/>
        <v>0</v>
      </c>
      <c r="M43" s="111" t="str">
        <f>_xlfn.IFNA(_xlfn.XLOOKUP(A43,'00_SKU_Master'!$B$2:$B$378,'00_SKU_Master'!$C$2:$C$378,0),"")</f>
        <v>61072#2</v>
      </c>
      <c r="N43" s="112" t="e">
        <f>_xlfn.IFNA(_xlfn.XLOOKUP(A43,'00_SKU_Master'!$B$2:$B$378,'00_SKU_Master'!$F$2:$F$378,0)*F43/_xlfn.XLOOKUP(A43,'00_SKU_Master'!$B$2:$B$378,'00_SKU_Master'!$O:$O,0),"")</f>
        <v>#VALUE!</v>
      </c>
      <c r="O43" s="112" t="e">
        <f ca="1">_xludf.IFNA(_xlfn.XLOOKUP($A45,'00_SKU_Master'!$B$2:$B$378,'00_SKU_Master'!$F$2:$F$378,0)*G45/_xlfn.XLOOKUP($A45,'00_SKU_Master'!$B$2:$B$378,'00_SKU_Master'!$O:$O,0),"")</f>
        <v>#NAME?</v>
      </c>
      <c r="P43" s="112" t="e">
        <f ca="1">_xludf.IFNA(_xlfn.XLOOKUP($A45,'00_SKU_Master'!$B$2:$B$378,'00_SKU_Master'!$F$2:$F$378,0)*H45/_xlfn.XLOOKUP($A45,'00_SKU_Master'!$B$2:$B$378,'00_SKU_Master'!$O:$O,0),"")</f>
        <v>#NAME?</v>
      </c>
      <c r="Q43" s="112" t="e">
        <f ca="1">_xludf.IFNA(_xlfn.XLOOKUP($A45,'00_SKU_Master'!$B$2:$B$378,'00_SKU_Master'!$F$2:$F$378,0)*I45/_xlfn.XLOOKUP($A45,'00_SKU_Master'!$B$2:$B$378,'00_SKU_Master'!$O:$O,0),"")</f>
        <v>#NAME?</v>
      </c>
      <c r="R43" s="112" t="e">
        <f ca="1">_xludf.IFNA(_xlfn.XLOOKUP($A45,'00_SKU_Master'!$B$2:$B$378,'00_SKU_Master'!$F$2:$F$378,0)*J45/_xlfn.XLOOKUP($A45,'00_SKU_Master'!$B$2:$B$378,'00_SKU_Master'!$O:$O,0),"")</f>
        <v>#NAME?</v>
      </c>
      <c r="S43" s="112" t="e">
        <f ca="1">_xludf.IFNA(_xlfn.XLOOKUP($A45,'00_SKU_Master'!$B$2:$B$378,'00_SKU_Master'!$F$2:$F$378,0)*K45/_xlfn.XLOOKUP($A45,'00_SKU_Master'!$B$2:$B$378,'00_SKU_Master'!$O:$O,0),"")</f>
        <v>#NAME?</v>
      </c>
      <c r="T43" s="113" t="e">
        <f t="shared" si="0"/>
        <v>#VALUE!</v>
      </c>
      <c r="U43" s="114" t="str">
        <f>'05_Daily_Orders'!L43</f>
        <v>FB</v>
      </c>
    </row>
    <row r="44" spans="1:21">
      <c r="A44" s="108">
        <f>'05_Daily_Orders'!B44</f>
        <v>2073</v>
      </c>
      <c r="B44" s="50">
        <v>0</v>
      </c>
      <c r="C44" s="50">
        <v>0</v>
      </c>
      <c r="D44" s="109"/>
      <c r="E44" s="109"/>
      <c r="F44">
        <v>0</v>
      </c>
      <c r="L44" s="110">
        <f t="shared" si="1"/>
        <v>0</v>
      </c>
      <c r="M44" s="111">
        <f>_xlfn.IFNA(_xlfn.XLOOKUP(A44,'00_SKU_Master'!$B$2:$B$378,'00_SKU_Master'!$C$2:$C$378,0),"")</f>
        <v>61082</v>
      </c>
      <c r="N44" s="112" t="e">
        <f>_xlfn.IFNA(_xlfn.XLOOKUP(A44,'00_SKU_Master'!$B$2:$B$378,'00_SKU_Master'!$F$2:$F$378,0)*F44/_xlfn.XLOOKUP(A44,'00_SKU_Master'!$B$2:$B$378,'00_SKU_Master'!$O:$O,0),"")</f>
        <v>#VALUE!</v>
      </c>
      <c r="O44" s="112" t="e">
        <f ca="1">_xludf.IFNA(_xlfn.XLOOKUP($A46,'00_SKU_Master'!$B$2:$B$378,'00_SKU_Master'!$F$2:$F$378,0)*G46/_xlfn.XLOOKUP($A46,'00_SKU_Master'!$B$2:$B$378,'00_SKU_Master'!$O:$O,0),"")</f>
        <v>#NAME?</v>
      </c>
      <c r="P44" s="112" t="e">
        <f ca="1">_xludf.IFNA(_xlfn.XLOOKUP($A46,'00_SKU_Master'!$B$2:$B$378,'00_SKU_Master'!$F$2:$F$378,0)*H46/_xlfn.XLOOKUP($A46,'00_SKU_Master'!$B$2:$B$378,'00_SKU_Master'!$O:$O,0),"")</f>
        <v>#NAME?</v>
      </c>
      <c r="Q44" s="112" t="e">
        <f ca="1">_xludf.IFNA(_xlfn.XLOOKUP($A46,'00_SKU_Master'!$B$2:$B$378,'00_SKU_Master'!$F$2:$F$378,0)*I46/_xlfn.XLOOKUP($A46,'00_SKU_Master'!$B$2:$B$378,'00_SKU_Master'!$O:$O,0),"")</f>
        <v>#NAME?</v>
      </c>
      <c r="R44" s="112" t="e">
        <f ca="1">_xludf.IFNA(_xlfn.XLOOKUP($A46,'00_SKU_Master'!$B$2:$B$378,'00_SKU_Master'!$F$2:$F$378,0)*J46/_xlfn.XLOOKUP($A46,'00_SKU_Master'!$B$2:$B$378,'00_SKU_Master'!$O:$O,0),"")</f>
        <v>#NAME?</v>
      </c>
      <c r="S44" s="112" t="e">
        <f ca="1">_xludf.IFNA(_xlfn.XLOOKUP($A46,'00_SKU_Master'!$B$2:$B$378,'00_SKU_Master'!$F$2:$F$378,0)*K46/_xlfn.XLOOKUP($A46,'00_SKU_Master'!$B$2:$B$378,'00_SKU_Master'!$O:$O,0),"")</f>
        <v>#NAME?</v>
      </c>
      <c r="T44" s="113" t="e">
        <f t="shared" si="0"/>
        <v>#VALUE!</v>
      </c>
      <c r="U44" s="114" t="str">
        <f>'05_Daily_Orders'!L44</f>
        <v>FB</v>
      </c>
    </row>
    <row r="45" spans="1:21">
      <c r="A45" s="108">
        <f>'05_Daily_Orders'!B45</f>
        <v>2074</v>
      </c>
      <c r="B45" s="50">
        <v>0</v>
      </c>
      <c r="C45" s="50">
        <v>0</v>
      </c>
      <c r="D45" s="109"/>
      <c r="E45" s="109"/>
      <c r="F45">
        <v>100</v>
      </c>
      <c r="L45" s="110">
        <f t="shared" si="1"/>
        <v>0</v>
      </c>
      <c r="M45" s="111" t="str">
        <f>_xlfn.IFNA(_xlfn.XLOOKUP(A45,'00_SKU_Master'!$B$2:$B$378,'00_SKU_Master'!$C$2:$C$378,0),"")</f>
        <v>61086#2</v>
      </c>
      <c r="N45" s="112" t="e">
        <f>_xlfn.IFNA(_xlfn.XLOOKUP(A45,'00_SKU_Master'!$B$2:$B$378,'00_SKU_Master'!$F$2:$F$378,0)*F45/_xlfn.XLOOKUP(A45,'00_SKU_Master'!$B$2:$B$378,'00_SKU_Master'!$O:$O,0),"")</f>
        <v>#VALUE!</v>
      </c>
      <c r="O45" s="112" t="e">
        <f ca="1">_xludf.IFNA(_xlfn.XLOOKUP($A47,'00_SKU_Master'!$B$2:$B$378,'00_SKU_Master'!$F$2:$F$378,0)*G47/_xlfn.XLOOKUP($A47,'00_SKU_Master'!$B$2:$B$378,'00_SKU_Master'!$O:$O,0),"")</f>
        <v>#NAME?</v>
      </c>
      <c r="P45" s="112" t="e">
        <f ca="1">_xludf.IFNA(_xlfn.XLOOKUP($A47,'00_SKU_Master'!$B$2:$B$378,'00_SKU_Master'!$F$2:$F$378,0)*H47/_xlfn.XLOOKUP($A47,'00_SKU_Master'!$B$2:$B$378,'00_SKU_Master'!$O:$O,0),"")</f>
        <v>#NAME?</v>
      </c>
      <c r="Q45" s="112" t="e">
        <f ca="1">_xludf.IFNA(_xlfn.XLOOKUP($A47,'00_SKU_Master'!$B$2:$B$378,'00_SKU_Master'!$F$2:$F$378,0)*I47/_xlfn.XLOOKUP($A47,'00_SKU_Master'!$B$2:$B$378,'00_SKU_Master'!$O:$O,0),"")</f>
        <v>#NAME?</v>
      </c>
      <c r="R45" s="112" t="e">
        <f ca="1">_xludf.IFNA(_xlfn.XLOOKUP($A47,'00_SKU_Master'!$B$2:$B$378,'00_SKU_Master'!$F$2:$F$378,0)*J47/_xlfn.XLOOKUP($A47,'00_SKU_Master'!$B$2:$B$378,'00_SKU_Master'!$O:$O,0),"")</f>
        <v>#NAME?</v>
      </c>
      <c r="S45" s="112" t="e">
        <f ca="1">_xludf.IFNA(_xlfn.XLOOKUP($A47,'00_SKU_Master'!$B$2:$B$378,'00_SKU_Master'!$F$2:$F$378,0)*K47/_xlfn.XLOOKUP($A47,'00_SKU_Master'!$B$2:$B$378,'00_SKU_Master'!$O:$O,0),"")</f>
        <v>#NAME?</v>
      </c>
      <c r="T45" s="113" t="e">
        <f t="shared" si="0"/>
        <v>#VALUE!</v>
      </c>
      <c r="U45" s="114" t="str">
        <f>'05_Daily_Orders'!L45</f>
        <v>FB</v>
      </c>
    </row>
    <row r="46" spans="1:21">
      <c r="A46" s="108">
        <f>'05_Daily_Orders'!B46</f>
        <v>2075</v>
      </c>
      <c r="B46" s="50">
        <v>0</v>
      </c>
      <c r="C46" s="50">
        <v>192</v>
      </c>
      <c r="D46" s="109"/>
      <c r="E46" s="109"/>
      <c r="F46">
        <v>275</v>
      </c>
      <c r="L46" s="110">
        <f t="shared" si="1"/>
        <v>0</v>
      </c>
      <c r="M46" s="111" t="str">
        <f>_xlfn.IFNA(_xlfn.XLOOKUP(A46,'00_SKU_Master'!$B$2:$B$378,'00_SKU_Master'!$C$2:$C$378,0),"")</f>
        <v>61050#2</v>
      </c>
      <c r="N46" s="112" t="e">
        <f>_xlfn.IFNA(_xlfn.XLOOKUP(A46,'00_SKU_Master'!$B$2:$B$378,'00_SKU_Master'!$F$2:$F$378,0)*F46/_xlfn.XLOOKUP(A46,'00_SKU_Master'!$B$2:$B$378,'00_SKU_Master'!$O:$O,0),"")</f>
        <v>#VALUE!</v>
      </c>
      <c r="O46" s="112" t="e">
        <f ca="1">_xludf.IFNA(_xlfn.XLOOKUP($A48,'00_SKU_Master'!$B$2:$B$378,'00_SKU_Master'!$F$2:$F$378,0)*G48/_xlfn.XLOOKUP($A48,'00_SKU_Master'!$B$2:$B$378,'00_SKU_Master'!$O:$O,0),"")</f>
        <v>#NAME?</v>
      </c>
      <c r="P46" s="112" t="e">
        <f ca="1">_xludf.IFNA(_xlfn.XLOOKUP($A48,'00_SKU_Master'!$B$2:$B$378,'00_SKU_Master'!$F$2:$F$378,0)*H48/_xlfn.XLOOKUP($A48,'00_SKU_Master'!$B$2:$B$378,'00_SKU_Master'!$O:$O,0),"")</f>
        <v>#NAME?</v>
      </c>
      <c r="Q46" s="112" t="e">
        <f ca="1">_xludf.IFNA(_xlfn.XLOOKUP($A48,'00_SKU_Master'!$B$2:$B$378,'00_SKU_Master'!$F$2:$F$378,0)*I48/_xlfn.XLOOKUP($A48,'00_SKU_Master'!$B$2:$B$378,'00_SKU_Master'!$O:$O,0),"")</f>
        <v>#NAME?</v>
      </c>
      <c r="R46" s="112" t="e">
        <f ca="1">_xludf.IFNA(_xlfn.XLOOKUP($A48,'00_SKU_Master'!$B$2:$B$378,'00_SKU_Master'!$F$2:$F$378,0)*J48/_xlfn.XLOOKUP($A48,'00_SKU_Master'!$B$2:$B$378,'00_SKU_Master'!$O:$O,0),"")</f>
        <v>#NAME?</v>
      </c>
      <c r="S46" s="112" t="e">
        <f ca="1">_xludf.IFNA(_xlfn.XLOOKUP($A48,'00_SKU_Master'!$B$2:$B$378,'00_SKU_Master'!$F$2:$F$378,0)*K48/_xlfn.XLOOKUP($A48,'00_SKU_Master'!$B$2:$B$378,'00_SKU_Master'!$O:$O,0),"")</f>
        <v>#NAME?</v>
      </c>
      <c r="T46" s="113" t="e">
        <f t="shared" si="0"/>
        <v>#VALUE!</v>
      </c>
      <c r="U46" s="114" t="str">
        <f>'05_Daily_Orders'!L46</f>
        <v>FB</v>
      </c>
    </row>
    <row r="47" spans="1:21">
      <c r="A47" s="108">
        <f>'05_Daily_Orders'!B47</f>
        <v>2076</v>
      </c>
      <c r="B47" s="50">
        <v>0</v>
      </c>
      <c r="C47" s="50">
        <v>0</v>
      </c>
      <c r="D47" s="109"/>
      <c r="E47" s="109"/>
      <c r="F47">
        <v>0</v>
      </c>
      <c r="L47" s="110">
        <f t="shared" si="1"/>
        <v>0</v>
      </c>
      <c r="M47" s="111">
        <f>_xlfn.IFNA(_xlfn.XLOOKUP(A47,'00_SKU_Master'!$B$2:$B$378,'00_SKU_Master'!$C$2:$C$378,0),"")</f>
        <v>61010</v>
      </c>
      <c r="N47" s="112" t="e">
        <f>_xlfn.IFNA(_xlfn.XLOOKUP(A47,'00_SKU_Master'!$B$2:$B$378,'00_SKU_Master'!$F$2:$F$378,0)*F47/_xlfn.XLOOKUP(A47,'00_SKU_Master'!$B$2:$B$378,'00_SKU_Master'!$O:$O,0),"")</f>
        <v>#VALUE!</v>
      </c>
      <c r="O47" s="112" t="e">
        <f ca="1">_xludf.IFNA(_xlfn.XLOOKUP($A49,'00_SKU_Master'!$B$2:$B$378,'00_SKU_Master'!$F$2:$F$378,0)*G49/_xlfn.XLOOKUP($A49,'00_SKU_Master'!$B$2:$B$378,'00_SKU_Master'!$O:$O,0),"")</f>
        <v>#NAME?</v>
      </c>
      <c r="P47" s="112" t="e">
        <f ca="1">_xludf.IFNA(_xlfn.XLOOKUP($A49,'00_SKU_Master'!$B$2:$B$378,'00_SKU_Master'!$F$2:$F$378,0)*H49/_xlfn.XLOOKUP($A49,'00_SKU_Master'!$B$2:$B$378,'00_SKU_Master'!$O:$O,0),"")</f>
        <v>#NAME?</v>
      </c>
      <c r="Q47" s="112" t="e">
        <f ca="1">_xludf.IFNA(_xlfn.XLOOKUP($A49,'00_SKU_Master'!$B$2:$B$378,'00_SKU_Master'!$F$2:$F$378,0)*I49/_xlfn.XLOOKUP($A49,'00_SKU_Master'!$B$2:$B$378,'00_SKU_Master'!$O:$O,0),"")</f>
        <v>#NAME?</v>
      </c>
      <c r="R47" s="112" t="e">
        <f ca="1">_xludf.IFNA(_xlfn.XLOOKUP($A49,'00_SKU_Master'!$B$2:$B$378,'00_SKU_Master'!$F$2:$F$378,0)*J49/_xlfn.XLOOKUP($A49,'00_SKU_Master'!$B$2:$B$378,'00_SKU_Master'!$O:$O,0),"")</f>
        <v>#NAME?</v>
      </c>
      <c r="S47" s="112" t="e">
        <f ca="1">_xludf.IFNA(_xlfn.XLOOKUP($A49,'00_SKU_Master'!$B$2:$B$378,'00_SKU_Master'!$F$2:$F$378,0)*K49/_xlfn.XLOOKUP($A49,'00_SKU_Master'!$B$2:$B$378,'00_SKU_Master'!$O:$O,0),"")</f>
        <v>#NAME?</v>
      </c>
      <c r="T47" s="113" t="e">
        <f t="shared" si="0"/>
        <v>#VALUE!</v>
      </c>
      <c r="U47" s="114" t="str">
        <f>'05_Daily_Orders'!L47</f>
        <v>FB</v>
      </c>
    </row>
    <row r="48" spans="1:21">
      <c r="A48" s="108">
        <f>'05_Daily_Orders'!B48</f>
        <v>2077</v>
      </c>
      <c r="B48" s="50">
        <v>0</v>
      </c>
      <c r="C48" s="50">
        <v>23</v>
      </c>
      <c r="D48" s="109"/>
      <c r="E48" s="109"/>
      <c r="F48">
        <v>20</v>
      </c>
      <c r="L48" s="110">
        <f t="shared" si="1"/>
        <v>0</v>
      </c>
      <c r="M48" s="111">
        <f>_xlfn.IFNA(_xlfn.XLOOKUP(A48,'00_SKU_Master'!$B$2:$B$378,'00_SKU_Master'!$C$2:$C$378,0),"")</f>
        <v>61061</v>
      </c>
      <c r="N48" s="112" t="e">
        <f>_xlfn.IFNA(_xlfn.XLOOKUP(A48,'00_SKU_Master'!$B$2:$B$378,'00_SKU_Master'!$F$2:$F$378,0)*F48/_xlfn.XLOOKUP(A48,'00_SKU_Master'!$B$2:$B$378,'00_SKU_Master'!$O:$O,0),"")</f>
        <v>#VALUE!</v>
      </c>
      <c r="O48" s="112" t="e">
        <f ca="1">_xludf.IFNA(_xlfn.XLOOKUP($A50,'00_SKU_Master'!$B$2:$B$378,'00_SKU_Master'!$F$2:$F$378,0)*G50/_xlfn.XLOOKUP($A50,'00_SKU_Master'!$B$2:$B$378,'00_SKU_Master'!$O:$O,0),"")</f>
        <v>#NAME?</v>
      </c>
      <c r="P48" s="112" t="e">
        <f ca="1">_xludf.IFNA(_xlfn.XLOOKUP($A50,'00_SKU_Master'!$B$2:$B$378,'00_SKU_Master'!$F$2:$F$378,0)*H50/_xlfn.XLOOKUP($A50,'00_SKU_Master'!$B$2:$B$378,'00_SKU_Master'!$O:$O,0),"")</f>
        <v>#NAME?</v>
      </c>
      <c r="Q48" s="112" t="e">
        <f ca="1">_xludf.IFNA(_xlfn.XLOOKUP($A50,'00_SKU_Master'!$B$2:$B$378,'00_SKU_Master'!$F$2:$F$378,0)*I50/_xlfn.XLOOKUP($A50,'00_SKU_Master'!$B$2:$B$378,'00_SKU_Master'!$O:$O,0),"")</f>
        <v>#NAME?</v>
      </c>
      <c r="R48" s="112" t="e">
        <f ca="1">_xludf.IFNA(_xlfn.XLOOKUP($A50,'00_SKU_Master'!$B$2:$B$378,'00_SKU_Master'!$F$2:$F$378,0)*J50/_xlfn.XLOOKUP($A50,'00_SKU_Master'!$B$2:$B$378,'00_SKU_Master'!$O:$O,0),"")</f>
        <v>#NAME?</v>
      </c>
      <c r="S48" s="112" t="e">
        <f ca="1">_xludf.IFNA(_xlfn.XLOOKUP($A50,'00_SKU_Master'!$B$2:$B$378,'00_SKU_Master'!$F$2:$F$378,0)*K50/_xlfn.XLOOKUP($A50,'00_SKU_Master'!$B$2:$B$378,'00_SKU_Master'!$O:$O,0),"")</f>
        <v>#NAME?</v>
      </c>
      <c r="T48" s="113" t="e">
        <f t="shared" si="0"/>
        <v>#VALUE!</v>
      </c>
      <c r="U48" s="114" t="str">
        <f>'05_Daily_Orders'!L48</f>
        <v>FB</v>
      </c>
    </row>
    <row r="49" spans="1:21">
      <c r="A49" s="108">
        <f>'05_Daily_Orders'!B49</f>
        <v>2078</v>
      </c>
      <c r="B49" s="50">
        <v>0</v>
      </c>
      <c r="C49" s="50">
        <v>148</v>
      </c>
      <c r="D49" s="109"/>
      <c r="E49" s="109"/>
      <c r="F49">
        <v>152</v>
      </c>
      <c r="L49" s="110">
        <f t="shared" si="1"/>
        <v>0</v>
      </c>
      <c r="M49" s="111">
        <f>_xlfn.IFNA(_xlfn.XLOOKUP(A49,'00_SKU_Master'!$B$2:$B$378,'00_SKU_Master'!$C$2:$C$378,0),"")</f>
        <v>203891</v>
      </c>
      <c r="N49" s="112" t="e">
        <f>_xlfn.IFNA(_xlfn.XLOOKUP(A49,'00_SKU_Master'!$B$2:$B$378,'00_SKU_Master'!$F$2:$F$378,0)*F49/_xlfn.XLOOKUP(A49,'00_SKU_Master'!$B$2:$B$378,'00_SKU_Master'!$O:$O,0),"")</f>
        <v>#VALUE!</v>
      </c>
      <c r="O49" s="112" t="e">
        <f ca="1">_xludf.IFNA(_xlfn.XLOOKUP($A51,'00_SKU_Master'!$B$2:$B$378,'00_SKU_Master'!$F$2:$F$378,0)*G51/_xlfn.XLOOKUP($A51,'00_SKU_Master'!$B$2:$B$378,'00_SKU_Master'!$O:$O,0),"")</f>
        <v>#NAME?</v>
      </c>
      <c r="P49" s="112" t="e">
        <f ca="1">_xludf.IFNA(_xlfn.XLOOKUP($A51,'00_SKU_Master'!$B$2:$B$378,'00_SKU_Master'!$F$2:$F$378,0)*H51/_xlfn.XLOOKUP($A51,'00_SKU_Master'!$B$2:$B$378,'00_SKU_Master'!$O:$O,0),"")</f>
        <v>#NAME?</v>
      </c>
      <c r="Q49" s="112" t="e">
        <f ca="1">_xludf.IFNA(_xlfn.XLOOKUP($A51,'00_SKU_Master'!$B$2:$B$378,'00_SKU_Master'!$F$2:$F$378,0)*I51/_xlfn.XLOOKUP($A51,'00_SKU_Master'!$B$2:$B$378,'00_SKU_Master'!$O:$O,0),"")</f>
        <v>#NAME?</v>
      </c>
      <c r="R49" s="112" t="e">
        <f ca="1">_xludf.IFNA(_xlfn.XLOOKUP($A51,'00_SKU_Master'!$B$2:$B$378,'00_SKU_Master'!$F$2:$F$378,0)*J51/_xlfn.XLOOKUP($A51,'00_SKU_Master'!$B$2:$B$378,'00_SKU_Master'!$O:$O,0),"")</f>
        <v>#NAME?</v>
      </c>
      <c r="S49" s="112" t="e">
        <f ca="1">_xludf.IFNA(_xlfn.XLOOKUP($A51,'00_SKU_Master'!$B$2:$B$378,'00_SKU_Master'!$F$2:$F$378,0)*K51/_xlfn.XLOOKUP($A51,'00_SKU_Master'!$B$2:$B$378,'00_SKU_Master'!$O:$O,0),"")</f>
        <v>#NAME?</v>
      </c>
      <c r="T49" s="113" t="e">
        <f t="shared" si="0"/>
        <v>#VALUE!</v>
      </c>
      <c r="U49" s="114" t="str">
        <f>'05_Daily_Orders'!L49</f>
        <v>FB</v>
      </c>
    </row>
    <row r="50" spans="1:21">
      <c r="A50" s="108">
        <f>'05_Daily_Orders'!B50</f>
        <v>2082</v>
      </c>
      <c r="B50" s="50">
        <v>0</v>
      </c>
      <c r="C50" s="50">
        <v>0</v>
      </c>
      <c r="D50" s="109"/>
      <c r="E50" s="109"/>
      <c r="F50">
        <v>0</v>
      </c>
      <c r="L50" s="110">
        <f t="shared" si="1"/>
        <v>0</v>
      </c>
      <c r="M50" s="111" t="str">
        <f>_xlfn.IFNA(_xlfn.XLOOKUP(A50,'00_SKU_Master'!$B$2:$B$378,'00_SKU_Master'!$C$2:$C$378,0),"")</f>
        <v>61050#2</v>
      </c>
      <c r="N50" s="112" t="e">
        <f>_xlfn.IFNA(_xlfn.XLOOKUP(A50,'00_SKU_Master'!$B$2:$B$378,'00_SKU_Master'!$F$2:$F$378,0)*F50/_xlfn.XLOOKUP(A50,'00_SKU_Master'!$B$2:$B$378,'00_SKU_Master'!$O:$O,0),"")</f>
        <v>#VALUE!</v>
      </c>
      <c r="O50" s="112" t="e">
        <f ca="1">_xludf.IFNA(_xlfn.XLOOKUP($A52,'00_SKU_Master'!$B$2:$B$378,'00_SKU_Master'!$F$2:$F$378,0)*G52/_xlfn.XLOOKUP($A52,'00_SKU_Master'!$B$2:$B$378,'00_SKU_Master'!$O:$O,0),"")</f>
        <v>#NAME?</v>
      </c>
      <c r="P50" s="112" t="e">
        <f ca="1">_xludf.IFNA(_xlfn.XLOOKUP($A52,'00_SKU_Master'!$B$2:$B$378,'00_SKU_Master'!$F$2:$F$378,0)*H52/_xlfn.XLOOKUP($A52,'00_SKU_Master'!$B$2:$B$378,'00_SKU_Master'!$O:$O,0),"")</f>
        <v>#NAME?</v>
      </c>
      <c r="Q50" s="112" t="e">
        <f ca="1">_xludf.IFNA(_xlfn.XLOOKUP($A52,'00_SKU_Master'!$B$2:$B$378,'00_SKU_Master'!$F$2:$F$378,0)*I52/_xlfn.XLOOKUP($A52,'00_SKU_Master'!$B$2:$B$378,'00_SKU_Master'!$O:$O,0),"")</f>
        <v>#NAME?</v>
      </c>
      <c r="R50" s="112" t="e">
        <f ca="1">_xludf.IFNA(_xlfn.XLOOKUP($A52,'00_SKU_Master'!$B$2:$B$378,'00_SKU_Master'!$F$2:$F$378,0)*J52/_xlfn.XLOOKUP($A52,'00_SKU_Master'!$B$2:$B$378,'00_SKU_Master'!$O:$O,0),"")</f>
        <v>#NAME?</v>
      </c>
      <c r="S50" s="112" t="e">
        <f ca="1">_xludf.IFNA(_xlfn.XLOOKUP($A52,'00_SKU_Master'!$B$2:$B$378,'00_SKU_Master'!$F$2:$F$378,0)*K52/_xlfn.XLOOKUP($A52,'00_SKU_Master'!$B$2:$B$378,'00_SKU_Master'!$O:$O,0),"")</f>
        <v>#NAME?</v>
      </c>
      <c r="T50" s="113" t="e">
        <f t="shared" si="0"/>
        <v>#VALUE!</v>
      </c>
      <c r="U50" s="114" t="str">
        <f>'05_Daily_Orders'!L50</f>
        <v>FB</v>
      </c>
    </row>
    <row r="51" spans="1:21">
      <c r="A51" s="108">
        <f>'05_Daily_Orders'!B51</f>
        <v>2084</v>
      </c>
      <c r="B51" s="50">
        <v>0</v>
      </c>
      <c r="C51" s="50">
        <v>199</v>
      </c>
      <c r="D51" s="109"/>
      <c r="E51" s="109"/>
      <c r="F51">
        <v>0</v>
      </c>
      <c r="L51" s="110">
        <f t="shared" si="1"/>
        <v>0</v>
      </c>
      <c r="M51" s="111" t="str">
        <f>_xlfn.IFNA(_xlfn.XLOOKUP(A51,'00_SKU_Master'!$B$2:$B$378,'00_SKU_Master'!$C$2:$C$378,0),"")</f>
        <v>61050F</v>
      </c>
      <c r="N51" s="112" t="e">
        <f>_xlfn.IFNA(_xlfn.XLOOKUP(A51,'00_SKU_Master'!$B$2:$B$378,'00_SKU_Master'!$F$2:$F$378,0)*F51/_xlfn.XLOOKUP(A51,'00_SKU_Master'!$B$2:$B$378,'00_SKU_Master'!$O:$O,0),"")</f>
        <v>#VALUE!</v>
      </c>
      <c r="O51" s="112" t="e">
        <f ca="1">_xludf.IFNA(_xlfn.XLOOKUP($A53,'00_SKU_Master'!$B$2:$B$378,'00_SKU_Master'!$F$2:$F$378,0)*G53/_xlfn.XLOOKUP($A53,'00_SKU_Master'!$B$2:$B$378,'00_SKU_Master'!$O:$O,0),"")</f>
        <v>#NAME?</v>
      </c>
      <c r="P51" s="112" t="e">
        <f ca="1">_xludf.IFNA(_xlfn.XLOOKUP($A53,'00_SKU_Master'!$B$2:$B$378,'00_SKU_Master'!$F$2:$F$378,0)*H53/_xlfn.XLOOKUP($A53,'00_SKU_Master'!$B$2:$B$378,'00_SKU_Master'!$O:$O,0),"")</f>
        <v>#NAME?</v>
      </c>
      <c r="Q51" s="112" t="e">
        <f ca="1">_xludf.IFNA(_xlfn.XLOOKUP($A53,'00_SKU_Master'!$B$2:$B$378,'00_SKU_Master'!$F$2:$F$378,0)*I53/_xlfn.XLOOKUP($A53,'00_SKU_Master'!$B$2:$B$378,'00_SKU_Master'!$O:$O,0),"")</f>
        <v>#NAME?</v>
      </c>
      <c r="R51" s="112" t="e">
        <f ca="1">_xludf.IFNA(_xlfn.XLOOKUP($A53,'00_SKU_Master'!$B$2:$B$378,'00_SKU_Master'!$F$2:$F$378,0)*J53/_xlfn.XLOOKUP($A53,'00_SKU_Master'!$B$2:$B$378,'00_SKU_Master'!$O:$O,0),"")</f>
        <v>#NAME?</v>
      </c>
      <c r="S51" s="112" t="e">
        <f ca="1">_xludf.IFNA(_xlfn.XLOOKUP($A53,'00_SKU_Master'!$B$2:$B$378,'00_SKU_Master'!$F$2:$F$378,0)*K53/_xlfn.XLOOKUP($A53,'00_SKU_Master'!$B$2:$B$378,'00_SKU_Master'!$O:$O,0),"")</f>
        <v>#NAME?</v>
      </c>
      <c r="T51" s="113" t="e">
        <f t="shared" si="0"/>
        <v>#VALUE!</v>
      </c>
      <c r="U51" s="114" t="str">
        <f>'05_Daily_Orders'!L51</f>
        <v>METRO</v>
      </c>
    </row>
    <row r="52" spans="1:21">
      <c r="A52" s="108">
        <f>'05_Daily_Orders'!B52</f>
        <v>2085</v>
      </c>
      <c r="B52" s="50">
        <v>0</v>
      </c>
      <c r="C52" s="50">
        <v>80</v>
      </c>
      <c r="D52" s="109"/>
      <c r="E52" s="109"/>
      <c r="F52">
        <v>0</v>
      </c>
      <c r="L52" s="110">
        <f t="shared" si="1"/>
        <v>0</v>
      </c>
      <c r="M52" s="111" t="str">
        <f>_xlfn.IFNA(_xlfn.XLOOKUP(A52,'00_SKU_Master'!$B$2:$B$378,'00_SKU_Master'!$C$2:$C$378,0),"")</f>
        <v>61086#2</v>
      </c>
      <c r="N52" s="112" t="e">
        <f>_xlfn.IFNA(_xlfn.XLOOKUP(A52,'00_SKU_Master'!$B$2:$B$378,'00_SKU_Master'!$F$2:$F$378,0)*F52/_xlfn.XLOOKUP(A52,'00_SKU_Master'!$B$2:$B$378,'00_SKU_Master'!$O:$O,0),"")</f>
        <v>#VALUE!</v>
      </c>
      <c r="O52" s="112" t="e">
        <f ca="1">_xludf.IFNA(_xlfn.XLOOKUP($A54,'00_SKU_Master'!$B$2:$B$378,'00_SKU_Master'!$F$2:$F$378,0)*G54/_xlfn.XLOOKUP($A54,'00_SKU_Master'!$B$2:$B$378,'00_SKU_Master'!$O:$O,0),"")</f>
        <v>#NAME?</v>
      </c>
      <c r="P52" s="112" t="e">
        <f ca="1">_xludf.IFNA(_xlfn.XLOOKUP($A54,'00_SKU_Master'!$B$2:$B$378,'00_SKU_Master'!$F$2:$F$378,0)*H54/_xlfn.XLOOKUP($A54,'00_SKU_Master'!$B$2:$B$378,'00_SKU_Master'!$O:$O,0),"")</f>
        <v>#NAME?</v>
      </c>
      <c r="Q52" s="112" t="e">
        <f ca="1">_xludf.IFNA(_xlfn.XLOOKUP($A54,'00_SKU_Master'!$B$2:$B$378,'00_SKU_Master'!$F$2:$F$378,0)*I54/_xlfn.XLOOKUP($A54,'00_SKU_Master'!$B$2:$B$378,'00_SKU_Master'!$O:$O,0),"")</f>
        <v>#NAME?</v>
      </c>
      <c r="R52" s="112" t="e">
        <f ca="1">_xludf.IFNA(_xlfn.XLOOKUP($A54,'00_SKU_Master'!$B$2:$B$378,'00_SKU_Master'!$F$2:$F$378,0)*J54/_xlfn.XLOOKUP($A54,'00_SKU_Master'!$B$2:$B$378,'00_SKU_Master'!$O:$O,0),"")</f>
        <v>#NAME?</v>
      </c>
      <c r="S52" s="112" t="e">
        <f ca="1">_xludf.IFNA(_xlfn.XLOOKUP($A54,'00_SKU_Master'!$B$2:$B$378,'00_SKU_Master'!$F$2:$F$378,0)*K54/_xlfn.XLOOKUP($A54,'00_SKU_Master'!$B$2:$B$378,'00_SKU_Master'!$O:$O,0),"")</f>
        <v>#NAME?</v>
      </c>
      <c r="T52" s="113" t="e">
        <f t="shared" si="0"/>
        <v>#VALUE!</v>
      </c>
      <c r="U52" s="114" t="str">
        <f>'05_Daily_Orders'!L52</f>
        <v>METRO</v>
      </c>
    </row>
    <row r="53" spans="1:21">
      <c r="A53" s="108">
        <f>'05_Daily_Orders'!B53</f>
        <v>2086</v>
      </c>
      <c r="B53" s="50">
        <v>0</v>
      </c>
      <c r="C53" s="50">
        <v>0</v>
      </c>
      <c r="D53" s="109"/>
      <c r="E53" s="109"/>
      <c r="F53">
        <v>0</v>
      </c>
      <c r="L53" s="110">
        <f t="shared" si="1"/>
        <v>0</v>
      </c>
      <c r="M53" s="111">
        <f>_xlfn.IFNA(_xlfn.XLOOKUP(A53,'00_SKU_Master'!$B$2:$B$378,'00_SKU_Master'!$C$2:$C$378,0),"")</f>
        <v>61050</v>
      </c>
      <c r="N53" s="112" t="e">
        <f>_xlfn.IFNA(_xlfn.XLOOKUP(A53,'00_SKU_Master'!$B$2:$B$378,'00_SKU_Master'!$F$2:$F$378,0)*F53/_xlfn.XLOOKUP(A53,'00_SKU_Master'!$B$2:$B$378,'00_SKU_Master'!$O:$O,0),"")</f>
        <v>#VALUE!</v>
      </c>
      <c r="O53" s="112" t="e">
        <f ca="1">_xludf.IFNA(_xlfn.XLOOKUP($A55,'00_SKU_Master'!$B$2:$B$378,'00_SKU_Master'!$F$2:$F$378,0)*G55/_xlfn.XLOOKUP($A55,'00_SKU_Master'!$B$2:$B$378,'00_SKU_Master'!$O:$O,0),"")</f>
        <v>#NAME?</v>
      </c>
      <c r="P53" s="112" t="e">
        <f ca="1">_xludf.IFNA(_xlfn.XLOOKUP($A55,'00_SKU_Master'!$B$2:$B$378,'00_SKU_Master'!$F$2:$F$378,0)*H55/_xlfn.XLOOKUP($A55,'00_SKU_Master'!$B$2:$B$378,'00_SKU_Master'!$O:$O,0),"")</f>
        <v>#NAME?</v>
      </c>
      <c r="Q53" s="112" t="e">
        <f ca="1">_xludf.IFNA(_xlfn.XLOOKUP($A55,'00_SKU_Master'!$B$2:$B$378,'00_SKU_Master'!$F$2:$F$378,0)*I55/_xlfn.XLOOKUP($A55,'00_SKU_Master'!$B$2:$B$378,'00_SKU_Master'!$O:$O,0),"")</f>
        <v>#NAME?</v>
      </c>
      <c r="R53" s="112" t="e">
        <f ca="1">_xludf.IFNA(_xlfn.XLOOKUP($A55,'00_SKU_Master'!$B$2:$B$378,'00_SKU_Master'!$F$2:$F$378,0)*J55/_xlfn.XLOOKUP($A55,'00_SKU_Master'!$B$2:$B$378,'00_SKU_Master'!$O:$O,0),"")</f>
        <v>#NAME?</v>
      </c>
      <c r="S53" s="112" t="e">
        <f ca="1">_xludf.IFNA(_xlfn.XLOOKUP($A55,'00_SKU_Master'!$B$2:$B$378,'00_SKU_Master'!$F$2:$F$378,0)*K55/_xlfn.XLOOKUP($A55,'00_SKU_Master'!$B$2:$B$378,'00_SKU_Master'!$O:$O,0),"")</f>
        <v>#NAME?</v>
      </c>
      <c r="T53" s="113" t="e">
        <f t="shared" si="0"/>
        <v>#VALUE!</v>
      </c>
      <c r="U53" s="114" t="str">
        <f>'05_Daily_Orders'!L53</f>
        <v>SOB</v>
      </c>
    </row>
    <row r="54" spans="1:21">
      <c r="A54" s="108">
        <f>'05_Daily_Orders'!B54</f>
        <v>2087</v>
      </c>
      <c r="B54" s="50">
        <v>0</v>
      </c>
      <c r="C54" s="50">
        <v>0</v>
      </c>
      <c r="D54" s="109"/>
      <c r="E54" s="109"/>
      <c r="F54">
        <v>0</v>
      </c>
      <c r="L54" s="110">
        <f t="shared" si="1"/>
        <v>0</v>
      </c>
      <c r="M54" s="111">
        <f>_xlfn.IFNA(_xlfn.XLOOKUP(A54,'00_SKU_Master'!$B$2:$B$378,'00_SKU_Master'!$C$2:$C$378,0),"")</f>
        <v>61050</v>
      </c>
      <c r="N54" s="112" t="e">
        <f>_xlfn.IFNA(_xlfn.XLOOKUP(A54,'00_SKU_Master'!$B$2:$B$378,'00_SKU_Master'!$F$2:$F$378,0)*F54/_xlfn.XLOOKUP(A54,'00_SKU_Master'!$B$2:$B$378,'00_SKU_Master'!$O:$O,0),"")</f>
        <v>#VALUE!</v>
      </c>
      <c r="O54" s="112" t="e">
        <f ca="1">_xludf.IFNA(_xlfn.XLOOKUP($A56,'00_SKU_Master'!$B$2:$B$378,'00_SKU_Master'!$F$2:$F$378,0)*G56/_xlfn.XLOOKUP($A56,'00_SKU_Master'!$B$2:$B$378,'00_SKU_Master'!$O:$O,0),"")</f>
        <v>#NAME?</v>
      </c>
      <c r="P54" s="112" t="e">
        <f ca="1">_xludf.IFNA(_xlfn.XLOOKUP($A56,'00_SKU_Master'!$B$2:$B$378,'00_SKU_Master'!$F$2:$F$378,0)*H56/_xlfn.XLOOKUP($A56,'00_SKU_Master'!$B$2:$B$378,'00_SKU_Master'!$O:$O,0),"")</f>
        <v>#NAME?</v>
      </c>
      <c r="Q54" s="112" t="e">
        <f ca="1">_xludf.IFNA(_xlfn.XLOOKUP($A56,'00_SKU_Master'!$B$2:$B$378,'00_SKU_Master'!$F$2:$F$378,0)*I56/_xlfn.XLOOKUP($A56,'00_SKU_Master'!$B$2:$B$378,'00_SKU_Master'!$O:$O,0),"")</f>
        <v>#NAME?</v>
      </c>
      <c r="R54" s="112" t="e">
        <f ca="1">_xludf.IFNA(_xlfn.XLOOKUP($A56,'00_SKU_Master'!$B$2:$B$378,'00_SKU_Master'!$F$2:$F$378,0)*J56/_xlfn.XLOOKUP($A56,'00_SKU_Master'!$B$2:$B$378,'00_SKU_Master'!$O:$O,0),"")</f>
        <v>#NAME?</v>
      </c>
      <c r="S54" s="112" t="e">
        <f ca="1">_xludf.IFNA(_xlfn.XLOOKUP($A56,'00_SKU_Master'!$B$2:$B$378,'00_SKU_Master'!$F$2:$F$378,0)*K56/_xlfn.XLOOKUP($A56,'00_SKU_Master'!$B$2:$B$378,'00_SKU_Master'!$O:$O,0),"")</f>
        <v>#NAME?</v>
      </c>
      <c r="T54" s="113" t="e">
        <f t="shared" si="0"/>
        <v>#VALUE!</v>
      </c>
      <c r="U54" s="114" t="str">
        <f>'05_Daily_Orders'!L54</f>
        <v>SOB</v>
      </c>
    </row>
    <row r="55" spans="1:21">
      <c r="A55" s="108">
        <f>'05_Daily_Orders'!B55</f>
        <v>2088</v>
      </c>
      <c r="B55" s="50">
        <v>0</v>
      </c>
      <c r="C55" s="50">
        <v>0</v>
      </c>
      <c r="D55" s="109"/>
      <c r="E55" s="109"/>
      <c r="F55">
        <v>0</v>
      </c>
      <c r="L55" s="110">
        <f t="shared" si="1"/>
        <v>0</v>
      </c>
      <c r="M55" s="111">
        <f>_xlfn.IFNA(_xlfn.XLOOKUP(A55,'00_SKU_Master'!$B$2:$B$378,'00_SKU_Master'!$C$2:$C$378,0),"")</f>
        <v>61054</v>
      </c>
      <c r="N55" s="112" t="e">
        <f>_xlfn.IFNA(_xlfn.XLOOKUP(A55,'00_SKU_Master'!$B$2:$B$378,'00_SKU_Master'!$F$2:$F$378,0)*F55/_xlfn.XLOOKUP(A55,'00_SKU_Master'!$B$2:$B$378,'00_SKU_Master'!$O:$O,0),"")</f>
        <v>#VALUE!</v>
      </c>
      <c r="O55" s="112" t="e">
        <f ca="1">_xludf.IFNA(_xlfn.XLOOKUP($A57,'00_SKU_Master'!$B$2:$B$378,'00_SKU_Master'!$F$2:$F$378,0)*G57/_xlfn.XLOOKUP($A57,'00_SKU_Master'!$B$2:$B$378,'00_SKU_Master'!$O:$O,0),"")</f>
        <v>#NAME?</v>
      </c>
      <c r="P55" s="112" t="e">
        <f ca="1">_xludf.IFNA(_xlfn.XLOOKUP($A57,'00_SKU_Master'!$B$2:$B$378,'00_SKU_Master'!$F$2:$F$378,0)*H57/_xlfn.XLOOKUP($A57,'00_SKU_Master'!$B$2:$B$378,'00_SKU_Master'!$O:$O,0),"")</f>
        <v>#NAME?</v>
      </c>
      <c r="Q55" s="112" t="e">
        <f ca="1">_xludf.IFNA(_xlfn.XLOOKUP($A57,'00_SKU_Master'!$B$2:$B$378,'00_SKU_Master'!$F$2:$F$378,0)*I57/_xlfn.XLOOKUP($A57,'00_SKU_Master'!$B$2:$B$378,'00_SKU_Master'!$O:$O,0),"")</f>
        <v>#NAME?</v>
      </c>
      <c r="R55" s="112" t="e">
        <f ca="1">_xludf.IFNA(_xlfn.XLOOKUP($A57,'00_SKU_Master'!$B$2:$B$378,'00_SKU_Master'!$F$2:$F$378,0)*J57/_xlfn.XLOOKUP($A57,'00_SKU_Master'!$B$2:$B$378,'00_SKU_Master'!$O:$O,0),"")</f>
        <v>#NAME?</v>
      </c>
      <c r="S55" s="112" t="e">
        <f ca="1">_xludf.IFNA(_xlfn.XLOOKUP($A57,'00_SKU_Master'!$B$2:$B$378,'00_SKU_Master'!$F$2:$F$378,0)*K57/_xlfn.XLOOKUP($A57,'00_SKU_Master'!$B$2:$B$378,'00_SKU_Master'!$O:$O,0),"")</f>
        <v>#NAME?</v>
      </c>
      <c r="T55" s="113" t="e">
        <f t="shared" si="0"/>
        <v>#VALUE!</v>
      </c>
      <c r="U55" s="114" t="str">
        <f>'05_Daily_Orders'!L55</f>
        <v>SOB</v>
      </c>
    </row>
    <row r="56" spans="1:21">
      <c r="A56" s="108">
        <f>'05_Daily_Orders'!B56</f>
        <v>2089</v>
      </c>
      <c r="B56" s="50">
        <v>0</v>
      </c>
      <c r="C56" s="50">
        <v>0</v>
      </c>
      <c r="D56" s="109"/>
      <c r="E56" s="109"/>
      <c r="F56">
        <v>0</v>
      </c>
      <c r="L56" s="110">
        <f t="shared" si="1"/>
        <v>0</v>
      </c>
      <c r="M56" s="111">
        <f>_xlfn.IFNA(_xlfn.XLOOKUP(A56,'00_SKU_Master'!$B$2:$B$378,'00_SKU_Master'!$C$2:$C$378,0),"")</f>
        <v>61040</v>
      </c>
      <c r="N56" s="112" t="e">
        <f>_xlfn.IFNA(_xlfn.XLOOKUP(A56,'00_SKU_Master'!$B$2:$B$378,'00_SKU_Master'!$F$2:$F$378,0)*F56/_xlfn.XLOOKUP(A56,'00_SKU_Master'!$B$2:$B$378,'00_SKU_Master'!$O:$O,0),"")</f>
        <v>#VALUE!</v>
      </c>
      <c r="O56" s="112" t="e">
        <f ca="1">_xludf.IFNA(_xlfn.XLOOKUP($A58,'00_SKU_Master'!$B$2:$B$378,'00_SKU_Master'!$F$2:$F$378,0)*G58/_xlfn.XLOOKUP($A58,'00_SKU_Master'!$B$2:$B$378,'00_SKU_Master'!$O:$O,0),"")</f>
        <v>#NAME?</v>
      </c>
      <c r="P56" s="112" t="e">
        <f ca="1">_xludf.IFNA(_xlfn.XLOOKUP($A58,'00_SKU_Master'!$B$2:$B$378,'00_SKU_Master'!$F$2:$F$378,0)*H58/_xlfn.XLOOKUP($A58,'00_SKU_Master'!$B$2:$B$378,'00_SKU_Master'!$O:$O,0),"")</f>
        <v>#NAME?</v>
      </c>
      <c r="Q56" s="112" t="e">
        <f ca="1">_xludf.IFNA(_xlfn.XLOOKUP($A58,'00_SKU_Master'!$B$2:$B$378,'00_SKU_Master'!$F$2:$F$378,0)*I58/_xlfn.XLOOKUP($A58,'00_SKU_Master'!$B$2:$B$378,'00_SKU_Master'!$O:$O,0),"")</f>
        <v>#NAME?</v>
      </c>
      <c r="R56" s="112" t="e">
        <f ca="1">_xludf.IFNA(_xlfn.XLOOKUP($A58,'00_SKU_Master'!$B$2:$B$378,'00_SKU_Master'!$F$2:$F$378,0)*J58/_xlfn.XLOOKUP($A58,'00_SKU_Master'!$B$2:$B$378,'00_SKU_Master'!$O:$O,0),"")</f>
        <v>#NAME?</v>
      </c>
      <c r="S56" s="112" t="e">
        <f ca="1">_xludf.IFNA(_xlfn.XLOOKUP($A58,'00_SKU_Master'!$B$2:$B$378,'00_SKU_Master'!$F$2:$F$378,0)*K58/_xlfn.XLOOKUP($A58,'00_SKU_Master'!$B$2:$B$378,'00_SKU_Master'!$O:$O,0),"")</f>
        <v>#NAME?</v>
      </c>
      <c r="T56" s="113" t="e">
        <f t="shared" si="0"/>
        <v>#VALUE!</v>
      </c>
      <c r="U56" s="114" t="str">
        <f>'05_Daily_Orders'!L56</f>
        <v>SOB</v>
      </c>
    </row>
    <row r="57" spans="1:21">
      <c r="A57" s="108">
        <f>'05_Daily_Orders'!B57</f>
        <v>2090</v>
      </c>
      <c r="B57" s="50">
        <v>0</v>
      </c>
      <c r="C57" s="50">
        <v>0</v>
      </c>
      <c r="D57" s="109"/>
      <c r="E57" s="109"/>
      <c r="F57">
        <v>0</v>
      </c>
      <c r="L57" s="110">
        <f t="shared" si="1"/>
        <v>0</v>
      </c>
      <c r="M57" s="111">
        <f>_xlfn.IFNA(_xlfn.XLOOKUP(A57,'00_SKU_Master'!$B$2:$B$378,'00_SKU_Master'!$C$2:$C$378,0),"")</f>
        <v>61040</v>
      </c>
      <c r="N57" s="112" t="e">
        <f>_xlfn.IFNA(_xlfn.XLOOKUP(A57,'00_SKU_Master'!$B$2:$B$378,'00_SKU_Master'!$F$2:$F$378,0)*F57/_xlfn.XLOOKUP(A57,'00_SKU_Master'!$B$2:$B$378,'00_SKU_Master'!$O:$O,0),"")</f>
        <v>#VALUE!</v>
      </c>
      <c r="O57" s="112" t="e">
        <f ca="1">_xludf.IFNA(_xlfn.XLOOKUP($A59,'00_SKU_Master'!$B$2:$B$378,'00_SKU_Master'!$F$2:$F$378,0)*G59/_xlfn.XLOOKUP($A59,'00_SKU_Master'!$B$2:$B$378,'00_SKU_Master'!$O:$O,0),"")</f>
        <v>#NAME?</v>
      </c>
      <c r="P57" s="112" t="e">
        <f ca="1">_xludf.IFNA(_xlfn.XLOOKUP($A59,'00_SKU_Master'!$B$2:$B$378,'00_SKU_Master'!$F$2:$F$378,0)*H59/_xlfn.XLOOKUP($A59,'00_SKU_Master'!$B$2:$B$378,'00_SKU_Master'!$O:$O,0),"")</f>
        <v>#NAME?</v>
      </c>
      <c r="Q57" s="112" t="e">
        <f ca="1">_xludf.IFNA(_xlfn.XLOOKUP($A59,'00_SKU_Master'!$B$2:$B$378,'00_SKU_Master'!$F$2:$F$378,0)*I59/_xlfn.XLOOKUP($A59,'00_SKU_Master'!$B$2:$B$378,'00_SKU_Master'!$O:$O,0),"")</f>
        <v>#NAME?</v>
      </c>
      <c r="R57" s="112" t="e">
        <f ca="1">_xludf.IFNA(_xlfn.XLOOKUP($A59,'00_SKU_Master'!$B$2:$B$378,'00_SKU_Master'!$F$2:$F$378,0)*J59/_xlfn.XLOOKUP($A59,'00_SKU_Master'!$B$2:$B$378,'00_SKU_Master'!$O:$O,0),"")</f>
        <v>#NAME?</v>
      </c>
      <c r="S57" s="112" t="e">
        <f ca="1">_xludf.IFNA(_xlfn.XLOOKUP($A59,'00_SKU_Master'!$B$2:$B$378,'00_SKU_Master'!$F$2:$F$378,0)*K59/_xlfn.XLOOKUP($A59,'00_SKU_Master'!$B$2:$B$378,'00_SKU_Master'!$O:$O,0),"")</f>
        <v>#NAME?</v>
      </c>
      <c r="T57" s="113" t="e">
        <f t="shared" si="0"/>
        <v>#VALUE!</v>
      </c>
      <c r="U57" s="114" t="str">
        <f>'05_Daily_Orders'!L57</f>
        <v>SOB</v>
      </c>
    </row>
    <row r="58" spans="1:21">
      <c r="A58" s="108">
        <f>'05_Daily_Orders'!B58</f>
        <v>2091</v>
      </c>
      <c r="B58" s="50">
        <v>0</v>
      </c>
      <c r="C58" s="50">
        <v>0</v>
      </c>
      <c r="D58" s="109"/>
      <c r="E58" s="109"/>
      <c r="F58">
        <v>0</v>
      </c>
      <c r="L58" s="110">
        <f t="shared" si="1"/>
        <v>0</v>
      </c>
      <c r="M58" s="111">
        <f>_xlfn.IFNA(_xlfn.XLOOKUP(A58,'00_SKU_Master'!$B$2:$B$378,'00_SKU_Master'!$C$2:$C$378,0),"")</f>
        <v>61061</v>
      </c>
      <c r="N58" s="112" t="e">
        <f>_xlfn.IFNA(_xlfn.XLOOKUP(A58,'00_SKU_Master'!$B$2:$B$378,'00_SKU_Master'!$F$2:$F$378,0)*F58/_xlfn.XLOOKUP(A58,'00_SKU_Master'!$B$2:$B$378,'00_SKU_Master'!$O:$O,0),"")</f>
        <v>#VALUE!</v>
      </c>
      <c r="O58" s="112" t="e">
        <f ca="1">_xludf.IFNA(_xlfn.XLOOKUP($A60,'00_SKU_Master'!$B$2:$B$378,'00_SKU_Master'!$F$2:$F$378,0)*G60/_xlfn.XLOOKUP($A60,'00_SKU_Master'!$B$2:$B$378,'00_SKU_Master'!$O:$O,0),"")</f>
        <v>#NAME?</v>
      </c>
      <c r="P58" s="112" t="e">
        <f ca="1">_xludf.IFNA(_xlfn.XLOOKUP($A60,'00_SKU_Master'!$B$2:$B$378,'00_SKU_Master'!$F$2:$F$378,0)*H60/_xlfn.XLOOKUP($A60,'00_SKU_Master'!$B$2:$B$378,'00_SKU_Master'!$O:$O,0),"")</f>
        <v>#NAME?</v>
      </c>
      <c r="Q58" s="112" t="e">
        <f ca="1">_xludf.IFNA(_xlfn.XLOOKUP($A60,'00_SKU_Master'!$B$2:$B$378,'00_SKU_Master'!$F$2:$F$378,0)*I60/_xlfn.XLOOKUP($A60,'00_SKU_Master'!$B$2:$B$378,'00_SKU_Master'!$O:$O,0),"")</f>
        <v>#NAME?</v>
      </c>
      <c r="R58" s="112" t="e">
        <f ca="1">_xludf.IFNA(_xlfn.XLOOKUP($A60,'00_SKU_Master'!$B$2:$B$378,'00_SKU_Master'!$F$2:$F$378,0)*J60/_xlfn.XLOOKUP($A60,'00_SKU_Master'!$B$2:$B$378,'00_SKU_Master'!$O:$O,0),"")</f>
        <v>#NAME?</v>
      </c>
      <c r="S58" s="112" t="e">
        <f ca="1">_xludf.IFNA(_xlfn.XLOOKUP($A60,'00_SKU_Master'!$B$2:$B$378,'00_SKU_Master'!$F$2:$F$378,0)*K60/_xlfn.XLOOKUP($A60,'00_SKU_Master'!$B$2:$B$378,'00_SKU_Master'!$O:$O,0),"")</f>
        <v>#NAME?</v>
      </c>
      <c r="T58" s="113" t="e">
        <f t="shared" si="0"/>
        <v>#VALUE!</v>
      </c>
      <c r="U58" s="114" t="str">
        <f>'05_Daily_Orders'!L58</f>
        <v>SOB</v>
      </c>
    </row>
    <row r="59" spans="1:21">
      <c r="A59" s="108">
        <f>'05_Daily_Orders'!B59</f>
        <v>2092</v>
      </c>
      <c r="B59" s="50">
        <v>0</v>
      </c>
      <c r="C59" s="50">
        <v>0</v>
      </c>
      <c r="D59" s="109"/>
      <c r="E59" s="109"/>
      <c r="F59">
        <v>0</v>
      </c>
      <c r="L59" s="110">
        <f t="shared" si="1"/>
        <v>0</v>
      </c>
      <c r="M59" s="111">
        <f>_xlfn.IFNA(_xlfn.XLOOKUP(A59,'00_SKU_Master'!$B$2:$B$378,'00_SKU_Master'!$C$2:$C$378,0),"")</f>
        <v>61072</v>
      </c>
      <c r="N59" s="112" t="e">
        <f>_xlfn.IFNA(_xlfn.XLOOKUP(A59,'00_SKU_Master'!$B$2:$B$378,'00_SKU_Master'!$F$2:$F$378,0)*F59/_xlfn.XLOOKUP(A59,'00_SKU_Master'!$B$2:$B$378,'00_SKU_Master'!$O:$O,0),"")</f>
        <v>#VALUE!</v>
      </c>
      <c r="O59" s="112" t="e">
        <f ca="1">_xludf.IFNA(_xlfn.XLOOKUP($A61,'00_SKU_Master'!$B$2:$B$378,'00_SKU_Master'!$F$2:$F$378,0)*G61/_xlfn.XLOOKUP($A61,'00_SKU_Master'!$B$2:$B$378,'00_SKU_Master'!$O:$O,0),"")</f>
        <v>#NAME?</v>
      </c>
      <c r="P59" s="112" t="e">
        <f ca="1">_xludf.IFNA(_xlfn.XLOOKUP($A61,'00_SKU_Master'!$B$2:$B$378,'00_SKU_Master'!$F$2:$F$378,0)*H61/_xlfn.XLOOKUP($A61,'00_SKU_Master'!$B$2:$B$378,'00_SKU_Master'!$O:$O,0),"")</f>
        <v>#NAME?</v>
      </c>
      <c r="Q59" s="112" t="e">
        <f ca="1">_xludf.IFNA(_xlfn.XLOOKUP($A61,'00_SKU_Master'!$B$2:$B$378,'00_SKU_Master'!$F$2:$F$378,0)*I61/_xlfn.XLOOKUP($A61,'00_SKU_Master'!$B$2:$B$378,'00_SKU_Master'!$O:$O,0),"")</f>
        <v>#NAME?</v>
      </c>
      <c r="R59" s="112" t="e">
        <f ca="1">_xludf.IFNA(_xlfn.XLOOKUP($A61,'00_SKU_Master'!$B$2:$B$378,'00_SKU_Master'!$F$2:$F$378,0)*J61/_xlfn.XLOOKUP($A61,'00_SKU_Master'!$B$2:$B$378,'00_SKU_Master'!$O:$O,0),"")</f>
        <v>#NAME?</v>
      </c>
      <c r="S59" s="112" t="e">
        <f ca="1">_xludf.IFNA(_xlfn.XLOOKUP($A61,'00_SKU_Master'!$B$2:$B$378,'00_SKU_Master'!$F$2:$F$378,0)*K61/_xlfn.XLOOKUP($A61,'00_SKU_Master'!$B$2:$B$378,'00_SKU_Master'!$O:$O,0),"")</f>
        <v>#NAME?</v>
      </c>
      <c r="T59" s="113" t="e">
        <f t="shared" si="0"/>
        <v>#VALUE!</v>
      </c>
      <c r="U59" s="114" t="str">
        <f>'05_Daily_Orders'!L59</f>
        <v>SOB</v>
      </c>
    </row>
    <row r="60" spans="1:21">
      <c r="A60" s="108">
        <f>'05_Daily_Orders'!B60</f>
        <v>2093</v>
      </c>
      <c r="B60" s="50">
        <v>0</v>
      </c>
      <c r="C60" s="50">
        <v>0</v>
      </c>
      <c r="D60" s="109"/>
      <c r="E60" s="109"/>
      <c r="F60">
        <v>0</v>
      </c>
      <c r="L60" s="110">
        <f t="shared" si="1"/>
        <v>0</v>
      </c>
      <c r="M60" s="111">
        <f>_xlfn.IFNA(_xlfn.XLOOKUP(A60,'00_SKU_Master'!$B$2:$B$378,'00_SKU_Master'!$C$2:$C$378,0),"")</f>
        <v>61072</v>
      </c>
      <c r="N60" s="112" t="e">
        <f>_xlfn.IFNA(_xlfn.XLOOKUP(A60,'00_SKU_Master'!$B$2:$B$378,'00_SKU_Master'!$F$2:$F$378,0)*F60/_xlfn.XLOOKUP(A60,'00_SKU_Master'!$B$2:$B$378,'00_SKU_Master'!$O:$O,0),"")</f>
        <v>#VALUE!</v>
      </c>
      <c r="O60" s="112" t="e">
        <f ca="1">_xludf.IFNA(_xlfn.XLOOKUP($A62,'00_SKU_Master'!$B$2:$B$378,'00_SKU_Master'!$F$2:$F$378,0)*G62/_xlfn.XLOOKUP($A62,'00_SKU_Master'!$B$2:$B$378,'00_SKU_Master'!$O:$O,0),"")</f>
        <v>#NAME?</v>
      </c>
      <c r="P60" s="112" t="e">
        <f ca="1">_xludf.IFNA(_xlfn.XLOOKUP($A62,'00_SKU_Master'!$B$2:$B$378,'00_SKU_Master'!$F$2:$F$378,0)*H62/_xlfn.XLOOKUP($A62,'00_SKU_Master'!$B$2:$B$378,'00_SKU_Master'!$O:$O,0),"")</f>
        <v>#NAME?</v>
      </c>
      <c r="Q60" s="112" t="e">
        <f ca="1">_xludf.IFNA(_xlfn.XLOOKUP($A62,'00_SKU_Master'!$B$2:$B$378,'00_SKU_Master'!$F$2:$F$378,0)*I62/_xlfn.XLOOKUP($A62,'00_SKU_Master'!$B$2:$B$378,'00_SKU_Master'!$O:$O,0),"")</f>
        <v>#NAME?</v>
      </c>
      <c r="R60" s="112" t="e">
        <f ca="1">_xludf.IFNA(_xlfn.XLOOKUP($A62,'00_SKU_Master'!$B$2:$B$378,'00_SKU_Master'!$F$2:$F$378,0)*J62/_xlfn.XLOOKUP($A62,'00_SKU_Master'!$B$2:$B$378,'00_SKU_Master'!$O:$O,0),"")</f>
        <v>#NAME?</v>
      </c>
      <c r="S60" s="112" t="e">
        <f ca="1">_xludf.IFNA(_xlfn.XLOOKUP($A62,'00_SKU_Master'!$B$2:$B$378,'00_SKU_Master'!$F$2:$F$378,0)*K62/_xlfn.XLOOKUP($A62,'00_SKU_Master'!$B$2:$B$378,'00_SKU_Master'!$O:$O,0),"")</f>
        <v>#NAME?</v>
      </c>
      <c r="T60" s="113" t="e">
        <f t="shared" si="0"/>
        <v>#VALUE!</v>
      </c>
      <c r="U60" s="114" t="str">
        <f>'05_Daily_Orders'!L60</f>
        <v>SOB</v>
      </c>
    </row>
    <row r="61" spans="1:21">
      <c r="A61" s="108">
        <f>'05_Daily_Orders'!B61</f>
        <v>2094</v>
      </c>
      <c r="B61" s="50">
        <v>0</v>
      </c>
      <c r="C61" s="50">
        <v>0</v>
      </c>
      <c r="D61" s="109"/>
      <c r="E61" s="109"/>
      <c r="F61">
        <v>0</v>
      </c>
      <c r="L61" s="110">
        <f t="shared" si="1"/>
        <v>0</v>
      </c>
      <c r="M61" s="111">
        <f>_xlfn.IFNA(_xlfn.XLOOKUP(A61,'00_SKU_Master'!$B$2:$B$378,'00_SKU_Master'!$C$2:$C$378,0),"")</f>
        <v>61077</v>
      </c>
      <c r="N61" s="112" t="e">
        <f>_xlfn.IFNA(_xlfn.XLOOKUP(A61,'00_SKU_Master'!$B$2:$B$378,'00_SKU_Master'!$F$2:$F$378,0)*F61/_xlfn.XLOOKUP(A61,'00_SKU_Master'!$B$2:$B$378,'00_SKU_Master'!$O:$O,0),"")</f>
        <v>#VALUE!</v>
      </c>
      <c r="O61" s="112" t="e">
        <f ca="1">_xludf.IFNA(_xlfn.XLOOKUP($A63,'00_SKU_Master'!$B$2:$B$378,'00_SKU_Master'!$F$2:$F$378,0)*G63/_xlfn.XLOOKUP($A63,'00_SKU_Master'!$B$2:$B$378,'00_SKU_Master'!$O:$O,0),"")</f>
        <v>#NAME?</v>
      </c>
      <c r="P61" s="112" t="e">
        <f ca="1">_xludf.IFNA(_xlfn.XLOOKUP($A63,'00_SKU_Master'!$B$2:$B$378,'00_SKU_Master'!$F$2:$F$378,0)*H63/_xlfn.XLOOKUP($A63,'00_SKU_Master'!$B$2:$B$378,'00_SKU_Master'!$O:$O,0),"")</f>
        <v>#NAME?</v>
      </c>
      <c r="Q61" s="112" t="e">
        <f ca="1">_xludf.IFNA(_xlfn.XLOOKUP($A63,'00_SKU_Master'!$B$2:$B$378,'00_SKU_Master'!$F$2:$F$378,0)*I63/_xlfn.XLOOKUP($A63,'00_SKU_Master'!$B$2:$B$378,'00_SKU_Master'!$O:$O,0),"")</f>
        <v>#NAME?</v>
      </c>
      <c r="R61" s="112" t="e">
        <f ca="1">_xludf.IFNA(_xlfn.XLOOKUP($A63,'00_SKU_Master'!$B$2:$B$378,'00_SKU_Master'!$F$2:$F$378,0)*J63/_xlfn.XLOOKUP($A63,'00_SKU_Master'!$B$2:$B$378,'00_SKU_Master'!$O:$O,0),"")</f>
        <v>#NAME?</v>
      </c>
      <c r="S61" s="112" t="e">
        <f ca="1">_xludf.IFNA(_xlfn.XLOOKUP($A63,'00_SKU_Master'!$B$2:$B$378,'00_SKU_Master'!$F$2:$F$378,0)*K63/_xlfn.XLOOKUP($A63,'00_SKU_Master'!$B$2:$B$378,'00_SKU_Master'!$O:$O,0),"")</f>
        <v>#NAME?</v>
      </c>
      <c r="T61" s="113" t="e">
        <f t="shared" si="0"/>
        <v>#VALUE!</v>
      </c>
      <c r="U61" s="114" t="str">
        <f>'05_Daily_Orders'!L61</f>
        <v>SOB</v>
      </c>
    </row>
    <row r="62" spans="1:21">
      <c r="A62" s="108">
        <f>'05_Daily_Orders'!B62</f>
        <v>2095</v>
      </c>
      <c r="B62" s="50">
        <v>0</v>
      </c>
      <c r="C62" s="50">
        <v>0</v>
      </c>
      <c r="D62" s="109"/>
      <c r="E62" s="109"/>
      <c r="F62">
        <v>0</v>
      </c>
      <c r="L62" s="110">
        <f t="shared" si="1"/>
        <v>0</v>
      </c>
      <c r="M62" s="111">
        <f>_xlfn.IFNA(_xlfn.XLOOKUP(A62,'00_SKU_Master'!$B$2:$B$378,'00_SKU_Master'!$C$2:$C$378,0),"")</f>
        <v>61077</v>
      </c>
      <c r="N62" s="112" t="e">
        <f>_xlfn.IFNA(_xlfn.XLOOKUP(A62,'00_SKU_Master'!$B$2:$B$378,'00_SKU_Master'!$F$2:$F$378,0)*F62/_xlfn.XLOOKUP(A62,'00_SKU_Master'!$B$2:$B$378,'00_SKU_Master'!$O:$O,0),"")</f>
        <v>#VALUE!</v>
      </c>
      <c r="O62" s="112" t="e">
        <f ca="1">_xludf.IFNA(_xlfn.XLOOKUP($A64,'00_SKU_Master'!$B$2:$B$378,'00_SKU_Master'!$F$2:$F$378,0)*G64/_xlfn.XLOOKUP($A64,'00_SKU_Master'!$B$2:$B$378,'00_SKU_Master'!$O:$O,0),"")</f>
        <v>#NAME?</v>
      </c>
      <c r="P62" s="112" t="e">
        <f ca="1">_xludf.IFNA(_xlfn.XLOOKUP($A64,'00_SKU_Master'!$B$2:$B$378,'00_SKU_Master'!$F$2:$F$378,0)*H64/_xlfn.XLOOKUP($A64,'00_SKU_Master'!$B$2:$B$378,'00_SKU_Master'!$O:$O,0),"")</f>
        <v>#NAME?</v>
      </c>
      <c r="Q62" s="112" t="e">
        <f ca="1">_xludf.IFNA(_xlfn.XLOOKUP($A64,'00_SKU_Master'!$B$2:$B$378,'00_SKU_Master'!$F$2:$F$378,0)*I64/_xlfn.XLOOKUP($A64,'00_SKU_Master'!$B$2:$B$378,'00_SKU_Master'!$O:$O,0),"")</f>
        <v>#NAME?</v>
      </c>
      <c r="R62" s="112" t="e">
        <f ca="1">_xludf.IFNA(_xlfn.XLOOKUP($A64,'00_SKU_Master'!$B$2:$B$378,'00_SKU_Master'!$F$2:$F$378,0)*J64/_xlfn.XLOOKUP($A64,'00_SKU_Master'!$B$2:$B$378,'00_SKU_Master'!$O:$O,0),"")</f>
        <v>#NAME?</v>
      </c>
      <c r="S62" s="112" t="e">
        <f ca="1">_xludf.IFNA(_xlfn.XLOOKUP($A64,'00_SKU_Master'!$B$2:$B$378,'00_SKU_Master'!$F$2:$F$378,0)*K64/_xlfn.XLOOKUP($A64,'00_SKU_Master'!$B$2:$B$378,'00_SKU_Master'!$O:$O,0),"")</f>
        <v>#NAME?</v>
      </c>
      <c r="T62" s="113" t="e">
        <f t="shared" si="0"/>
        <v>#VALUE!</v>
      </c>
      <c r="U62" s="114" t="str">
        <f>'05_Daily_Orders'!L62</f>
        <v>SOB</v>
      </c>
    </row>
    <row r="63" spans="1:21">
      <c r="A63" s="108">
        <f>'05_Daily_Orders'!B63</f>
        <v>2096</v>
      </c>
      <c r="B63" s="50">
        <v>0</v>
      </c>
      <c r="C63" s="50">
        <v>0</v>
      </c>
      <c r="D63" s="109"/>
      <c r="E63" s="109"/>
      <c r="F63">
        <v>0</v>
      </c>
      <c r="L63" s="110">
        <f t="shared" si="1"/>
        <v>0</v>
      </c>
      <c r="M63" s="111">
        <f>_xlfn.IFNA(_xlfn.XLOOKUP(A63,'00_SKU_Master'!$B$2:$B$378,'00_SKU_Master'!$C$2:$C$378,0),"")</f>
        <v>61086</v>
      </c>
      <c r="N63" s="112" t="e">
        <f>_xlfn.IFNA(_xlfn.XLOOKUP(A63,'00_SKU_Master'!$B$2:$B$378,'00_SKU_Master'!$F$2:$F$378,0)*F63/_xlfn.XLOOKUP(A63,'00_SKU_Master'!$B$2:$B$378,'00_SKU_Master'!$O:$O,0),"")</f>
        <v>#VALUE!</v>
      </c>
      <c r="O63" s="112" t="e">
        <f ca="1">_xludf.IFNA(_xlfn.XLOOKUP($A65,'00_SKU_Master'!$B$2:$B$378,'00_SKU_Master'!$F$2:$F$378,0)*G65/_xlfn.XLOOKUP($A65,'00_SKU_Master'!$B$2:$B$378,'00_SKU_Master'!$O:$O,0),"")</f>
        <v>#NAME?</v>
      </c>
      <c r="P63" s="112" t="e">
        <f ca="1">_xludf.IFNA(_xlfn.XLOOKUP($A65,'00_SKU_Master'!$B$2:$B$378,'00_SKU_Master'!$F$2:$F$378,0)*H65/_xlfn.XLOOKUP($A65,'00_SKU_Master'!$B$2:$B$378,'00_SKU_Master'!$O:$O,0),"")</f>
        <v>#NAME?</v>
      </c>
      <c r="Q63" s="112" t="e">
        <f ca="1">_xludf.IFNA(_xlfn.XLOOKUP($A65,'00_SKU_Master'!$B$2:$B$378,'00_SKU_Master'!$F$2:$F$378,0)*I65/_xlfn.XLOOKUP($A65,'00_SKU_Master'!$B$2:$B$378,'00_SKU_Master'!$O:$O,0),"")</f>
        <v>#NAME?</v>
      </c>
      <c r="R63" s="112" t="e">
        <f ca="1">_xludf.IFNA(_xlfn.XLOOKUP($A65,'00_SKU_Master'!$B$2:$B$378,'00_SKU_Master'!$F$2:$F$378,0)*J65/_xlfn.XLOOKUP($A65,'00_SKU_Master'!$B$2:$B$378,'00_SKU_Master'!$O:$O,0),"")</f>
        <v>#NAME?</v>
      </c>
      <c r="S63" s="112" t="e">
        <f ca="1">_xludf.IFNA(_xlfn.XLOOKUP($A65,'00_SKU_Master'!$B$2:$B$378,'00_SKU_Master'!$F$2:$F$378,0)*K65/_xlfn.XLOOKUP($A65,'00_SKU_Master'!$B$2:$B$378,'00_SKU_Master'!$O:$O,0),"")</f>
        <v>#NAME?</v>
      </c>
      <c r="T63" s="113" t="e">
        <f t="shared" si="0"/>
        <v>#VALUE!</v>
      </c>
      <c r="U63" s="114" t="str">
        <f>'05_Daily_Orders'!L63</f>
        <v>SOB</v>
      </c>
    </row>
    <row r="64" spans="1:21">
      <c r="A64" s="108">
        <f>'05_Daily_Orders'!B64</f>
        <v>2097</v>
      </c>
      <c r="B64" s="50">
        <v>0</v>
      </c>
      <c r="C64" s="50">
        <v>0</v>
      </c>
      <c r="D64" s="109"/>
      <c r="E64" s="109"/>
      <c r="F64">
        <v>0</v>
      </c>
      <c r="L64" s="110">
        <f t="shared" si="1"/>
        <v>0</v>
      </c>
      <c r="M64" s="111">
        <f>_xlfn.IFNA(_xlfn.XLOOKUP(A64,'00_SKU_Master'!$B$2:$B$378,'00_SKU_Master'!$C$2:$C$378,0),"")</f>
        <v>61086</v>
      </c>
      <c r="N64" s="112" t="e">
        <f>_xlfn.IFNA(_xlfn.XLOOKUP(A64,'00_SKU_Master'!$B$2:$B$378,'00_SKU_Master'!$F$2:$F$378,0)*F64/_xlfn.XLOOKUP(A64,'00_SKU_Master'!$B$2:$B$378,'00_SKU_Master'!$O:$O,0),"")</f>
        <v>#VALUE!</v>
      </c>
      <c r="O64" s="112" t="e">
        <f ca="1">_xludf.IFNA(_xlfn.XLOOKUP($A66,'00_SKU_Master'!$B$2:$B$378,'00_SKU_Master'!$F$2:$F$378,0)*G66/_xlfn.XLOOKUP($A66,'00_SKU_Master'!$B$2:$B$378,'00_SKU_Master'!$O:$O,0),"")</f>
        <v>#NAME?</v>
      </c>
      <c r="P64" s="112" t="e">
        <f ca="1">_xludf.IFNA(_xlfn.XLOOKUP($A66,'00_SKU_Master'!$B$2:$B$378,'00_SKU_Master'!$F$2:$F$378,0)*H66/_xlfn.XLOOKUP($A66,'00_SKU_Master'!$B$2:$B$378,'00_SKU_Master'!$O:$O,0),"")</f>
        <v>#NAME?</v>
      </c>
      <c r="Q64" s="112" t="e">
        <f ca="1">_xludf.IFNA(_xlfn.XLOOKUP($A66,'00_SKU_Master'!$B$2:$B$378,'00_SKU_Master'!$F$2:$F$378,0)*I66/_xlfn.XLOOKUP($A66,'00_SKU_Master'!$B$2:$B$378,'00_SKU_Master'!$O:$O,0),"")</f>
        <v>#NAME?</v>
      </c>
      <c r="R64" s="112" t="e">
        <f ca="1">_xludf.IFNA(_xlfn.XLOOKUP($A66,'00_SKU_Master'!$B$2:$B$378,'00_SKU_Master'!$F$2:$F$378,0)*J66/_xlfn.XLOOKUP($A66,'00_SKU_Master'!$B$2:$B$378,'00_SKU_Master'!$O:$O,0),"")</f>
        <v>#NAME?</v>
      </c>
      <c r="S64" s="112" t="e">
        <f ca="1">_xludf.IFNA(_xlfn.XLOOKUP($A66,'00_SKU_Master'!$B$2:$B$378,'00_SKU_Master'!$F$2:$F$378,0)*K66/_xlfn.XLOOKUP($A66,'00_SKU_Master'!$B$2:$B$378,'00_SKU_Master'!$O:$O,0),"")</f>
        <v>#NAME?</v>
      </c>
      <c r="T64" s="113" t="e">
        <f t="shared" si="0"/>
        <v>#VALUE!</v>
      </c>
      <c r="U64" s="114" t="str">
        <f>'05_Daily_Orders'!L64</f>
        <v>SOB</v>
      </c>
    </row>
    <row r="65" spans="1:21">
      <c r="A65" s="108">
        <f>'05_Daily_Orders'!B65</f>
        <v>2098</v>
      </c>
      <c r="B65" s="50">
        <v>0</v>
      </c>
      <c r="C65" s="50">
        <v>0</v>
      </c>
      <c r="D65" s="109"/>
      <c r="E65" s="109"/>
      <c r="F65">
        <v>0</v>
      </c>
      <c r="L65" s="110">
        <f t="shared" si="1"/>
        <v>0</v>
      </c>
      <c r="M65" s="111">
        <f>_xlfn.IFNA(_xlfn.XLOOKUP(A65,'00_SKU_Master'!$B$2:$B$378,'00_SKU_Master'!$C$2:$C$378,0),"")</f>
        <v>61014</v>
      </c>
      <c r="N65" s="112" t="e">
        <f>_xlfn.IFNA(_xlfn.XLOOKUP(A65,'00_SKU_Master'!$B$2:$B$378,'00_SKU_Master'!$F$2:$F$378,0)*F65/_xlfn.XLOOKUP(A65,'00_SKU_Master'!$B$2:$B$378,'00_SKU_Master'!$O:$O,0),"")</f>
        <v>#VALUE!</v>
      </c>
      <c r="O65" s="112" t="e">
        <f ca="1">_xludf.IFNA(_xlfn.XLOOKUP($A67,'00_SKU_Master'!$B$2:$B$378,'00_SKU_Master'!$F$2:$F$378,0)*G67/_xlfn.XLOOKUP($A67,'00_SKU_Master'!$B$2:$B$378,'00_SKU_Master'!$O:$O,0),"")</f>
        <v>#NAME?</v>
      </c>
      <c r="P65" s="112" t="e">
        <f ca="1">_xludf.IFNA(_xlfn.XLOOKUP($A67,'00_SKU_Master'!$B$2:$B$378,'00_SKU_Master'!$F$2:$F$378,0)*H67/_xlfn.XLOOKUP($A67,'00_SKU_Master'!$B$2:$B$378,'00_SKU_Master'!$O:$O,0),"")</f>
        <v>#NAME?</v>
      </c>
      <c r="Q65" s="112" t="e">
        <f ca="1">_xludf.IFNA(_xlfn.XLOOKUP($A67,'00_SKU_Master'!$B$2:$B$378,'00_SKU_Master'!$F$2:$F$378,0)*I67/_xlfn.XLOOKUP($A67,'00_SKU_Master'!$B$2:$B$378,'00_SKU_Master'!$O:$O,0),"")</f>
        <v>#NAME?</v>
      </c>
      <c r="R65" s="112" t="e">
        <f ca="1">_xludf.IFNA(_xlfn.XLOOKUP($A67,'00_SKU_Master'!$B$2:$B$378,'00_SKU_Master'!$F$2:$F$378,0)*J67/_xlfn.XLOOKUP($A67,'00_SKU_Master'!$B$2:$B$378,'00_SKU_Master'!$O:$O,0),"")</f>
        <v>#NAME?</v>
      </c>
      <c r="S65" s="112" t="e">
        <f ca="1">_xludf.IFNA(_xlfn.XLOOKUP($A67,'00_SKU_Master'!$B$2:$B$378,'00_SKU_Master'!$F$2:$F$378,0)*K67/_xlfn.XLOOKUP($A67,'00_SKU_Master'!$B$2:$B$378,'00_SKU_Master'!$O:$O,0),"")</f>
        <v>#NAME?</v>
      </c>
      <c r="T65" s="113" t="e">
        <f t="shared" si="0"/>
        <v>#VALUE!</v>
      </c>
      <c r="U65" s="114" t="str">
        <f>'05_Daily_Orders'!L65</f>
        <v>SOB</v>
      </c>
    </row>
    <row r="66" spans="1:21">
      <c r="A66" s="108">
        <f>'05_Daily_Orders'!B66</f>
        <v>2099</v>
      </c>
      <c r="B66" s="50">
        <v>0</v>
      </c>
      <c r="C66" s="50">
        <v>0</v>
      </c>
      <c r="D66" s="109"/>
      <c r="E66" s="109"/>
      <c r="F66">
        <v>0</v>
      </c>
      <c r="L66" s="110">
        <f t="shared" si="1"/>
        <v>0</v>
      </c>
      <c r="M66" s="111">
        <f>_xlfn.IFNA(_xlfn.XLOOKUP(A66,'00_SKU_Master'!$B$2:$B$378,'00_SKU_Master'!$C$2:$C$378,0),"")</f>
        <v>61014</v>
      </c>
      <c r="N66" s="112" t="e">
        <f>_xlfn.IFNA(_xlfn.XLOOKUP(A66,'00_SKU_Master'!$B$2:$B$378,'00_SKU_Master'!$F$2:$F$378,0)*F66/_xlfn.XLOOKUP(A66,'00_SKU_Master'!$B$2:$B$378,'00_SKU_Master'!$O:$O,0),"")</f>
        <v>#VALUE!</v>
      </c>
      <c r="O66" s="112" t="e">
        <f ca="1">_xludf.IFNA(_xlfn.XLOOKUP($A68,'00_SKU_Master'!$B$2:$B$378,'00_SKU_Master'!$F$2:$F$378,0)*G68/_xlfn.XLOOKUP($A68,'00_SKU_Master'!$B$2:$B$378,'00_SKU_Master'!$O:$O,0),"")</f>
        <v>#NAME?</v>
      </c>
      <c r="P66" s="112" t="e">
        <f ca="1">_xludf.IFNA(_xlfn.XLOOKUP($A68,'00_SKU_Master'!$B$2:$B$378,'00_SKU_Master'!$F$2:$F$378,0)*H68/_xlfn.XLOOKUP($A68,'00_SKU_Master'!$B$2:$B$378,'00_SKU_Master'!$O:$O,0),"")</f>
        <v>#NAME?</v>
      </c>
      <c r="Q66" s="112" t="e">
        <f ca="1">_xludf.IFNA(_xlfn.XLOOKUP($A68,'00_SKU_Master'!$B$2:$B$378,'00_SKU_Master'!$F$2:$F$378,0)*I68/_xlfn.XLOOKUP($A68,'00_SKU_Master'!$B$2:$B$378,'00_SKU_Master'!$O:$O,0),"")</f>
        <v>#NAME?</v>
      </c>
      <c r="R66" s="112" t="e">
        <f ca="1">_xludf.IFNA(_xlfn.XLOOKUP($A68,'00_SKU_Master'!$B$2:$B$378,'00_SKU_Master'!$F$2:$F$378,0)*J68/_xlfn.XLOOKUP($A68,'00_SKU_Master'!$B$2:$B$378,'00_SKU_Master'!$O:$O,0),"")</f>
        <v>#NAME?</v>
      </c>
      <c r="S66" s="112" t="e">
        <f ca="1">_xludf.IFNA(_xlfn.XLOOKUP($A68,'00_SKU_Master'!$B$2:$B$378,'00_SKU_Master'!$F$2:$F$378,0)*K68/_xlfn.XLOOKUP($A68,'00_SKU_Master'!$B$2:$B$378,'00_SKU_Master'!$O:$O,0),"")</f>
        <v>#NAME?</v>
      </c>
      <c r="T66" s="113" t="e">
        <f t="shared" ref="T66:T129" si="2">SUM(N68:S68)</f>
        <v>#VALUE!</v>
      </c>
      <c r="U66" s="114" t="str">
        <f>'05_Daily_Orders'!L66</f>
        <v>SOB</v>
      </c>
    </row>
    <row r="67" spans="1:21">
      <c r="A67" s="108">
        <f>'05_Daily_Orders'!B67</f>
        <v>2102</v>
      </c>
      <c r="B67" s="50">
        <v>0</v>
      </c>
      <c r="C67" s="50">
        <v>0</v>
      </c>
      <c r="D67" s="109"/>
      <c r="E67" s="109"/>
      <c r="F67">
        <v>0</v>
      </c>
      <c r="L67" s="110">
        <f t="shared" ref="L67:L130" si="3">IF($E$1="n",0,(SUM(F67:K67)-B67))</f>
        <v>0</v>
      </c>
      <c r="M67" s="111" t="str">
        <f>_xlfn.IFNA(_xlfn.XLOOKUP(A67,'00_SKU_Master'!$B$2:$B$378,'00_SKU_Master'!$C$2:$C$378,0),"")</f>
        <v>61077F</v>
      </c>
      <c r="N67" s="112" t="e">
        <f>_xlfn.IFNA(_xlfn.XLOOKUP(A67,'00_SKU_Master'!$B$2:$B$378,'00_SKU_Master'!$F$2:$F$378,0)*F67/_xlfn.XLOOKUP(A67,'00_SKU_Master'!$B$2:$B$378,'00_SKU_Master'!$O:$O,0),"")</f>
        <v>#VALUE!</v>
      </c>
      <c r="O67" s="112" t="e">
        <f ca="1">_xludf.IFNA(_xlfn.XLOOKUP($A69,'00_SKU_Master'!$B$2:$B$378,'00_SKU_Master'!$F$2:$F$378,0)*G69/_xlfn.XLOOKUP($A69,'00_SKU_Master'!$B$2:$B$378,'00_SKU_Master'!$O:$O,0),"")</f>
        <v>#NAME?</v>
      </c>
      <c r="P67" s="112" t="e">
        <f ca="1">_xludf.IFNA(_xlfn.XLOOKUP($A69,'00_SKU_Master'!$B$2:$B$378,'00_SKU_Master'!$F$2:$F$378,0)*H69/_xlfn.XLOOKUP($A69,'00_SKU_Master'!$B$2:$B$378,'00_SKU_Master'!$O:$O,0),"")</f>
        <v>#NAME?</v>
      </c>
      <c r="Q67" s="112" t="e">
        <f ca="1">_xludf.IFNA(_xlfn.XLOOKUP($A69,'00_SKU_Master'!$B$2:$B$378,'00_SKU_Master'!$F$2:$F$378,0)*I69/_xlfn.XLOOKUP($A69,'00_SKU_Master'!$B$2:$B$378,'00_SKU_Master'!$O:$O,0),"")</f>
        <v>#NAME?</v>
      </c>
      <c r="R67" s="112" t="e">
        <f ca="1">_xludf.IFNA(_xlfn.XLOOKUP($A69,'00_SKU_Master'!$B$2:$B$378,'00_SKU_Master'!$F$2:$F$378,0)*J69/_xlfn.XLOOKUP($A69,'00_SKU_Master'!$B$2:$B$378,'00_SKU_Master'!$O:$O,0),"")</f>
        <v>#NAME?</v>
      </c>
      <c r="S67" s="112" t="e">
        <f ca="1">_xludf.IFNA(_xlfn.XLOOKUP($A69,'00_SKU_Master'!$B$2:$B$378,'00_SKU_Master'!$F$2:$F$378,0)*K69/_xlfn.XLOOKUP($A69,'00_SKU_Master'!$B$2:$B$378,'00_SKU_Master'!$O:$O,0),"")</f>
        <v>#NAME?</v>
      </c>
      <c r="T67" s="113" t="e">
        <f t="shared" si="2"/>
        <v>#VALUE!</v>
      </c>
      <c r="U67" s="114" t="str">
        <f>'05_Daily_Orders'!L67</f>
        <v>FB</v>
      </c>
    </row>
    <row r="68" spans="1:21">
      <c r="A68" s="108">
        <f>'05_Daily_Orders'!B68</f>
        <v>2121</v>
      </c>
      <c r="B68" s="50">
        <v>0</v>
      </c>
      <c r="C68" s="50">
        <v>0</v>
      </c>
      <c r="D68" s="109"/>
      <c r="E68" s="109"/>
      <c r="F68">
        <v>0</v>
      </c>
      <c r="L68" s="110">
        <f t="shared" si="3"/>
        <v>0</v>
      </c>
      <c r="M68" s="111">
        <f>_xlfn.IFNA(_xlfn.XLOOKUP(A68,'00_SKU_Master'!$B$2:$B$378,'00_SKU_Master'!$C$2:$C$378,0),"")</f>
        <v>203021</v>
      </c>
      <c r="N68" s="112" t="e">
        <f>_xlfn.IFNA(_xlfn.XLOOKUP(A68,'00_SKU_Master'!$B$2:$B$378,'00_SKU_Master'!$F$2:$F$378,0)*F68/_xlfn.XLOOKUP(A68,'00_SKU_Master'!$B$2:$B$378,'00_SKU_Master'!$O:$O,0),"")</f>
        <v>#VALUE!</v>
      </c>
      <c r="O68" s="112" t="e">
        <f ca="1">_xludf.IFNA(_xlfn.XLOOKUP($A70,'00_SKU_Master'!$B$2:$B$378,'00_SKU_Master'!$F$2:$F$378,0)*G70/_xlfn.XLOOKUP($A70,'00_SKU_Master'!$B$2:$B$378,'00_SKU_Master'!$O:$O,0),"")</f>
        <v>#NAME?</v>
      </c>
      <c r="P68" s="112" t="e">
        <f ca="1">_xludf.IFNA(_xlfn.XLOOKUP($A70,'00_SKU_Master'!$B$2:$B$378,'00_SKU_Master'!$F$2:$F$378,0)*H70/_xlfn.XLOOKUP($A70,'00_SKU_Master'!$B$2:$B$378,'00_SKU_Master'!$O:$O,0),"")</f>
        <v>#NAME?</v>
      </c>
      <c r="Q68" s="112" t="e">
        <f ca="1">_xludf.IFNA(_xlfn.XLOOKUP($A70,'00_SKU_Master'!$B$2:$B$378,'00_SKU_Master'!$F$2:$F$378,0)*I70/_xlfn.XLOOKUP($A70,'00_SKU_Master'!$B$2:$B$378,'00_SKU_Master'!$O:$O,0),"")</f>
        <v>#NAME?</v>
      </c>
      <c r="R68" s="112" t="e">
        <f ca="1">_xludf.IFNA(_xlfn.XLOOKUP($A70,'00_SKU_Master'!$B$2:$B$378,'00_SKU_Master'!$F$2:$F$378,0)*J70/_xlfn.XLOOKUP($A70,'00_SKU_Master'!$B$2:$B$378,'00_SKU_Master'!$O:$O,0),"")</f>
        <v>#NAME?</v>
      </c>
      <c r="S68" s="112" t="e">
        <f ca="1">_xludf.IFNA(_xlfn.XLOOKUP($A70,'00_SKU_Master'!$B$2:$B$378,'00_SKU_Master'!$F$2:$F$378,0)*K70/_xlfn.XLOOKUP($A70,'00_SKU_Master'!$B$2:$B$378,'00_SKU_Master'!$O:$O,0),"")</f>
        <v>#NAME?</v>
      </c>
      <c r="T68" s="113" t="e">
        <f t="shared" si="2"/>
        <v>#VALUE!</v>
      </c>
      <c r="U68" s="114" t="str">
        <f>'05_Daily_Orders'!L68</f>
        <v>FB</v>
      </c>
    </row>
    <row r="69" spans="1:21">
      <c r="A69" s="108">
        <f>'05_Daily_Orders'!B69</f>
        <v>2124</v>
      </c>
      <c r="B69" s="50">
        <v>0</v>
      </c>
      <c r="C69" s="50">
        <v>0</v>
      </c>
      <c r="D69" s="109"/>
      <c r="E69" s="109"/>
      <c r="F69">
        <v>0</v>
      </c>
      <c r="L69" s="110">
        <f t="shared" si="3"/>
        <v>0</v>
      </c>
      <c r="M69" s="111" t="str">
        <f>_xlfn.IFNA(_xlfn.XLOOKUP(A69,'00_SKU_Master'!$B$2:$B$378,'00_SKU_Master'!$C$2:$C$378,0),"")</f>
        <v>61072#2</v>
      </c>
      <c r="N69" s="112" t="e">
        <f>_xlfn.IFNA(_xlfn.XLOOKUP(A69,'00_SKU_Master'!$B$2:$B$378,'00_SKU_Master'!$F$2:$F$378,0)*F69/_xlfn.XLOOKUP(A69,'00_SKU_Master'!$B$2:$B$378,'00_SKU_Master'!$O:$O,0),"")</f>
        <v>#VALUE!</v>
      </c>
      <c r="O69" s="112" t="e">
        <f ca="1">_xludf.IFNA(_xlfn.XLOOKUP($A71,'00_SKU_Master'!$B$2:$B$378,'00_SKU_Master'!$F$2:$F$378,0)*G71/_xlfn.XLOOKUP($A71,'00_SKU_Master'!$B$2:$B$378,'00_SKU_Master'!$O:$O,0),"")</f>
        <v>#NAME?</v>
      </c>
      <c r="P69" s="112" t="e">
        <f ca="1">_xludf.IFNA(_xlfn.XLOOKUP($A71,'00_SKU_Master'!$B$2:$B$378,'00_SKU_Master'!$F$2:$F$378,0)*H71/_xlfn.XLOOKUP($A71,'00_SKU_Master'!$B$2:$B$378,'00_SKU_Master'!$O:$O,0),"")</f>
        <v>#NAME?</v>
      </c>
      <c r="Q69" s="112" t="e">
        <f ca="1">_xludf.IFNA(_xlfn.XLOOKUP($A71,'00_SKU_Master'!$B$2:$B$378,'00_SKU_Master'!$F$2:$F$378,0)*I71/_xlfn.XLOOKUP($A71,'00_SKU_Master'!$B$2:$B$378,'00_SKU_Master'!$O:$O,0),"")</f>
        <v>#NAME?</v>
      </c>
      <c r="R69" s="112" t="e">
        <f ca="1">_xludf.IFNA(_xlfn.XLOOKUP($A71,'00_SKU_Master'!$B$2:$B$378,'00_SKU_Master'!$F$2:$F$378,0)*J71/_xlfn.XLOOKUP($A71,'00_SKU_Master'!$B$2:$B$378,'00_SKU_Master'!$O:$O,0),"")</f>
        <v>#NAME?</v>
      </c>
      <c r="S69" s="112" t="e">
        <f ca="1">_xludf.IFNA(_xlfn.XLOOKUP($A71,'00_SKU_Master'!$B$2:$B$378,'00_SKU_Master'!$F$2:$F$378,0)*K71/_xlfn.XLOOKUP($A71,'00_SKU_Master'!$B$2:$B$378,'00_SKU_Master'!$O:$O,0),"")</f>
        <v>#NAME?</v>
      </c>
      <c r="T69" s="113" t="e">
        <f t="shared" si="2"/>
        <v>#VALUE!</v>
      </c>
      <c r="U69" s="114" t="str">
        <f>'05_Daily_Orders'!L69</f>
        <v>FB</v>
      </c>
    </row>
    <row r="70" spans="1:21">
      <c r="A70" s="108">
        <f>'05_Daily_Orders'!B70</f>
        <v>2125</v>
      </c>
      <c r="B70" s="50">
        <v>0</v>
      </c>
      <c r="C70" s="50">
        <v>0</v>
      </c>
      <c r="D70" s="109"/>
      <c r="E70" s="109"/>
      <c r="F70">
        <v>0</v>
      </c>
      <c r="L70" s="110">
        <f t="shared" si="3"/>
        <v>0</v>
      </c>
      <c r="M70" s="111">
        <f>_xlfn.IFNA(_xlfn.XLOOKUP(A70,'00_SKU_Master'!$B$2:$B$378,'00_SKU_Master'!$C$2:$C$378,0),"")</f>
        <v>61082</v>
      </c>
      <c r="N70" s="112" t="e">
        <f>_xlfn.IFNA(_xlfn.XLOOKUP(A70,'00_SKU_Master'!$B$2:$B$378,'00_SKU_Master'!$F$2:$F$378,0)*F70/_xlfn.XLOOKUP(A70,'00_SKU_Master'!$B$2:$B$378,'00_SKU_Master'!$O:$O,0),"")</f>
        <v>#VALUE!</v>
      </c>
      <c r="O70" s="112" t="e">
        <f ca="1">_xludf.IFNA(_xlfn.XLOOKUP($A72,'00_SKU_Master'!$B$2:$B$378,'00_SKU_Master'!$F$2:$F$378,0)*G72/_xlfn.XLOOKUP($A72,'00_SKU_Master'!$B$2:$B$378,'00_SKU_Master'!$O:$O,0),"")</f>
        <v>#NAME?</v>
      </c>
      <c r="P70" s="112" t="e">
        <f ca="1">_xludf.IFNA(_xlfn.XLOOKUP($A72,'00_SKU_Master'!$B$2:$B$378,'00_SKU_Master'!$F$2:$F$378,0)*H72/_xlfn.XLOOKUP($A72,'00_SKU_Master'!$B$2:$B$378,'00_SKU_Master'!$O:$O,0),"")</f>
        <v>#NAME?</v>
      </c>
      <c r="Q70" s="112" t="e">
        <f ca="1">_xludf.IFNA(_xlfn.XLOOKUP($A72,'00_SKU_Master'!$B$2:$B$378,'00_SKU_Master'!$F$2:$F$378,0)*I72/_xlfn.XLOOKUP($A72,'00_SKU_Master'!$B$2:$B$378,'00_SKU_Master'!$O:$O,0),"")</f>
        <v>#NAME?</v>
      </c>
      <c r="R70" s="112" t="e">
        <f ca="1">_xludf.IFNA(_xlfn.XLOOKUP($A72,'00_SKU_Master'!$B$2:$B$378,'00_SKU_Master'!$F$2:$F$378,0)*J72/_xlfn.XLOOKUP($A72,'00_SKU_Master'!$B$2:$B$378,'00_SKU_Master'!$O:$O,0),"")</f>
        <v>#NAME?</v>
      </c>
      <c r="S70" s="112" t="e">
        <f ca="1">_xludf.IFNA(_xlfn.XLOOKUP($A72,'00_SKU_Master'!$B$2:$B$378,'00_SKU_Master'!$F$2:$F$378,0)*K72/_xlfn.XLOOKUP($A72,'00_SKU_Master'!$B$2:$B$378,'00_SKU_Master'!$O:$O,0),"")</f>
        <v>#NAME?</v>
      </c>
      <c r="T70" s="113" t="e">
        <f t="shared" si="2"/>
        <v>#VALUE!</v>
      </c>
      <c r="U70" s="114" t="str">
        <f>'05_Daily_Orders'!L70</f>
        <v>FB</v>
      </c>
    </row>
    <row r="71" spans="1:21">
      <c r="A71" s="108">
        <f>'05_Daily_Orders'!B71</f>
        <v>2237</v>
      </c>
      <c r="B71" s="50">
        <v>0</v>
      </c>
      <c r="C71" s="50">
        <v>0</v>
      </c>
      <c r="D71" s="109"/>
      <c r="E71" s="109"/>
      <c r="F71">
        <v>0</v>
      </c>
      <c r="L71" s="110">
        <f t="shared" si="3"/>
        <v>0</v>
      </c>
      <c r="M71" s="111" t="str">
        <f>_xlfn.IFNA(_xlfn.XLOOKUP(A71,'00_SKU_Master'!$B$2:$B$378,'00_SKU_Master'!$C$2:$C$378,0),"")</f>
        <v>61050#2</v>
      </c>
      <c r="N71" s="112" t="e">
        <f>_xlfn.IFNA(_xlfn.XLOOKUP(A71,'00_SKU_Master'!$B$2:$B$378,'00_SKU_Master'!$F$2:$F$378,0)*F71/_xlfn.XLOOKUP(A71,'00_SKU_Master'!$B$2:$B$378,'00_SKU_Master'!$O:$O,0),"")</f>
        <v>#VALUE!</v>
      </c>
      <c r="O71" s="112" t="e">
        <f ca="1">_xludf.IFNA(_xlfn.XLOOKUP($A73,'00_SKU_Master'!$B$2:$B$378,'00_SKU_Master'!$F$2:$F$378,0)*G73/_xlfn.XLOOKUP($A73,'00_SKU_Master'!$B$2:$B$378,'00_SKU_Master'!$O:$O,0),"")</f>
        <v>#NAME?</v>
      </c>
      <c r="P71" s="112" t="e">
        <f ca="1">_xludf.IFNA(_xlfn.XLOOKUP($A73,'00_SKU_Master'!$B$2:$B$378,'00_SKU_Master'!$F$2:$F$378,0)*H73/_xlfn.XLOOKUP($A73,'00_SKU_Master'!$B$2:$B$378,'00_SKU_Master'!$O:$O,0),"")</f>
        <v>#NAME?</v>
      </c>
      <c r="Q71" s="112" t="e">
        <f ca="1">_xludf.IFNA(_xlfn.XLOOKUP($A73,'00_SKU_Master'!$B$2:$B$378,'00_SKU_Master'!$F$2:$F$378,0)*I73/_xlfn.XLOOKUP($A73,'00_SKU_Master'!$B$2:$B$378,'00_SKU_Master'!$O:$O,0),"")</f>
        <v>#NAME?</v>
      </c>
      <c r="R71" s="112" t="e">
        <f ca="1">_xludf.IFNA(_xlfn.XLOOKUP($A73,'00_SKU_Master'!$B$2:$B$378,'00_SKU_Master'!$F$2:$F$378,0)*J73/_xlfn.XLOOKUP($A73,'00_SKU_Master'!$B$2:$B$378,'00_SKU_Master'!$O:$O,0),"")</f>
        <v>#NAME?</v>
      </c>
      <c r="S71" s="112" t="e">
        <f ca="1">_xludf.IFNA(_xlfn.XLOOKUP($A73,'00_SKU_Master'!$B$2:$B$378,'00_SKU_Master'!$F$2:$F$378,0)*K73/_xlfn.XLOOKUP($A73,'00_SKU_Master'!$B$2:$B$378,'00_SKU_Master'!$O:$O,0),"")</f>
        <v>#NAME?</v>
      </c>
      <c r="T71" s="113" t="e">
        <f t="shared" si="2"/>
        <v>#VALUE!</v>
      </c>
      <c r="U71" s="114" t="str">
        <f>'05_Daily_Orders'!L71</f>
        <v>FB</v>
      </c>
    </row>
    <row r="72" spans="1:21">
      <c r="A72" s="108">
        <f>'05_Daily_Orders'!B72</f>
        <v>2500</v>
      </c>
      <c r="B72" s="50">
        <v>0</v>
      </c>
      <c r="C72" s="50">
        <v>43</v>
      </c>
      <c r="D72" s="109"/>
      <c r="E72" s="109"/>
      <c r="F72">
        <v>63</v>
      </c>
      <c r="L72" s="110">
        <f t="shared" si="3"/>
        <v>0</v>
      </c>
      <c r="M72" s="111" t="str">
        <f>_xlfn.IFNA(_xlfn.XLOOKUP(A72,'00_SKU_Master'!$B$2:$B$378,'00_SKU_Master'!$C$2:$C$378,0),"")</f>
        <v>61086F</v>
      </c>
      <c r="N72" s="112" t="e">
        <f>_xlfn.IFNA(_xlfn.XLOOKUP(A72,'00_SKU_Master'!$B$2:$B$378,'00_SKU_Master'!$F$2:$F$378,0)*F72/_xlfn.XLOOKUP(A72,'00_SKU_Master'!$B$2:$B$378,'00_SKU_Master'!$O:$O,0),"")</f>
        <v>#VALUE!</v>
      </c>
      <c r="O72" s="112" t="e">
        <f ca="1">_xludf.IFNA(_xlfn.XLOOKUP($A74,'00_SKU_Master'!$B$2:$B$378,'00_SKU_Master'!$F$2:$F$378,0)*G74/_xlfn.XLOOKUP($A74,'00_SKU_Master'!$B$2:$B$378,'00_SKU_Master'!$O:$O,0),"")</f>
        <v>#NAME?</v>
      </c>
      <c r="P72" s="112" t="e">
        <f ca="1">_xludf.IFNA(_xlfn.XLOOKUP($A74,'00_SKU_Master'!$B$2:$B$378,'00_SKU_Master'!$F$2:$F$378,0)*H74/_xlfn.XLOOKUP($A74,'00_SKU_Master'!$B$2:$B$378,'00_SKU_Master'!$O:$O,0),"")</f>
        <v>#NAME?</v>
      </c>
      <c r="Q72" s="112" t="e">
        <f ca="1">_xludf.IFNA(_xlfn.XLOOKUP($A74,'00_SKU_Master'!$B$2:$B$378,'00_SKU_Master'!$F$2:$F$378,0)*I74/_xlfn.XLOOKUP($A74,'00_SKU_Master'!$B$2:$B$378,'00_SKU_Master'!$O:$O,0),"")</f>
        <v>#NAME?</v>
      </c>
      <c r="R72" s="112" t="e">
        <f ca="1">_xludf.IFNA(_xlfn.XLOOKUP($A74,'00_SKU_Master'!$B$2:$B$378,'00_SKU_Master'!$F$2:$F$378,0)*J74/_xlfn.XLOOKUP($A74,'00_SKU_Master'!$B$2:$B$378,'00_SKU_Master'!$O:$O,0),"")</f>
        <v>#NAME?</v>
      </c>
      <c r="S72" s="112" t="e">
        <f ca="1">_xludf.IFNA(_xlfn.XLOOKUP($A74,'00_SKU_Master'!$B$2:$B$378,'00_SKU_Master'!$F$2:$F$378,0)*K74/_xlfn.XLOOKUP($A74,'00_SKU_Master'!$B$2:$B$378,'00_SKU_Master'!$O:$O,0),"")</f>
        <v>#NAME?</v>
      </c>
      <c r="T72" s="113" t="e">
        <f t="shared" si="2"/>
        <v>#VALUE!</v>
      </c>
      <c r="U72" s="114" t="str">
        <f>'05_Daily_Orders'!L72</f>
        <v>FB</v>
      </c>
    </row>
    <row r="73" spans="1:21">
      <c r="A73" s="108">
        <f>'05_Daily_Orders'!B73</f>
        <v>2501</v>
      </c>
      <c r="B73" s="50">
        <v>0</v>
      </c>
      <c r="C73" s="50">
        <v>0</v>
      </c>
      <c r="D73" s="109"/>
      <c r="E73" s="109"/>
      <c r="F73">
        <v>0</v>
      </c>
      <c r="L73" s="110">
        <f t="shared" si="3"/>
        <v>0</v>
      </c>
      <c r="M73" s="111" t="str">
        <f>_xlfn.IFNA(_xlfn.XLOOKUP(A73,'00_SKU_Master'!$B$2:$B$378,'00_SKU_Master'!$C$2:$C$378,0),"")</f>
        <v>61086F</v>
      </c>
      <c r="N73" s="112" t="e">
        <f>_xlfn.IFNA(_xlfn.XLOOKUP(A73,'00_SKU_Master'!$B$2:$B$378,'00_SKU_Master'!$F$2:$F$378,0)*F73/_xlfn.XLOOKUP(A73,'00_SKU_Master'!$B$2:$B$378,'00_SKU_Master'!$O:$O,0),"")</f>
        <v>#VALUE!</v>
      </c>
      <c r="O73" s="112" t="e">
        <f ca="1">_xludf.IFNA(_xlfn.XLOOKUP($A75,'00_SKU_Master'!$B$2:$B$378,'00_SKU_Master'!$F$2:$F$378,0)*G75/_xlfn.XLOOKUP($A75,'00_SKU_Master'!$B$2:$B$378,'00_SKU_Master'!$O:$O,0),"")</f>
        <v>#NAME?</v>
      </c>
      <c r="P73" s="112" t="e">
        <f ca="1">_xludf.IFNA(_xlfn.XLOOKUP($A75,'00_SKU_Master'!$B$2:$B$378,'00_SKU_Master'!$F$2:$F$378,0)*H75/_xlfn.XLOOKUP($A75,'00_SKU_Master'!$B$2:$B$378,'00_SKU_Master'!$O:$O,0),"")</f>
        <v>#NAME?</v>
      </c>
      <c r="Q73" s="112" t="e">
        <f ca="1">_xludf.IFNA(_xlfn.XLOOKUP($A75,'00_SKU_Master'!$B$2:$B$378,'00_SKU_Master'!$F$2:$F$378,0)*I75/_xlfn.XLOOKUP($A75,'00_SKU_Master'!$B$2:$B$378,'00_SKU_Master'!$O:$O,0),"")</f>
        <v>#NAME?</v>
      </c>
      <c r="R73" s="112" t="e">
        <f ca="1">_xludf.IFNA(_xlfn.XLOOKUP($A75,'00_SKU_Master'!$B$2:$B$378,'00_SKU_Master'!$F$2:$F$378,0)*J75/_xlfn.XLOOKUP($A75,'00_SKU_Master'!$B$2:$B$378,'00_SKU_Master'!$O:$O,0),"")</f>
        <v>#NAME?</v>
      </c>
      <c r="S73" s="112" t="e">
        <f ca="1">_xludf.IFNA(_xlfn.XLOOKUP($A75,'00_SKU_Master'!$B$2:$B$378,'00_SKU_Master'!$F$2:$F$378,0)*K75/_xlfn.XLOOKUP($A75,'00_SKU_Master'!$B$2:$B$378,'00_SKU_Master'!$O:$O,0),"")</f>
        <v>#NAME?</v>
      </c>
      <c r="T73" s="113" t="e">
        <f t="shared" si="2"/>
        <v>#VALUE!</v>
      </c>
      <c r="U73" s="114" t="str">
        <f>'05_Daily_Orders'!L73</f>
        <v>FB</v>
      </c>
    </row>
    <row r="74" spans="1:21">
      <c r="A74" s="108">
        <f>'05_Daily_Orders'!B74</f>
        <v>2502</v>
      </c>
      <c r="B74" s="50">
        <v>0</v>
      </c>
      <c r="C74" s="50">
        <v>89</v>
      </c>
      <c r="D74" s="109"/>
      <c r="E74" s="109"/>
      <c r="F74">
        <v>76</v>
      </c>
      <c r="L74" s="110">
        <f t="shared" si="3"/>
        <v>0</v>
      </c>
      <c r="M74" s="111" t="str">
        <f>_xlfn.IFNA(_xlfn.XLOOKUP(A74,'00_SKU_Master'!$B$2:$B$378,'00_SKU_Master'!$C$2:$C$378,0),"")</f>
        <v>61077F</v>
      </c>
      <c r="N74" s="112" t="e">
        <f>_xlfn.IFNA(_xlfn.XLOOKUP(A74,'00_SKU_Master'!$B$2:$B$378,'00_SKU_Master'!$F$2:$F$378,0)*F74/_xlfn.XLOOKUP(A74,'00_SKU_Master'!$B$2:$B$378,'00_SKU_Master'!$O:$O,0),"")</f>
        <v>#VALUE!</v>
      </c>
      <c r="O74" s="112" t="e">
        <f ca="1">_xludf.IFNA(_xlfn.XLOOKUP($A76,'00_SKU_Master'!$B$2:$B$378,'00_SKU_Master'!$F$2:$F$378,0)*G76/_xlfn.XLOOKUP($A76,'00_SKU_Master'!$B$2:$B$378,'00_SKU_Master'!$O:$O,0),"")</f>
        <v>#NAME?</v>
      </c>
      <c r="P74" s="112" t="e">
        <f ca="1">_xludf.IFNA(_xlfn.XLOOKUP($A76,'00_SKU_Master'!$B$2:$B$378,'00_SKU_Master'!$F$2:$F$378,0)*H76/_xlfn.XLOOKUP($A76,'00_SKU_Master'!$B$2:$B$378,'00_SKU_Master'!$O:$O,0),"")</f>
        <v>#NAME?</v>
      </c>
      <c r="Q74" s="112" t="e">
        <f ca="1">_xludf.IFNA(_xlfn.XLOOKUP($A76,'00_SKU_Master'!$B$2:$B$378,'00_SKU_Master'!$F$2:$F$378,0)*I76/_xlfn.XLOOKUP($A76,'00_SKU_Master'!$B$2:$B$378,'00_SKU_Master'!$O:$O,0),"")</f>
        <v>#NAME?</v>
      </c>
      <c r="R74" s="112" t="e">
        <f ca="1">_xludf.IFNA(_xlfn.XLOOKUP($A76,'00_SKU_Master'!$B$2:$B$378,'00_SKU_Master'!$F$2:$F$378,0)*J76/_xlfn.XLOOKUP($A76,'00_SKU_Master'!$B$2:$B$378,'00_SKU_Master'!$O:$O,0),"")</f>
        <v>#NAME?</v>
      </c>
      <c r="S74" s="112" t="e">
        <f ca="1">_xludf.IFNA(_xlfn.XLOOKUP($A76,'00_SKU_Master'!$B$2:$B$378,'00_SKU_Master'!$F$2:$F$378,0)*K76/_xlfn.XLOOKUP($A76,'00_SKU_Master'!$B$2:$B$378,'00_SKU_Master'!$O:$O,0),"")</f>
        <v>#NAME?</v>
      </c>
      <c r="T74" s="113" t="e">
        <f t="shared" si="2"/>
        <v>#VALUE!</v>
      </c>
      <c r="U74" s="114" t="str">
        <f>'05_Daily_Orders'!L74</f>
        <v>FB</v>
      </c>
    </row>
    <row r="75" spans="1:21">
      <c r="A75" s="108">
        <f>'05_Daily_Orders'!B75</f>
        <v>2503</v>
      </c>
      <c r="B75" s="50">
        <v>0</v>
      </c>
      <c r="C75" s="50">
        <v>0</v>
      </c>
      <c r="D75" s="109"/>
      <c r="E75" s="109"/>
      <c r="F75">
        <v>0</v>
      </c>
      <c r="L75" s="110">
        <f t="shared" si="3"/>
        <v>0</v>
      </c>
      <c r="M75" s="111" t="str">
        <f>_xlfn.IFNA(_xlfn.XLOOKUP(A75,'00_SKU_Master'!$B$2:$B$378,'00_SKU_Master'!$C$2:$C$378,0),"")</f>
        <v>61077F</v>
      </c>
      <c r="N75" s="112" t="e">
        <f>_xlfn.IFNA(_xlfn.XLOOKUP(A75,'00_SKU_Master'!$B$2:$B$378,'00_SKU_Master'!$F$2:$F$378,0)*F75/_xlfn.XLOOKUP(A75,'00_SKU_Master'!$B$2:$B$378,'00_SKU_Master'!$O:$O,0),"")</f>
        <v>#VALUE!</v>
      </c>
      <c r="O75" s="112" t="e">
        <f ca="1">_xludf.IFNA(_xlfn.XLOOKUP($A77,'00_SKU_Master'!$B$2:$B$378,'00_SKU_Master'!$F$2:$F$378,0)*G77/_xlfn.XLOOKUP($A77,'00_SKU_Master'!$B$2:$B$378,'00_SKU_Master'!$O:$O,0),"")</f>
        <v>#NAME?</v>
      </c>
      <c r="P75" s="112" t="e">
        <f ca="1">_xludf.IFNA(_xlfn.XLOOKUP($A77,'00_SKU_Master'!$B$2:$B$378,'00_SKU_Master'!$F$2:$F$378,0)*H77/_xlfn.XLOOKUP($A77,'00_SKU_Master'!$B$2:$B$378,'00_SKU_Master'!$O:$O,0),"")</f>
        <v>#NAME?</v>
      </c>
      <c r="Q75" s="112" t="e">
        <f ca="1">_xludf.IFNA(_xlfn.XLOOKUP($A77,'00_SKU_Master'!$B$2:$B$378,'00_SKU_Master'!$F$2:$F$378,0)*I77/_xlfn.XLOOKUP($A77,'00_SKU_Master'!$B$2:$B$378,'00_SKU_Master'!$O:$O,0),"")</f>
        <v>#NAME?</v>
      </c>
      <c r="R75" s="112" t="e">
        <f ca="1">_xludf.IFNA(_xlfn.XLOOKUP($A77,'00_SKU_Master'!$B$2:$B$378,'00_SKU_Master'!$F$2:$F$378,0)*J77/_xlfn.XLOOKUP($A77,'00_SKU_Master'!$B$2:$B$378,'00_SKU_Master'!$O:$O,0),"")</f>
        <v>#NAME?</v>
      </c>
      <c r="S75" s="112" t="e">
        <f ca="1">_xludf.IFNA(_xlfn.XLOOKUP($A77,'00_SKU_Master'!$B$2:$B$378,'00_SKU_Master'!$F$2:$F$378,0)*K77/_xlfn.XLOOKUP($A77,'00_SKU_Master'!$B$2:$B$378,'00_SKU_Master'!$O:$O,0),"")</f>
        <v>#NAME?</v>
      </c>
      <c r="T75" s="113" t="e">
        <f t="shared" si="2"/>
        <v>#VALUE!</v>
      </c>
      <c r="U75" s="114" t="str">
        <f>'05_Daily_Orders'!L75</f>
        <v>FB</v>
      </c>
    </row>
    <row r="76" spans="1:21">
      <c r="A76" s="108">
        <f>'05_Daily_Orders'!B76</f>
        <v>2504</v>
      </c>
      <c r="B76" s="50">
        <v>0</v>
      </c>
      <c r="C76" s="50">
        <v>58</v>
      </c>
      <c r="D76" s="109"/>
      <c r="E76" s="109"/>
      <c r="F76">
        <v>80</v>
      </c>
      <c r="L76" s="110">
        <f t="shared" si="3"/>
        <v>0</v>
      </c>
      <c r="M76" s="111" t="str">
        <f>_xlfn.IFNA(_xlfn.XLOOKUP(A76,'00_SKU_Master'!$B$2:$B$378,'00_SKU_Master'!$C$2:$C$378,0),"")</f>
        <v>61072F</v>
      </c>
      <c r="N76" s="112" t="e">
        <f>_xlfn.IFNA(_xlfn.XLOOKUP(A76,'00_SKU_Master'!$B$2:$B$378,'00_SKU_Master'!$F$2:$F$378,0)*F76/_xlfn.XLOOKUP(A76,'00_SKU_Master'!$B$2:$B$378,'00_SKU_Master'!$O:$O,0),"")</f>
        <v>#VALUE!</v>
      </c>
      <c r="O76" s="112" t="e">
        <f ca="1">_xludf.IFNA(_xlfn.XLOOKUP($A78,'00_SKU_Master'!$B$2:$B$378,'00_SKU_Master'!$F$2:$F$378,0)*G78/_xlfn.XLOOKUP($A78,'00_SKU_Master'!$B$2:$B$378,'00_SKU_Master'!$O:$O,0),"")</f>
        <v>#NAME?</v>
      </c>
      <c r="P76" s="112" t="e">
        <f ca="1">_xludf.IFNA(_xlfn.XLOOKUP($A78,'00_SKU_Master'!$B$2:$B$378,'00_SKU_Master'!$F$2:$F$378,0)*H78/_xlfn.XLOOKUP($A78,'00_SKU_Master'!$B$2:$B$378,'00_SKU_Master'!$O:$O,0),"")</f>
        <v>#NAME?</v>
      </c>
      <c r="Q76" s="112" t="e">
        <f ca="1">_xludf.IFNA(_xlfn.XLOOKUP($A78,'00_SKU_Master'!$B$2:$B$378,'00_SKU_Master'!$F$2:$F$378,0)*I78/_xlfn.XLOOKUP($A78,'00_SKU_Master'!$B$2:$B$378,'00_SKU_Master'!$O:$O,0),"")</f>
        <v>#NAME?</v>
      </c>
      <c r="R76" s="112" t="e">
        <f ca="1">_xludf.IFNA(_xlfn.XLOOKUP($A78,'00_SKU_Master'!$B$2:$B$378,'00_SKU_Master'!$F$2:$F$378,0)*J78/_xlfn.XLOOKUP($A78,'00_SKU_Master'!$B$2:$B$378,'00_SKU_Master'!$O:$O,0),"")</f>
        <v>#NAME?</v>
      </c>
      <c r="S76" s="112" t="e">
        <f ca="1">_xludf.IFNA(_xlfn.XLOOKUP($A78,'00_SKU_Master'!$B$2:$B$378,'00_SKU_Master'!$F$2:$F$378,0)*K78/_xlfn.XLOOKUP($A78,'00_SKU_Master'!$B$2:$B$378,'00_SKU_Master'!$O:$O,0),"")</f>
        <v>#NAME?</v>
      </c>
      <c r="T76" s="113" t="e">
        <f t="shared" si="2"/>
        <v>#VALUE!</v>
      </c>
      <c r="U76" s="114" t="str">
        <f>'05_Daily_Orders'!L76</f>
        <v>FB</v>
      </c>
    </row>
    <row r="77" spans="1:21">
      <c r="A77" s="108">
        <f>'05_Daily_Orders'!B77</f>
        <v>2505</v>
      </c>
      <c r="B77" s="50">
        <v>0</v>
      </c>
      <c r="C77" s="50">
        <v>0</v>
      </c>
      <c r="D77" s="109"/>
      <c r="E77" s="109"/>
      <c r="F77">
        <v>0</v>
      </c>
      <c r="L77" s="110">
        <f t="shared" si="3"/>
        <v>0</v>
      </c>
      <c r="M77" s="111" t="str">
        <f>_xlfn.IFNA(_xlfn.XLOOKUP(A77,'00_SKU_Master'!$B$2:$B$378,'00_SKU_Master'!$C$2:$C$378,0),"")</f>
        <v>61072F</v>
      </c>
      <c r="N77" s="112" t="e">
        <f>_xlfn.IFNA(_xlfn.XLOOKUP(A77,'00_SKU_Master'!$B$2:$B$378,'00_SKU_Master'!$F$2:$F$378,0)*F77/_xlfn.XLOOKUP(A77,'00_SKU_Master'!$B$2:$B$378,'00_SKU_Master'!$O:$O,0),"")</f>
        <v>#VALUE!</v>
      </c>
      <c r="O77" s="112" t="e">
        <f ca="1">_xludf.IFNA(_xlfn.XLOOKUP($A79,'00_SKU_Master'!$B$2:$B$378,'00_SKU_Master'!$F$2:$F$378,0)*G79/_xlfn.XLOOKUP($A79,'00_SKU_Master'!$B$2:$B$378,'00_SKU_Master'!$O:$O,0),"")</f>
        <v>#NAME?</v>
      </c>
      <c r="P77" s="112" t="e">
        <f ca="1">_xludf.IFNA(_xlfn.XLOOKUP($A79,'00_SKU_Master'!$B$2:$B$378,'00_SKU_Master'!$F$2:$F$378,0)*H79/_xlfn.XLOOKUP($A79,'00_SKU_Master'!$B$2:$B$378,'00_SKU_Master'!$O:$O,0),"")</f>
        <v>#NAME?</v>
      </c>
      <c r="Q77" s="112" t="e">
        <f ca="1">_xludf.IFNA(_xlfn.XLOOKUP($A79,'00_SKU_Master'!$B$2:$B$378,'00_SKU_Master'!$F$2:$F$378,0)*I79/_xlfn.XLOOKUP($A79,'00_SKU_Master'!$B$2:$B$378,'00_SKU_Master'!$O:$O,0),"")</f>
        <v>#NAME?</v>
      </c>
      <c r="R77" s="112" t="e">
        <f ca="1">_xludf.IFNA(_xlfn.XLOOKUP($A79,'00_SKU_Master'!$B$2:$B$378,'00_SKU_Master'!$F$2:$F$378,0)*J79/_xlfn.XLOOKUP($A79,'00_SKU_Master'!$B$2:$B$378,'00_SKU_Master'!$O:$O,0),"")</f>
        <v>#NAME?</v>
      </c>
      <c r="S77" s="112" t="e">
        <f ca="1">_xludf.IFNA(_xlfn.XLOOKUP($A79,'00_SKU_Master'!$B$2:$B$378,'00_SKU_Master'!$F$2:$F$378,0)*K79/_xlfn.XLOOKUP($A79,'00_SKU_Master'!$B$2:$B$378,'00_SKU_Master'!$O:$O,0),"")</f>
        <v>#NAME?</v>
      </c>
      <c r="T77" s="113" t="e">
        <f t="shared" si="2"/>
        <v>#VALUE!</v>
      </c>
      <c r="U77" s="114" t="str">
        <f>'05_Daily_Orders'!L77</f>
        <v>FB</v>
      </c>
    </row>
    <row r="78" spans="1:21">
      <c r="A78" s="108">
        <f>'05_Daily_Orders'!B78</f>
        <v>2506</v>
      </c>
      <c r="B78" s="50">
        <v>0</v>
      </c>
      <c r="C78" s="50">
        <v>64</v>
      </c>
      <c r="D78" s="109"/>
      <c r="E78" s="109"/>
      <c r="F78">
        <v>62</v>
      </c>
      <c r="L78" s="110">
        <f t="shared" si="3"/>
        <v>0</v>
      </c>
      <c r="M78" s="111" t="str">
        <f>_xlfn.IFNA(_xlfn.XLOOKUP(A78,'00_SKU_Master'!$B$2:$B$378,'00_SKU_Master'!$C$2:$C$378,0),"")</f>
        <v>61014F</v>
      </c>
      <c r="N78" s="112" t="e">
        <f>_xlfn.IFNA(_xlfn.XLOOKUP(A78,'00_SKU_Master'!$B$2:$B$378,'00_SKU_Master'!$F$2:$F$378,0)*F78/_xlfn.XLOOKUP(A78,'00_SKU_Master'!$B$2:$B$378,'00_SKU_Master'!$O:$O,0),"")</f>
        <v>#VALUE!</v>
      </c>
      <c r="O78" s="112" t="e">
        <f ca="1">_xludf.IFNA(_xlfn.XLOOKUP($A80,'00_SKU_Master'!$B$2:$B$378,'00_SKU_Master'!$F$2:$F$378,0)*G80/_xlfn.XLOOKUP($A80,'00_SKU_Master'!$B$2:$B$378,'00_SKU_Master'!$O:$O,0),"")</f>
        <v>#NAME?</v>
      </c>
      <c r="P78" s="112" t="e">
        <f ca="1">_xludf.IFNA(_xlfn.XLOOKUP($A80,'00_SKU_Master'!$B$2:$B$378,'00_SKU_Master'!$F$2:$F$378,0)*H80/_xlfn.XLOOKUP($A80,'00_SKU_Master'!$B$2:$B$378,'00_SKU_Master'!$O:$O,0),"")</f>
        <v>#NAME?</v>
      </c>
      <c r="Q78" s="112" t="e">
        <f ca="1">_xludf.IFNA(_xlfn.XLOOKUP($A80,'00_SKU_Master'!$B$2:$B$378,'00_SKU_Master'!$F$2:$F$378,0)*I80/_xlfn.XLOOKUP($A80,'00_SKU_Master'!$B$2:$B$378,'00_SKU_Master'!$O:$O,0),"")</f>
        <v>#NAME?</v>
      </c>
      <c r="R78" s="112" t="e">
        <f ca="1">_xludf.IFNA(_xlfn.XLOOKUP($A80,'00_SKU_Master'!$B$2:$B$378,'00_SKU_Master'!$F$2:$F$378,0)*J80/_xlfn.XLOOKUP($A80,'00_SKU_Master'!$B$2:$B$378,'00_SKU_Master'!$O:$O,0),"")</f>
        <v>#NAME?</v>
      </c>
      <c r="S78" s="112" t="e">
        <f ca="1">_xludf.IFNA(_xlfn.XLOOKUP($A80,'00_SKU_Master'!$B$2:$B$378,'00_SKU_Master'!$F$2:$F$378,0)*K80/_xlfn.XLOOKUP($A80,'00_SKU_Master'!$B$2:$B$378,'00_SKU_Master'!$O:$O,0),"")</f>
        <v>#NAME?</v>
      </c>
      <c r="T78" s="113" t="e">
        <f t="shared" si="2"/>
        <v>#VALUE!</v>
      </c>
      <c r="U78" s="114" t="str">
        <f>'05_Daily_Orders'!L78</f>
        <v>FB</v>
      </c>
    </row>
    <row r="79" spans="1:21">
      <c r="A79" s="108">
        <f>'05_Daily_Orders'!B79</f>
        <v>2508</v>
      </c>
      <c r="B79" s="50">
        <v>0</v>
      </c>
      <c r="C79" s="50">
        <v>28</v>
      </c>
      <c r="D79" s="109"/>
      <c r="E79" s="109"/>
      <c r="F79">
        <v>98</v>
      </c>
      <c r="L79" s="110">
        <f t="shared" si="3"/>
        <v>0</v>
      </c>
      <c r="M79" s="111" t="str">
        <f>_xlfn.IFNA(_xlfn.XLOOKUP(A79,'00_SKU_Master'!$B$2:$B$378,'00_SKU_Master'!$C$2:$C$378,0),"")</f>
        <v>61050F</v>
      </c>
      <c r="N79" s="112" t="e">
        <f>_xlfn.IFNA(_xlfn.XLOOKUP(A79,'00_SKU_Master'!$B$2:$B$378,'00_SKU_Master'!$F$2:$F$378,0)*F79/_xlfn.XLOOKUP(A79,'00_SKU_Master'!$B$2:$B$378,'00_SKU_Master'!$O:$O,0),"")</f>
        <v>#VALUE!</v>
      </c>
      <c r="O79" s="112" t="e">
        <f ca="1">_xludf.IFNA(_xlfn.XLOOKUP($A81,'00_SKU_Master'!$B$2:$B$378,'00_SKU_Master'!$F$2:$F$378,0)*G81/_xlfn.XLOOKUP($A81,'00_SKU_Master'!$B$2:$B$378,'00_SKU_Master'!$O:$O,0),"")</f>
        <v>#NAME?</v>
      </c>
      <c r="P79" s="112" t="e">
        <f ca="1">_xludf.IFNA(_xlfn.XLOOKUP($A81,'00_SKU_Master'!$B$2:$B$378,'00_SKU_Master'!$F$2:$F$378,0)*H81/_xlfn.XLOOKUP($A81,'00_SKU_Master'!$B$2:$B$378,'00_SKU_Master'!$O:$O,0),"")</f>
        <v>#NAME?</v>
      </c>
      <c r="Q79" s="112" t="e">
        <f ca="1">_xludf.IFNA(_xlfn.XLOOKUP($A81,'00_SKU_Master'!$B$2:$B$378,'00_SKU_Master'!$F$2:$F$378,0)*I81/_xlfn.XLOOKUP($A81,'00_SKU_Master'!$B$2:$B$378,'00_SKU_Master'!$O:$O,0),"")</f>
        <v>#NAME?</v>
      </c>
      <c r="R79" s="112" t="e">
        <f ca="1">_xludf.IFNA(_xlfn.XLOOKUP($A81,'00_SKU_Master'!$B$2:$B$378,'00_SKU_Master'!$F$2:$F$378,0)*J81/_xlfn.XLOOKUP($A81,'00_SKU_Master'!$B$2:$B$378,'00_SKU_Master'!$O:$O,0),"")</f>
        <v>#NAME?</v>
      </c>
      <c r="S79" s="112" t="e">
        <f ca="1">_xludf.IFNA(_xlfn.XLOOKUP($A81,'00_SKU_Master'!$B$2:$B$378,'00_SKU_Master'!$F$2:$F$378,0)*K81/_xlfn.XLOOKUP($A81,'00_SKU_Master'!$B$2:$B$378,'00_SKU_Master'!$O:$O,0),"")</f>
        <v>#NAME?</v>
      </c>
      <c r="T79" s="113" t="e">
        <f t="shared" si="2"/>
        <v>#VALUE!</v>
      </c>
      <c r="U79" s="114" t="str">
        <f>'05_Daily_Orders'!L79</f>
        <v>FB</v>
      </c>
    </row>
    <row r="80" spans="1:21">
      <c r="A80" s="108">
        <f>'05_Daily_Orders'!B80</f>
        <v>2509</v>
      </c>
      <c r="B80" s="50">
        <v>0</v>
      </c>
      <c r="C80" s="50">
        <v>0</v>
      </c>
      <c r="D80" s="109"/>
      <c r="E80" s="109"/>
      <c r="F80">
        <v>0</v>
      </c>
      <c r="L80" s="110">
        <f t="shared" si="3"/>
        <v>0</v>
      </c>
      <c r="M80" s="111">
        <f>_xlfn.IFNA(_xlfn.XLOOKUP(A80,'00_SKU_Master'!$B$2:$B$378,'00_SKU_Master'!$C$2:$C$378,0),"")</f>
        <v>61050</v>
      </c>
      <c r="N80" s="112" t="e">
        <f>_xlfn.IFNA(_xlfn.XLOOKUP(A80,'00_SKU_Master'!$B$2:$B$378,'00_SKU_Master'!$F$2:$F$378,0)*F80/_xlfn.XLOOKUP(A80,'00_SKU_Master'!$B$2:$B$378,'00_SKU_Master'!$O:$O,0),"")</f>
        <v>#VALUE!</v>
      </c>
      <c r="O80" s="112" t="e">
        <f ca="1">_xludf.IFNA(_xlfn.XLOOKUP($A82,'00_SKU_Master'!$B$2:$B$378,'00_SKU_Master'!$F$2:$F$378,0)*G82/_xlfn.XLOOKUP($A82,'00_SKU_Master'!$B$2:$B$378,'00_SKU_Master'!$O:$O,0),"")</f>
        <v>#NAME?</v>
      </c>
      <c r="P80" s="112" t="e">
        <f ca="1">_xludf.IFNA(_xlfn.XLOOKUP($A82,'00_SKU_Master'!$B$2:$B$378,'00_SKU_Master'!$F$2:$F$378,0)*H82/_xlfn.XLOOKUP($A82,'00_SKU_Master'!$B$2:$B$378,'00_SKU_Master'!$O:$O,0),"")</f>
        <v>#NAME?</v>
      </c>
      <c r="Q80" s="112" t="e">
        <f ca="1">_xludf.IFNA(_xlfn.XLOOKUP($A82,'00_SKU_Master'!$B$2:$B$378,'00_SKU_Master'!$F$2:$F$378,0)*I82/_xlfn.XLOOKUP($A82,'00_SKU_Master'!$B$2:$B$378,'00_SKU_Master'!$O:$O,0),"")</f>
        <v>#NAME?</v>
      </c>
      <c r="R80" s="112" t="e">
        <f ca="1">_xludf.IFNA(_xlfn.XLOOKUP($A82,'00_SKU_Master'!$B$2:$B$378,'00_SKU_Master'!$F$2:$F$378,0)*J82/_xlfn.XLOOKUP($A82,'00_SKU_Master'!$B$2:$B$378,'00_SKU_Master'!$O:$O,0),"")</f>
        <v>#NAME?</v>
      </c>
      <c r="S80" s="112" t="e">
        <f ca="1">_xludf.IFNA(_xlfn.XLOOKUP($A82,'00_SKU_Master'!$B$2:$B$378,'00_SKU_Master'!$F$2:$F$378,0)*K82/_xlfn.XLOOKUP($A82,'00_SKU_Master'!$B$2:$B$378,'00_SKU_Master'!$O:$O,0),"")</f>
        <v>#NAME?</v>
      </c>
      <c r="T80" s="113" t="e">
        <f t="shared" si="2"/>
        <v>#VALUE!</v>
      </c>
      <c r="U80" s="114" t="str">
        <f>'05_Daily_Orders'!L80</f>
        <v>FB</v>
      </c>
    </row>
    <row r="81" spans="1:21">
      <c r="A81" s="108">
        <f>'05_Daily_Orders'!B81</f>
        <v>2510</v>
      </c>
      <c r="B81" s="50">
        <v>0</v>
      </c>
      <c r="C81" s="50">
        <v>153</v>
      </c>
      <c r="D81" s="109"/>
      <c r="E81" s="109"/>
      <c r="F81">
        <v>162</v>
      </c>
      <c r="L81" s="110">
        <f t="shared" si="3"/>
        <v>0</v>
      </c>
      <c r="M81" s="111" t="str">
        <f>_xlfn.IFNA(_xlfn.XLOOKUP(A81,'00_SKU_Master'!$B$2:$B$378,'00_SKU_Master'!$C$2:$C$378,0),"")</f>
        <v>61014F</v>
      </c>
      <c r="N81" s="112" t="e">
        <f>_xlfn.IFNA(_xlfn.XLOOKUP(A81,'00_SKU_Master'!$B$2:$B$378,'00_SKU_Master'!$F$2:$F$378,0)*F81/_xlfn.XLOOKUP(A81,'00_SKU_Master'!$B$2:$B$378,'00_SKU_Master'!$O:$O,0),"")</f>
        <v>#VALUE!</v>
      </c>
      <c r="O81" s="112" t="e">
        <f ca="1">_xludf.IFNA(_xlfn.XLOOKUP($A83,'00_SKU_Master'!$B$2:$B$378,'00_SKU_Master'!$F$2:$F$378,0)*G83/_xlfn.XLOOKUP($A83,'00_SKU_Master'!$B$2:$B$378,'00_SKU_Master'!$O:$O,0),"")</f>
        <v>#NAME?</v>
      </c>
      <c r="P81" s="112" t="e">
        <f ca="1">_xludf.IFNA(_xlfn.XLOOKUP($A83,'00_SKU_Master'!$B$2:$B$378,'00_SKU_Master'!$F$2:$F$378,0)*H83/_xlfn.XLOOKUP($A83,'00_SKU_Master'!$B$2:$B$378,'00_SKU_Master'!$O:$O,0),"")</f>
        <v>#NAME?</v>
      </c>
      <c r="Q81" s="112" t="e">
        <f ca="1">_xludf.IFNA(_xlfn.XLOOKUP($A83,'00_SKU_Master'!$B$2:$B$378,'00_SKU_Master'!$F$2:$F$378,0)*I83/_xlfn.XLOOKUP($A83,'00_SKU_Master'!$B$2:$B$378,'00_SKU_Master'!$O:$O,0),"")</f>
        <v>#NAME?</v>
      </c>
      <c r="R81" s="112" t="e">
        <f ca="1">_xludf.IFNA(_xlfn.XLOOKUP($A83,'00_SKU_Master'!$B$2:$B$378,'00_SKU_Master'!$F$2:$F$378,0)*J83/_xlfn.XLOOKUP($A83,'00_SKU_Master'!$B$2:$B$378,'00_SKU_Master'!$O:$O,0),"")</f>
        <v>#NAME?</v>
      </c>
      <c r="S81" s="112" t="e">
        <f ca="1">_xludf.IFNA(_xlfn.XLOOKUP($A83,'00_SKU_Master'!$B$2:$B$378,'00_SKU_Master'!$F$2:$F$378,0)*K83/_xlfn.XLOOKUP($A83,'00_SKU_Master'!$B$2:$B$378,'00_SKU_Master'!$O:$O,0),"")</f>
        <v>#NAME?</v>
      </c>
      <c r="T81" s="113" t="e">
        <f t="shared" si="2"/>
        <v>#VALUE!</v>
      </c>
      <c r="U81" s="114" t="str">
        <f>'05_Daily_Orders'!L81</f>
        <v>FB</v>
      </c>
    </row>
    <row r="82" spans="1:21">
      <c r="A82" s="108">
        <f>'05_Daily_Orders'!B82</f>
        <v>2512</v>
      </c>
      <c r="B82" s="50">
        <v>0</v>
      </c>
      <c r="C82" s="50">
        <v>80</v>
      </c>
      <c r="D82" s="109"/>
      <c r="E82" s="109"/>
      <c r="F82">
        <v>0</v>
      </c>
      <c r="L82" s="110">
        <f t="shared" si="3"/>
        <v>0</v>
      </c>
      <c r="M82" s="111">
        <f>_xlfn.IFNA(_xlfn.XLOOKUP(A82,'00_SKU_Master'!$B$2:$B$378,'00_SKU_Master'!$C$2:$C$378,0),"")</f>
        <v>61014</v>
      </c>
      <c r="N82" s="112" t="e">
        <f>_xlfn.IFNA(_xlfn.XLOOKUP(A82,'00_SKU_Master'!$B$2:$B$378,'00_SKU_Master'!$F$2:$F$378,0)*F82/_xlfn.XLOOKUP(A82,'00_SKU_Master'!$B$2:$B$378,'00_SKU_Master'!$O:$O,0),"")</f>
        <v>#VALUE!</v>
      </c>
      <c r="O82" s="112" t="e">
        <f ca="1">_xludf.IFNA(_xlfn.XLOOKUP($A84,'00_SKU_Master'!$B$2:$B$378,'00_SKU_Master'!$F$2:$F$378,0)*G84/_xlfn.XLOOKUP($A84,'00_SKU_Master'!$B$2:$B$378,'00_SKU_Master'!$O:$O,0),"")</f>
        <v>#NAME?</v>
      </c>
      <c r="P82" s="112" t="e">
        <f ca="1">_xludf.IFNA(_xlfn.XLOOKUP($A84,'00_SKU_Master'!$B$2:$B$378,'00_SKU_Master'!$F$2:$F$378,0)*H84/_xlfn.XLOOKUP($A84,'00_SKU_Master'!$B$2:$B$378,'00_SKU_Master'!$O:$O,0),"")</f>
        <v>#NAME?</v>
      </c>
      <c r="Q82" s="112" t="e">
        <f ca="1">_xludf.IFNA(_xlfn.XLOOKUP($A84,'00_SKU_Master'!$B$2:$B$378,'00_SKU_Master'!$F$2:$F$378,0)*I84/_xlfn.XLOOKUP($A84,'00_SKU_Master'!$B$2:$B$378,'00_SKU_Master'!$O:$O,0),"")</f>
        <v>#NAME?</v>
      </c>
      <c r="R82" s="112" t="e">
        <f ca="1">_xludf.IFNA(_xlfn.XLOOKUP($A84,'00_SKU_Master'!$B$2:$B$378,'00_SKU_Master'!$F$2:$F$378,0)*J84/_xlfn.XLOOKUP($A84,'00_SKU_Master'!$B$2:$B$378,'00_SKU_Master'!$O:$O,0),"")</f>
        <v>#NAME?</v>
      </c>
      <c r="S82" s="112" t="e">
        <f ca="1">_xludf.IFNA(_xlfn.XLOOKUP($A84,'00_SKU_Master'!$B$2:$B$378,'00_SKU_Master'!$F$2:$F$378,0)*K84/_xlfn.XLOOKUP($A84,'00_SKU_Master'!$B$2:$B$378,'00_SKU_Master'!$O:$O,0),"")</f>
        <v>#NAME?</v>
      </c>
      <c r="T82" s="113" t="e">
        <f t="shared" si="2"/>
        <v>#VALUE!</v>
      </c>
      <c r="U82" s="114" t="str">
        <f>'05_Daily_Orders'!L82</f>
        <v>METRO</v>
      </c>
    </row>
    <row r="83" spans="1:21">
      <c r="A83" s="108">
        <f>'05_Daily_Orders'!B83</f>
        <v>7018</v>
      </c>
      <c r="B83" s="50">
        <v>0</v>
      </c>
      <c r="C83" s="50">
        <v>0</v>
      </c>
      <c r="D83" s="109"/>
      <c r="E83" s="109"/>
      <c r="F83">
        <v>0</v>
      </c>
      <c r="L83" s="110">
        <f t="shared" si="3"/>
        <v>0</v>
      </c>
      <c r="M83" s="111">
        <f>_xlfn.IFNA(_xlfn.XLOOKUP(A83,'00_SKU_Master'!$B$2:$B$378,'00_SKU_Master'!$C$2:$C$378,0),"")</f>
        <v>61010</v>
      </c>
      <c r="N83" s="112" t="e">
        <f>_xlfn.IFNA(_xlfn.XLOOKUP(A83,'00_SKU_Master'!$B$2:$B$378,'00_SKU_Master'!$F$2:$F$378,0)*F83/_xlfn.XLOOKUP(A83,'00_SKU_Master'!$B$2:$B$378,'00_SKU_Master'!$O:$O,0),"")</f>
        <v>#VALUE!</v>
      </c>
      <c r="O83" s="112" t="e">
        <f ca="1">_xludf.IFNA(_xlfn.XLOOKUP($A85,'00_SKU_Master'!$B$2:$B$378,'00_SKU_Master'!$F$2:$F$378,0)*G85/_xlfn.XLOOKUP($A85,'00_SKU_Master'!$B$2:$B$378,'00_SKU_Master'!$O:$O,0),"")</f>
        <v>#NAME?</v>
      </c>
      <c r="P83" s="112" t="e">
        <f ca="1">_xludf.IFNA(_xlfn.XLOOKUP($A85,'00_SKU_Master'!$B$2:$B$378,'00_SKU_Master'!$F$2:$F$378,0)*H85/_xlfn.XLOOKUP($A85,'00_SKU_Master'!$B$2:$B$378,'00_SKU_Master'!$O:$O,0),"")</f>
        <v>#NAME?</v>
      </c>
      <c r="Q83" s="112" t="e">
        <f ca="1">_xludf.IFNA(_xlfn.XLOOKUP($A85,'00_SKU_Master'!$B$2:$B$378,'00_SKU_Master'!$F$2:$F$378,0)*I85/_xlfn.XLOOKUP($A85,'00_SKU_Master'!$B$2:$B$378,'00_SKU_Master'!$O:$O,0),"")</f>
        <v>#NAME?</v>
      </c>
      <c r="R83" s="112" t="e">
        <f ca="1">_xludf.IFNA(_xlfn.XLOOKUP($A85,'00_SKU_Master'!$B$2:$B$378,'00_SKU_Master'!$F$2:$F$378,0)*J85/_xlfn.XLOOKUP($A85,'00_SKU_Master'!$B$2:$B$378,'00_SKU_Master'!$O:$O,0),"")</f>
        <v>#NAME?</v>
      </c>
      <c r="S83" s="112" t="e">
        <f ca="1">_xludf.IFNA(_xlfn.XLOOKUP($A85,'00_SKU_Master'!$B$2:$B$378,'00_SKU_Master'!$F$2:$F$378,0)*K85/_xlfn.XLOOKUP($A85,'00_SKU_Master'!$B$2:$B$378,'00_SKU_Master'!$O:$O,0),"")</f>
        <v>#NAME?</v>
      </c>
      <c r="T83" s="113" t="e">
        <f t="shared" si="2"/>
        <v>#VALUE!</v>
      </c>
      <c r="U83" s="114" t="str">
        <f>'05_Daily_Orders'!L83</f>
        <v>LCL</v>
      </c>
    </row>
    <row r="84" spans="1:21">
      <c r="A84" s="108">
        <f>'05_Daily_Orders'!B84</f>
        <v>7091</v>
      </c>
      <c r="B84" s="50">
        <v>0</v>
      </c>
      <c r="C84" s="50">
        <v>0</v>
      </c>
      <c r="D84" s="109"/>
      <c r="E84" s="109"/>
      <c r="F84">
        <v>0</v>
      </c>
      <c r="L84" s="110">
        <f t="shared" si="3"/>
        <v>0</v>
      </c>
      <c r="M84" s="111">
        <f>_xlfn.IFNA(_xlfn.XLOOKUP(A84,'00_SKU_Master'!$B$2:$B$378,'00_SKU_Master'!$C$2:$C$378,0),"")</f>
        <v>61061</v>
      </c>
      <c r="N84" s="112" t="e">
        <f>_xlfn.IFNA(_xlfn.XLOOKUP(A84,'00_SKU_Master'!$B$2:$B$378,'00_SKU_Master'!$F$2:$F$378,0)*F84/_xlfn.XLOOKUP(A84,'00_SKU_Master'!$B$2:$B$378,'00_SKU_Master'!$O:$O,0),"")</f>
        <v>#VALUE!</v>
      </c>
      <c r="O84" s="112" t="e">
        <f ca="1">_xludf.IFNA(_xlfn.XLOOKUP($A86,'00_SKU_Master'!$B$2:$B$378,'00_SKU_Master'!$F$2:$F$378,0)*G86/_xlfn.XLOOKUP($A86,'00_SKU_Master'!$B$2:$B$378,'00_SKU_Master'!$O:$O,0),"")</f>
        <v>#NAME?</v>
      </c>
      <c r="P84" s="112" t="e">
        <f ca="1">_xludf.IFNA(_xlfn.XLOOKUP($A86,'00_SKU_Master'!$B$2:$B$378,'00_SKU_Master'!$F$2:$F$378,0)*H86/_xlfn.XLOOKUP($A86,'00_SKU_Master'!$B$2:$B$378,'00_SKU_Master'!$O:$O,0),"")</f>
        <v>#NAME?</v>
      </c>
      <c r="Q84" s="112" t="e">
        <f ca="1">_xludf.IFNA(_xlfn.XLOOKUP($A86,'00_SKU_Master'!$B$2:$B$378,'00_SKU_Master'!$F$2:$F$378,0)*I86/_xlfn.XLOOKUP($A86,'00_SKU_Master'!$B$2:$B$378,'00_SKU_Master'!$O:$O,0),"")</f>
        <v>#NAME?</v>
      </c>
      <c r="R84" s="112" t="e">
        <f ca="1">_xludf.IFNA(_xlfn.XLOOKUP($A86,'00_SKU_Master'!$B$2:$B$378,'00_SKU_Master'!$F$2:$F$378,0)*J86/_xlfn.XLOOKUP($A86,'00_SKU_Master'!$B$2:$B$378,'00_SKU_Master'!$O:$O,0),"")</f>
        <v>#NAME?</v>
      </c>
      <c r="S84" s="112" t="e">
        <f ca="1">_xludf.IFNA(_xlfn.XLOOKUP($A86,'00_SKU_Master'!$B$2:$B$378,'00_SKU_Master'!$F$2:$F$378,0)*K86/_xlfn.XLOOKUP($A86,'00_SKU_Master'!$B$2:$B$378,'00_SKU_Master'!$O:$O,0),"")</f>
        <v>#NAME?</v>
      </c>
      <c r="T84" s="113" t="e">
        <f t="shared" si="2"/>
        <v>#VALUE!</v>
      </c>
      <c r="U84" s="114" t="str">
        <f>'05_Daily_Orders'!L84</f>
        <v>LCL</v>
      </c>
    </row>
    <row r="85" spans="1:21">
      <c r="A85" s="108">
        <f>'05_Daily_Orders'!B85</f>
        <v>7103</v>
      </c>
      <c r="B85" s="50">
        <v>0</v>
      </c>
      <c r="C85" s="50">
        <v>0</v>
      </c>
      <c r="D85" s="109"/>
      <c r="E85" s="109"/>
      <c r="F85">
        <v>0</v>
      </c>
      <c r="L85" s="110">
        <f t="shared" si="3"/>
        <v>0</v>
      </c>
      <c r="M85" s="111">
        <f>_xlfn.IFNA(_xlfn.XLOOKUP(A85,'00_SKU_Master'!$B$2:$B$378,'00_SKU_Master'!$C$2:$C$378,0),"")</f>
        <v>203891</v>
      </c>
      <c r="N85" s="112" t="e">
        <f>_xlfn.IFNA(_xlfn.XLOOKUP(A85,'00_SKU_Master'!$B$2:$B$378,'00_SKU_Master'!$F$2:$F$378,0)*F85/_xlfn.XLOOKUP(A85,'00_SKU_Master'!$B$2:$B$378,'00_SKU_Master'!$O:$O,0),"")</f>
        <v>#VALUE!</v>
      </c>
      <c r="O85" s="112" t="e">
        <f ca="1">_xludf.IFNA(_xlfn.XLOOKUP($A87,'00_SKU_Master'!$B$2:$B$378,'00_SKU_Master'!$F$2:$F$378,0)*G87/_xlfn.XLOOKUP($A87,'00_SKU_Master'!$B$2:$B$378,'00_SKU_Master'!$O:$O,0),"")</f>
        <v>#NAME?</v>
      </c>
      <c r="P85" s="112" t="e">
        <f ca="1">_xludf.IFNA(_xlfn.XLOOKUP($A87,'00_SKU_Master'!$B$2:$B$378,'00_SKU_Master'!$F$2:$F$378,0)*H87/_xlfn.XLOOKUP($A87,'00_SKU_Master'!$B$2:$B$378,'00_SKU_Master'!$O:$O,0),"")</f>
        <v>#NAME?</v>
      </c>
      <c r="Q85" s="112" t="e">
        <f ca="1">_xludf.IFNA(_xlfn.XLOOKUP($A87,'00_SKU_Master'!$B$2:$B$378,'00_SKU_Master'!$F$2:$F$378,0)*I87/_xlfn.XLOOKUP($A87,'00_SKU_Master'!$B$2:$B$378,'00_SKU_Master'!$O:$O,0),"")</f>
        <v>#NAME?</v>
      </c>
      <c r="R85" s="112" t="e">
        <f ca="1">_xludf.IFNA(_xlfn.XLOOKUP($A87,'00_SKU_Master'!$B$2:$B$378,'00_SKU_Master'!$F$2:$F$378,0)*J87/_xlfn.XLOOKUP($A87,'00_SKU_Master'!$B$2:$B$378,'00_SKU_Master'!$O:$O,0),"")</f>
        <v>#NAME?</v>
      </c>
      <c r="S85" s="112" t="e">
        <f ca="1">_xludf.IFNA(_xlfn.XLOOKUP($A87,'00_SKU_Master'!$B$2:$B$378,'00_SKU_Master'!$F$2:$F$378,0)*K87/_xlfn.XLOOKUP($A87,'00_SKU_Master'!$B$2:$B$378,'00_SKU_Master'!$O:$O,0),"")</f>
        <v>#NAME?</v>
      </c>
      <c r="T85" s="113" t="e">
        <f t="shared" si="2"/>
        <v>#VALUE!</v>
      </c>
      <c r="U85" s="114" t="str">
        <f>'05_Daily_Orders'!L85</f>
        <v>LCL</v>
      </c>
    </row>
    <row r="86" spans="1:21">
      <c r="A86" s="108">
        <f>'05_Daily_Orders'!B86</f>
        <v>7104</v>
      </c>
      <c r="B86" s="50">
        <v>0</v>
      </c>
      <c r="C86" s="50">
        <v>0</v>
      </c>
      <c r="D86" s="109"/>
      <c r="E86" s="109"/>
      <c r="F86">
        <v>0</v>
      </c>
      <c r="L86" s="110">
        <f t="shared" si="3"/>
        <v>0</v>
      </c>
      <c r="M86" s="111">
        <f>_xlfn.IFNA(_xlfn.XLOOKUP(A86,'00_SKU_Master'!$B$2:$B$378,'00_SKU_Master'!$C$2:$C$378,0),"")</f>
        <v>61082</v>
      </c>
      <c r="N86" s="112" t="e">
        <f>_xlfn.IFNA(_xlfn.XLOOKUP(A86,'00_SKU_Master'!$B$2:$B$378,'00_SKU_Master'!$F$2:$F$378,0)*F86/_xlfn.XLOOKUP(A86,'00_SKU_Master'!$B$2:$B$378,'00_SKU_Master'!$O:$O,0),"")</f>
        <v>#VALUE!</v>
      </c>
      <c r="O86" s="112" t="e">
        <f ca="1">_xludf.IFNA(_xlfn.XLOOKUP($A88,'00_SKU_Master'!$B$2:$B$378,'00_SKU_Master'!$F$2:$F$378,0)*G88/_xlfn.XLOOKUP($A88,'00_SKU_Master'!$B$2:$B$378,'00_SKU_Master'!$O:$O,0),"")</f>
        <v>#NAME?</v>
      </c>
      <c r="P86" s="112" t="e">
        <f ca="1">_xludf.IFNA(_xlfn.XLOOKUP($A88,'00_SKU_Master'!$B$2:$B$378,'00_SKU_Master'!$F$2:$F$378,0)*H88/_xlfn.XLOOKUP($A88,'00_SKU_Master'!$B$2:$B$378,'00_SKU_Master'!$O:$O,0),"")</f>
        <v>#NAME?</v>
      </c>
      <c r="Q86" s="112" t="e">
        <f ca="1">_xludf.IFNA(_xlfn.XLOOKUP($A88,'00_SKU_Master'!$B$2:$B$378,'00_SKU_Master'!$F$2:$F$378,0)*I88/_xlfn.XLOOKUP($A88,'00_SKU_Master'!$B$2:$B$378,'00_SKU_Master'!$O:$O,0),"")</f>
        <v>#NAME?</v>
      </c>
      <c r="R86" s="112" t="e">
        <f ca="1">_xludf.IFNA(_xlfn.XLOOKUP($A88,'00_SKU_Master'!$B$2:$B$378,'00_SKU_Master'!$F$2:$F$378,0)*J88/_xlfn.XLOOKUP($A88,'00_SKU_Master'!$B$2:$B$378,'00_SKU_Master'!$O:$O,0),"")</f>
        <v>#NAME?</v>
      </c>
      <c r="S86" s="112" t="e">
        <f ca="1">_xludf.IFNA(_xlfn.XLOOKUP($A88,'00_SKU_Master'!$B$2:$B$378,'00_SKU_Master'!$F$2:$F$378,0)*K88/_xlfn.XLOOKUP($A88,'00_SKU_Master'!$B$2:$B$378,'00_SKU_Master'!$O:$O,0),"")</f>
        <v>#NAME?</v>
      </c>
      <c r="T86" s="113" t="e">
        <f t="shared" si="2"/>
        <v>#VALUE!</v>
      </c>
      <c r="U86" s="114" t="str">
        <f>'05_Daily_Orders'!L86</f>
        <v>LCL</v>
      </c>
    </row>
    <row r="87" spans="1:21">
      <c r="A87" s="108">
        <f>'05_Daily_Orders'!B87</f>
        <v>7105</v>
      </c>
      <c r="B87" s="50">
        <v>0</v>
      </c>
      <c r="C87" s="50">
        <v>0</v>
      </c>
      <c r="D87" s="109"/>
      <c r="E87" s="109"/>
      <c r="F87">
        <v>0</v>
      </c>
      <c r="L87" s="110">
        <f t="shared" si="3"/>
        <v>0</v>
      </c>
      <c r="M87" s="111" t="str">
        <f>_xlfn.IFNA(_xlfn.XLOOKUP(A87,'00_SKU_Master'!$B$2:$B$378,'00_SKU_Master'!$C$2:$C$378,0),"")</f>
        <v>61050#2</v>
      </c>
      <c r="N87" s="112" t="e">
        <f>_xlfn.IFNA(_xlfn.XLOOKUP(A87,'00_SKU_Master'!$B$2:$B$378,'00_SKU_Master'!$F$2:$F$378,0)*F87/_xlfn.XLOOKUP(A87,'00_SKU_Master'!$B$2:$B$378,'00_SKU_Master'!$O:$O,0),"")</f>
        <v>#VALUE!</v>
      </c>
      <c r="O87" s="112" t="e">
        <f ca="1">_xludf.IFNA(_xlfn.XLOOKUP($A89,'00_SKU_Master'!$B$2:$B$378,'00_SKU_Master'!$F$2:$F$378,0)*G89/_xlfn.XLOOKUP($A89,'00_SKU_Master'!$B$2:$B$378,'00_SKU_Master'!$O:$O,0),"")</f>
        <v>#NAME?</v>
      </c>
      <c r="P87" s="112" t="e">
        <f ca="1">_xludf.IFNA(_xlfn.XLOOKUP($A89,'00_SKU_Master'!$B$2:$B$378,'00_SKU_Master'!$F$2:$F$378,0)*H89/_xlfn.XLOOKUP($A89,'00_SKU_Master'!$B$2:$B$378,'00_SKU_Master'!$O:$O,0),"")</f>
        <v>#NAME?</v>
      </c>
      <c r="Q87" s="112" t="e">
        <f ca="1">_xludf.IFNA(_xlfn.XLOOKUP($A89,'00_SKU_Master'!$B$2:$B$378,'00_SKU_Master'!$F$2:$F$378,0)*I89/_xlfn.XLOOKUP($A89,'00_SKU_Master'!$B$2:$B$378,'00_SKU_Master'!$O:$O,0),"")</f>
        <v>#NAME?</v>
      </c>
      <c r="R87" s="112" t="e">
        <f ca="1">_xludf.IFNA(_xlfn.XLOOKUP($A89,'00_SKU_Master'!$B$2:$B$378,'00_SKU_Master'!$F$2:$F$378,0)*J89/_xlfn.XLOOKUP($A89,'00_SKU_Master'!$B$2:$B$378,'00_SKU_Master'!$O:$O,0),"")</f>
        <v>#NAME?</v>
      </c>
      <c r="S87" s="112" t="e">
        <f ca="1">_xludf.IFNA(_xlfn.XLOOKUP($A89,'00_SKU_Master'!$B$2:$B$378,'00_SKU_Master'!$F$2:$F$378,0)*K89/_xlfn.XLOOKUP($A89,'00_SKU_Master'!$B$2:$B$378,'00_SKU_Master'!$O:$O,0),"")</f>
        <v>#NAME?</v>
      </c>
      <c r="T87" s="113" t="e">
        <f t="shared" si="2"/>
        <v>#VALUE!</v>
      </c>
      <c r="U87" s="114" t="str">
        <f>'05_Daily_Orders'!L87</f>
        <v>LCL</v>
      </c>
    </row>
    <row r="88" spans="1:21">
      <c r="A88" s="108">
        <f>'05_Daily_Orders'!B88</f>
        <v>7107</v>
      </c>
      <c r="B88" s="50">
        <v>0</v>
      </c>
      <c r="C88" s="50">
        <v>0</v>
      </c>
      <c r="D88" s="109"/>
      <c r="E88" s="109"/>
      <c r="F88">
        <v>0</v>
      </c>
      <c r="L88" s="110">
        <f t="shared" si="3"/>
        <v>0</v>
      </c>
      <c r="M88" s="111" t="str">
        <f>_xlfn.IFNA(_xlfn.XLOOKUP(A88,'00_SKU_Master'!$B$2:$B$378,'00_SKU_Master'!$C$2:$C$378,0),"")</f>
        <v>61048#2</v>
      </c>
      <c r="N88" s="112" t="e">
        <f>_xlfn.IFNA(_xlfn.XLOOKUP(A88,'00_SKU_Master'!$B$2:$B$378,'00_SKU_Master'!$F$2:$F$378,0)*F88/_xlfn.XLOOKUP(A88,'00_SKU_Master'!$B$2:$B$378,'00_SKU_Master'!$O:$O,0),"")</f>
        <v>#VALUE!</v>
      </c>
      <c r="O88" s="112" t="e">
        <f ca="1">_xludf.IFNA(_xlfn.XLOOKUP($A90,'00_SKU_Master'!$B$2:$B$378,'00_SKU_Master'!$F$2:$F$378,0)*G90/_xlfn.XLOOKUP($A90,'00_SKU_Master'!$B$2:$B$378,'00_SKU_Master'!$O:$O,0),"")</f>
        <v>#NAME?</v>
      </c>
      <c r="P88" s="112" t="e">
        <f ca="1">_xludf.IFNA(_xlfn.XLOOKUP($A90,'00_SKU_Master'!$B$2:$B$378,'00_SKU_Master'!$F$2:$F$378,0)*H90/_xlfn.XLOOKUP($A90,'00_SKU_Master'!$B$2:$B$378,'00_SKU_Master'!$O:$O,0),"")</f>
        <v>#NAME?</v>
      </c>
      <c r="Q88" s="112" t="e">
        <f ca="1">_xludf.IFNA(_xlfn.XLOOKUP($A90,'00_SKU_Master'!$B$2:$B$378,'00_SKU_Master'!$F$2:$F$378,0)*I90/_xlfn.XLOOKUP($A90,'00_SKU_Master'!$B$2:$B$378,'00_SKU_Master'!$O:$O,0),"")</f>
        <v>#NAME?</v>
      </c>
      <c r="R88" s="112" t="e">
        <f ca="1">_xludf.IFNA(_xlfn.XLOOKUP($A90,'00_SKU_Master'!$B$2:$B$378,'00_SKU_Master'!$F$2:$F$378,0)*J90/_xlfn.XLOOKUP($A90,'00_SKU_Master'!$B$2:$B$378,'00_SKU_Master'!$O:$O,0),"")</f>
        <v>#NAME?</v>
      </c>
      <c r="S88" s="112" t="e">
        <f ca="1">_xludf.IFNA(_xlfn.XLOOKUP($A90,'00_SKU_Master'!$B$2:$B$378,'00_SKU_Master'!$F$2:$F$378,0)*K90/_xlfn.XLOOKUP($A90,'00_SKU_Master'!$B$2:$B$378,'00_SKU_Master'!$O:$O,0),"")</f>
        <v>#NAME?</v>
      </c>
      <c r="T88" s="113" t="e">
        <f t="shared" si="2"/>
        <v>#VALUE!</v>
      </c>
      <c r="U88" s="114" t="str">
        <f>'05_Daily_Orders'!L88</f>
        <v>LCL</v>
      </c>
    </row>
    <row r="89" spans="1:21">
      <c r="A89" s="108">
        <f>'05_Daily_Orders'!B89</f>
        <v>7108</v>
      </c>
      <c r="B89" s="50">
        <v>0</v>
      </c>
      <c r="C89" s="50">
        <v>0</v>
      </c>
      <c r="D89" s="109"/>
      <c r="E89" s="109"/>
      <c r="F89">
        <v>0</v>
      </c>
      <c r="L89" s="110">
        <f t="shared" si="3"/>
        <v>0</v>
      </c>
      <c r="M89" s="111" t="str">
        <f>_xlfn.IFNA(_xlfn.XLOOKUP(A89,'00_SKU_Master'!$B$2:$B$378,'00_SKU_Master'!$C$2:$C$378,0),"")</f>
        <v>61072#2</v>
      </c>
      <c r="N89" s="112" t="e">
        <f>_xlfn.IFNA(_xlfn.XLOOKUP(A89,'00_SKU_Master'!$B$2:$B$378,'00_SKU_Master'!$F$2:$F$378,0)*F89/_xlfn.XLOOKUP(A89,'00_SKU_Master'!$B$2:$B$378,'00_SKU_Master'!$O:$O,0),"")</f>
        <v>#VALUE!</v>
      </c>
      <c r="O89" s="112" t="e">
        <f ca="1">_xludf.IFNA(_xlfn.XLOOKUP($A91,'00_SKU_Master'!$B$2:$B$378,'00_SKU_Master'!$F$2:$F$378,0)*G91/_xlfn.XLOOKUP($A91,'00_SKU_Master'!$B$2:$B$378,'00_SKU_Master'!$O:$O,0),"")</f>
        <v>#NAME?</v>
      </c>
      <c r="P89" s="112" t="e">
        <f ca="1">_xludf.IFNA(_xlfn.XLOOKUP($A91,'00_SKU_Master'!$B$2:$B$378,'00_SKU_Master'!$F$2:$F$378,0)*H91/_xlfn.XLOOKUP($A91,'00_SKU_Master'!$B$2:$B$378,'00_SKU_Master'!$O:$O,0),"")</f>
        <v>#NAME?</v>
      </c>
      <c r="Q89" s="112" t="e">
        <f ca="1">_xludf.IFNA(_xlfn.XLOOKUP($A91,'00_SKU_Master'!$B$2:$B$378,'00_SKU_Master'!$F$2:$F$378,0)*I91/_xlfn.XLOOKUP($A91,'00_SKU_Master'!$B$2:$B$378,'00_SKU_Master'!$O:$O,0),"")</f>
        <v>#NAME?</v>
      </c>
      <c r="R89" s="112" t="e">
        <f ca="1">_xludf.IFNA(_xlfn.XLOOKUP($A91,'00_SKU_Master'!$B$2:$B$378,'00_SKU_Master'!$F$2:$F$378,0)*J91/_xlfn.XLOOKUP($A91,'00_SKU_Master'!$B$2:$B$378,'00_SKU_Master'!$O:$O,0),"")</f>
        <v>#NAME?</v>
      </c>
      <c r="S89" s="112" t="e">
        <f ca="1">_xludf.IFNA(_xlfn.XLOOKUP($A91,'00_SKU_Master'!$B$2:$B$378,'00_SKU_Master'!$F$2:$F$378,0)*K91/_xlfn.XLOOKUP($A91,'00_SKU_Master'!$B$2:$B$378,'00_SKU_Master'!$O:$O,0),"")</f>
        <v>#NAME?</v>
      </c>
      <c r="T89" s="113" t="e">
        <f t="shared" si="2"/>
        <v>#VALUE!</v>
      </c>
      <c r="U89" s="114" t="str">
        <f>'05_Daily_Orders'!L89</f>
        <v>LCL</v>
      </c>
    </row>
    <row r="90" spans="1:21">
      <c r="A90" s="108">
        <f>'05_Daily_Orders'!B90</f>
        <v>7109</v>
      </c>
      <c r="B90" s="50">
        <v>0</v>
      </c>
      <c r="C90" s="50">
        <v>0</v>
      </c>
      <c r="D90" s="109"/>
      <c r="E90" s="109"/>
      <c r="F90">
        <v>0</v>
      </c>
      <c r="L90" s="110">
        <f t="shared" si="3"/>
        <v>0</v>
      </c>
      <c r="M90" s="111" t="str">
        <f>_xlfn.IFNA(_xlfn.XLOOKUP(A90,'00_SKU_Master'!$B$2:$B$378,'00_SKU_Master'!$C$2:$C$378,0),"")</f>
        <v>61040#2</v>
      </c>
      <c r="N90" s="112" t="e">
        <f>_xlfn.IFNA(_xlfn.XLOOKUP(A90,'00_SKU_Master'!$B$2:$B$378,'00_SKU_Master'!$F$2:$F$378,0)*F90/_xlfn.XLOOKUP(A90,'00_SKU_Master'!$B$2:$B$378,'00_SKU_Master'!$O:$O,0),"")</f>
        <v>#VALUE!</v>
      </c>
      <c r="O90" s="112" t="e">
        <f ca="1">_xludf.IFNA(_xlfn.XLOOKUP($A92,'00_SKU_Master'!$B$2:$B$378,'00_SKU_Master'!$F$2:$F$378,0)*G92/_xlfn.XLOOKUP($A92,'00_SKU_Master'!$B$2:$B$378,'00_SKU_Master'!$O:$O,0),"")</f>
        <v>#NAME?</v>
      </c>
      <c r="P90" s="112" t="e">
        <f ca="1">_xludf.IFNA(_xlfn.XLOOKUP($A92,'00_SKU_Master'!$B$2:$B$378,'00_SKU_Master'!$F$2:$F$378,0)*H92/_xlfn.XLOOKUP($A92,'00_SKU_Master'!$B$2:$B$378,'00_SKU_Master'!$O:$O,0),"")</f>
        <v>#NAME?</v>
      </c>
      <c r="Q90" s="112" t="e">
        <f ca="1">_xludf.IFNA(_xlfn.XLOOKUP($A92,'00_SKU_Master'!$B$2:$B$378,'00_SKU_Master'!$F$2:$F$378,0)*I92/_xlfn.XLOOKUP($A92,'00_SKU_Master'!$B$2:$B$378,'00_SKU_Master'!$O:$O,0),"")</f>
        <v>#NAME?</v>
      </c>
      <c r="R90" s="112" t="e">
        <f ca="1">_xludf.IFNA(_xlfn.XLOOKUP($A92,'00_SKU_Master'!$B$2:$B$378,'00_SKU_Master'!$F$2:$F$378,0)*J92/_xlfn.XLOOKUP($A92,'00_SKU_Master'!$B$2:$B$378,'00_SKU_Master'!$O:$O,0),"")</f>
        <v>#NAME?</v>
      </c>
      <c r="S90" s="112" t="e">
        <f ca="1">_xludf.IFNA(_xlfn.XLOOKUP($A92,'00_SKU_Master'!$B$2:$B$378,'00_SKU_Master'!$F$2:$F$378,0)*K92/_xlfn.XLOOKUP($A92,'00_SKU_Master'!$B$2:$B$378,'00_SKU_Master'!$O:$O,0),"")</f>
        <v>#NAME?</v>
      </c>
      <c r="T90" s="113" t="e">
        <f t="shared" si="2"/>
        <v>#VALUE!</v>
      </c>
      <c r="U90" s="114" t="str">
        <f>'05_Daily_Orders'!L90</f>
        <v>LCL</v>
      </c>
    </row>
    <row r="91" spans="1:21">
      <c r="A91" s="108">
        <f>'05_Daily_Orders'!B91</f>
        <v>7115</v>
      </c>
      <c r="B91" s="50">
        <v>0</v>
      </c>
      <c r="C91" s="50">
        <v>0</v>
      </c>
      <c r="D91" s="109"/>
      <c r="E91" s="109"/>
      <c r="F91">
        <v>0</v>
      </c>
      <c r="L91" s="110">
        <f t="shared" si="3"/>
        <v>0</v>
      </c>
      <c r="M91" s="111" t="str">
        <f>_xlfn.IFNA(_xlfn.XLOOKUP(A91,'00_SKU_Master'!$B$2:$B$378,'00_SKU_Master'!$C$2:$C$378,0),"")</f>
        <v>61072#2</v>
      </c>
      <c r="N91" s="112" t="e">
        <f>_xlfn.IFNA(_xlfn.XLOOKUP(A91,'00_SKU_Master'!$B$2:$B$378,'00_SKU_Master'!$F$2:$F$378,0)*F91/_xlfn.XLOOKUP(A91,'00_SKU_Master'!$B$2:$B$378,'00_SKU_Master'!$O:$O,0),"")</f>
        <v>#VALUE!</v>
      </c>
      <c r="O91" s="112" t="e">
        <f ca="1">_xludf.IFNA(_xlfn.XLOOKUP($A93,'00_SKU_Master'!$B$2:$B$378,'00_SKU_Master'!$F$2:$F$378,0)*G93/_xlfn.XLOOKUP($A93,'00_SKU_Master'!$B$2:$B$378,'00_SKU_Master'!$O:$O,0),"")</f>
        <v>#NAME?</v>
      </c>
      <c r="P91" s="112" t="e">
        <f ca="1">_xludf.IFNA(_xlfn.XLOOKUP($A93,'00_SKU_Master'!$B$2:$B$378,'00_SKU_Master'!$F$2:$F$378,0)*H93/_xlfn.XLOOKUP($A93,'00_SKU_Master'!$B$2:$B$378,'00_SKU_Master'!$O:$O,0),"")</f>
        <v>#NAME?</v>
      </c>
      <c r="Q91" s="112" t="e">
        <f ca="1">_xludf.IFNA(_xlfn.XLOOKUP($A93,'00_SKU_Master'!$B$2:$B$378,'00_SKU_Master'!$F$2:$F$378,0)*I93/_xlfn.XLOOKUP($A93,'00_SKU_Master'!$B$2:$B$378,'00_SKU_Master'!$O:$O,0),"")</f>
        <v>#NAME?</v>
      </c>
      <c r="R91" s="112" t="e">
        <f ca="1">_xludf.IFNA(_xlfn.XLOOKUP($A93,'00_SKU_Master'!$B$2:$B$378,'00_SKU_Master'!$F$2:$F$378,0)*J93/_xlfn.XLOOKUP($A93,'00_SKU_Master'!$B$2:$B$378,'00_SKU_Master'!$O:$O,0),"")</f>
        <v>#NAME?</v>
      </c>
      <c r="S91" s="112" t="e">
        <f ca="1">_xludf.IFNA(_xlfn.XLOOKUP($A93,'00_SKU_Master'!$B$2:$B$378,'00_SKU_Master'!$F$2:$F$378,0)*K93/_xlfn.XLOOKUP($A93,'00_SKU_Master'!$B$2:$B$378,'00_SKU_Master'!$O:$O,0),"")</f>
        <v>#NAME?</v>
      </c>
      <c r="T91" s="113" t="e">
        <f t="shared" si="2"/>
        <v>#VALUE!</v>
      </c>
      <c r="U91" s="114" t="str">
        <f>'05_Daily_Orders'!L91</f>
        <v>LCL</v>
      </c>
    </row>
    <row r="92" spans="1:21">
      <c r="A92" s="108">
        <f>'05_Daily_Orders'!B92</f>
        <v>7116</v>
      </c>
      <c r="B92" s="50">
        <v>0</v>
      </c>
      <c r="C92" s="50">
        <v>0</v>
      </c>
      <c r="D92" s="109"/>
      <c r="E92" s="109"/>
      <c r="F92">
        <v>0</v>
      </c>
      <c r="L92" s="110">
        <f t="shared" si="3"/>
        <v>0</v>
      </c>
      <c r="M92" s="111">
        <f>_xlfn.IFNA(_xlfn.XLOOKUP(A92,'00_SKU_Master'!$B$2:$B$378,'00_SKU_Master'!$C$2:$C$378,0),"")</f>
        <v>61082</v>
      </c>
      <c r="N92" s="112" t="e">
        <f>_xlfn.IFNA(_xlfn.XLOOKUP(A92,'00_SKU_Master'!$B$2:$B$378,'00_SKU_Master'!$F$2:$F$378,0)*F92/_xlfn.XLOOKUP(A92,'00_SKU_Master'!$B$2:$B$378,'00_SKU_Master'!$O:$O,0),"")</f>
        <v>#VALUE!</v>
      </c>
      <c r="O92" s="112" t="e">
        <f ca="1">_xludf.IFNA(_xlfn.XLOOKUP($A94,'00_SKU_Master'!$B$2:$B$378,'00_SKU_Master'!$F$2:$F$378,0)*G94/_xlfn.XLOOKUP($A94,'00_SKU_Master'!$B$2:$B$378,'00_SKU_Master'!$O:$O,0),"")</f>
        <v>#NAME?</v>
      </c>
      <c r="P92" s="112" t="e">
        <f ca="1">_xludf.IFNA(_xlfn.XLOOKUP($A94,'00_SKU_Master'!$B$2:$B$378,'00_SKU_Master'!$F$2:$F$378,0)*H94/_xlfn.XLOOKUP($A94,'00_SKU_Master'!$B$2:$B$378,'00_SKU_Master'!$O:$O,0),"")</f>
        <v>#NAME?</v>
      </c>
      <c r="Q92" s="112" t="e">
        <f ca="1">_xludf.IFNA(_xlfn.XLOOKUP($A94,'00_SKU_Master'!$B$2:$B$378,'00_SKU_Master'!$F$2:$F$378,0)*I94/_xlfn.XLOOKUP($A94,'00_SKU_Master'!$B$2:$B$378,'00_SKU_Master'!$O:$O,0),"")</f>
        <v>#NAME?</v>
      </c>
      <c r="R92" s="112" t="e">
        <f ca="1">_xludf.IFNA(_xlfn.XLOOKUP($A94,'00_SKU_Master'!$B$2:$B$378,'00_SKU_Master'!$F$2:$F$378,0)*J94/_xlfn.XLOOKUP($A94,'00_SKU_Master'!$B$2:$B$378,'00_SKU_Master'!$O:$O,0),"")</f>
        <v>#NAME?</v>
      </c>
      <c r="S92" s="112" t="e">
        <f ca="1">_xludf.IFNA(_xlfn.XLOOKUP($A94,'00_SKU_Master'!$B$2:$B$378,'00_SKU_Master'!$F$2:$F$378,0)*K94/_xlfn.XLOOKUP($A94,'00_SKU_Master'!$B$2:$B$378,'00_SKU_Master'!$O:$O,0),"")</f>
        <v>#NAME?</v>
      </c>
      <c r="T92" s="113" t="e">
        <f t="shared" si="2"/>
        <v>#VALUE!</v>
      </c>
      <c r="U92" s="114" t="str">
        <f>'05_Daily_Orders'!L92</f>
        <v>LCL</v>
      </c>
    </row>
    <row r="93" spans="1:21">
      <c r="A93" s="108">
        <f>'05_Daily_Orders'!B93</f>
        <v>7117</v>
      </c>
      <c r="B93" s="50">
        <v>0</v>
      </c>
      <c r="C93" s="50">
        <v>0</v>
      </c>
      <c r="D93" s="109"/>
      <c r="E93" s="109"/>
      <c r="F93">
        <v>0</v>
      </c>
      <c r="L93" s="110">
        <f t="shared" si="3"/>
        <v>0</v>
      </c>
      <c r="M93" s="111" t="str">
        <f>_xlfn.IFNA(_xlfn.XLOOKUP(A93,'00_SKU_Master'!$B$2:$B$378,'00_SKU_Master'!$C$2:$C$378,0),"")</f>
        <v>61040#2</v>
      </c>
      <c r="N93" s="112" t="e">
        <f>_xlfn.IFNA(_xlfn.XLOOKUP(A93,'00_SKU_Master'!$B$2:$B$378,'00_SKU_Master'!$F$2:$F$378,0)*F93/_xlfn.XLOOKUP(A93,'00_SKU_Master'!$B$2:$B$378,'00_SKU_Master'!$O:$O,0),"")</f>
        <v>#VALUE!</v>
      </c>
      <c r="O93" s="112" t="e">
        <f ca="1">_xludf.IFNA(_xlfn.XLOOKUP($A95,'00_SKU_Master'!$B$2:$B$378,'00_SKU_Master'!$F$2:$F$378,0)*G95/_xlfn.XLOOKUP($A95,'00_SKU_Master'!$B$2:$B$378,'00_SKU_Master'!$O:$O,0),"")</f>
        <v>#NAME?</v>
      </c>
      <c r="P93" s="112" t="e">
        <f ca="1">_xludf.IFNA(_xlfn.XLOOKUP($A95,'00_SKU_Master'!$B$2:$B$378,'00_SKU_Master'!$F$2:$F$378,0)*H95/_xlfn.XLOOKUP($A95,'00_SKU_Master'!$B$2:$B$378,'00_SKU_Master'!$O:$O,0),"")</f>
        <v>#NAME?</v>
      </c>
      <c r="Q93" s="112" t="e">
        <f ca="1">_xludf.IFNA(_xlfn.XLOOKUP($A95,'00_SKU_Master'!$B$2:$B$378,'00_SKU_Master'!$F$2:$F$378,0)*I95/_xlfn.XLOOKUP($A95,'00_SKU_Master'!$B$2:$B$378,'00_SKU_Master'!$O:$O,0),"")</f>
        <v>#NAME?</v>
      </c>
      <c r="R93" s="112" t="e">
        <f ca="1">_xludf.IFNA(_xlfn.XLOOKUP($A95,'00_SKU_Master'!$B$2:$B$378,'00_SKU_Master'!$F$2:$F$378,0)*J95/_xlfn.XLOOKUP($A95,'00_SKU_Master'!$B$2:$B$378,'00_SKU_Master'!$O:$O,0),"")</f>
        <v>#NAME?</v>
      </c>
      <c r="S93" s="112" t="e">
        <f ca="1">_xludf.IFNA(_xlfn.XLOOKUP($A95,'00_SKU_Master'!$B$2:$B$378,'00_SKU_Master'!$F$2:$F$378,0)*K95/_xlfn.XLOOKUP($A95,'00_SKU_Master'!$B$2:$B$378,'00_SKU_Master'!$O:$O,0),"")</f>
        <v>#NAME?</v>
      </c>
      <c r="T93" s="113" t="e">
        <f t="shared" si="2"/>
        <v>#VALUE!</v>
      </c>
      <c r="U93" s="114" t="str">
        <f>'05_Daily_Orders'!L93</f>
        <v>LCL</v>
      </c>
    </row>
    <row r="94" spans="1:21">
      <c r="A94" s="108">
        <f>'05_Daily_Orders'!B94</f>
        <v>7118</v>
      </c>
      <c r="B94" s="50">
        <v>0</v>
      </c>
      <c r="C94" s="50">
        <v>0</v>
      </c>
      <c r="D94" s="109"/>
      <c r="E94" s="109"/>
      <c r="F94">
        <v>0</v>
      </c>
      <c r="L94" s="110">
        <f t="shared" si="3"/>
        <v>0</v>
      </c>
      <c r="M94" s="111" t="str">
        <f>_xlfn.IFNA(_xlfn.XLOOKUP(A94,'00_SKU_Master'!$B$2:$B$378,'00_SKU_Master'!$C$2:$C$378,0),"")</f>
        <v>61048#2</v>
      </c>
      <c r="N94" s="112" t="e">
        <f>_xlfn.IFNA(_xlfn.XLOOKUP(A94,'00_SKU_Master'!$B$2:$B$378,'00_SKU_Master'!$F$2:$F$378,0)*F94/_xlfn.XLOOKUP(A94,'00_SKU_Master'!$B$2:$B$378,'00_SKU_Master'!$O:$O,0),"")</f>
        <v>#VALUE!</v>
      </c>
      <c r="O94" s="112" t="e">
        <f ca="1">_xludf.IFNA(_xlfn.XLOOKUP($A96,'00_SKU_Master'!$B$2:$B$378,'00_SKU_Master'!$F$2:$F$378,0)*G96/_xlfn.XLOOKUP($A96,'00_SKU_Master'!$B$2:$B$378,'00_SKU_Master'!$O:$O,0),"")</f>
        <v>#NAME?</v>
      </c>
      <c r="P94" s="112" t="e">
        <f ca="1">_xludf.IFNA(_xlfn.XLOOKUP($A96,'00_SKU_Master'!$B$2:$B$378,'00_SKU_Master'!$F$2:$F$378,0)*H96/_xlfn.XLOOKUP($A96,'00_SKU_Master'!$B$2:$B$378,'00_SKU_Master'!$O:$O,0),"")</f>
        <v>#NAME?</v>
      </c>
      <c r="Q94" s="112" t="e">
        <f ca="1">_xludf.IFNA(_xlfn.XLOOKUP($A96,'00_SKU_Master'!$B$2:$B$378,'00_SKU_Master'!$F$2:$F$378,0)*I96/_xlfn.XLOOKUP($A96,'00_SKU_Master'!$B$2:$B$378,'00_SKU_Master'!$O:$O,0),"")</f>
        <v>#NAME?</v>
      </c>
      <c r="R94" s="112" t="e">
        <f ca="1">_xludf.IFNA(_xlfn.XLOOKUP($A96,'00_SKU_Master'!$B$2:$B$378,'00_SKU_Master'!$F$2:$F$378,0)*J96/_xlfn.XLOOKUP($A96,'00_SKU_Master'!$B$2:$B$378,'00_SKU_Master'!$O:$O,0),"")</f>
        <v>#NAME?</v>
      </c>
      <c r="S94" s="112" t="e">
        <f ca="1">_xludf.IFNA(_xlfn.XLOOKUP($A96,'00_SKU_Master'!$B$2:$B$378,'00_SKU_Master'!$F$2:$F$378,0)*K96/_xlfn.XLOOKUP($A96,'00_SKU_Master'!$B$2:$B$378,'00_SKU_Master'!$O:$O,0),"")</f>
        <v>#NAME?</v>
      </c>
      <c r="T94" s="113" t="e">
        <f t="shared" si="2"/>
        <v>#VALUE!</v>
      </c>
      <c r="U94" s="114" t="str">
        <f>'05_Daily_Orders'!L94</f>
        <v>LCL</v>
      </c>
    </row>
    <row r="95" spans="1:21">
      <c r="A95" s="108">
        <f>'05_Daily_Orders'!B95</f>
        <v>7119</v>
      </c>
      <c r="B95" s="50">
        <v>0</v>
      </c>
      <c r="C95" s="50">
        <v>0</v>
      </c>
      <c r="D95" s="109"/>
      <c r="E95" s="109"/>
      <c r="F95">
        <v>0</v>
      </c>
      <c r="L95" s="110">
        <f t="shared" si="3"/>
        <v>0</v>
      </c>
      <c r="M95" s="111" t="str">
        <f>_xlfn.IFNA(_xlfn.XLOOKUP(A95,'00_SKU_Master'!$B$2:$B$378,'00_SKU_Master'!$C$2:$C$378,0),"")</f>
        <v>61048#2</v>
      </c>
      <c r="N95" s="112" t="e">
        <f>_xlfn.IFNA(_xlfn.XLOOKUP(A95,'00_SKU_Master'!$B$2:$B$378,'00_SKU_Master'!$F$2:$F$378,0)*F95/_xlfn.XLOOKUP(A95,'00_SKU_Master'!$B$2:$B$378,'00_SKU_Master'!$O:$O,0),"")</f>
        <v>#VALUE!</v>
      </c>
      <c r="O95" s="112" t="e">
        <f ca="1">_xludf.IFNA(_xlfn.XLOOKUP($A97,'00_SKU_Master'!$B$2:$B$378,'00_SKU_Master'!$F$2:$F$378,0)*G97/_xlfn.XLOOKUP($A97,'00_SKU_Master'!$B$2:$B$378,'00_SKU_Master'!$O:$O,0),"")</f>
        <v>#NAME?</v>
      </c>
      <c r="P95" s="112" t="e">
        <f ca="1">_xludf.IFNA(_xlfn.XLOOKUP($A97,'00_SKU_Master'!$B$2:$B$378,'00_SKU_Master'!$F$2:$F$378,0)*H97/_xlfn.XLOOKUP($A97,'00_SKU_Master'!$B$2:$B$378,'00_SKU_Master'!$O:$O,0),"")</f>
        <v>#NAME?</v>
      </c>
      <c r="Q95" s="112" t="e">
        <f ca="1">_xludf.IFNA(_xlfn.XLOOKUP($A97,'00_SKU_Master'!$B$2:$B$378,'00_SKU_Master'!$F$2:$F$378,0)*I97/_xlfn.XLOOKUP($A97,'00_SKU_Master'!$B$2:$B$378,'00_SKU_Master'!$O:$O,0),"")</f>
        <v>#NAME?</v>
      </c>
      <c r="R95" s="112" t="e">
        <f ca="1">_xludf.IFNA(_xlfn.XLOOKUP($A97,'00_SKU_Master'!$B$2:$B$378,'00_SKU_Master'!$F$2:$F$378,0)*J97/_xlfn.XLOOKUP($A97,'00_SKU_Master'!$B$2:$B$378,'00_SKU_Master'!$O:$O,0),"")</f>
        <v>#NAME?</v>
      </c>
      <c r="S95" s="112" t="e">
        <f ca="1">_xludf.IFNA(_xlfn.XLOOKUP($A97,'00_SKU_Master'!$B$2:$B$378,'00_SKU_Master'!$F$2:$F$378,0)*K97/_xlfn.XLOOKUP($A97,'00_SKU_Master'!$B$2:$B$378,'00_SKU_Master'!$O:$O,0),"")</f>
        <v>#NAME?</v>
      </c>
      <c r="T95" s="113" t="e">
        <f t="shared" si="2"/>
        <v>#VALUE!</v>
      </c>
      <c r="U95" s="114" t="str">
        <f>'05_Daily_Orders'!L95</f>
        <v>LCL</v>
      </c>
    </row>
    <row r="96" spans="1:21">
      <c r="A96" s="108">
        <f>'05_Daily_Orders'!B96</f>
        <v>7120</v>
      </c>
      <c r="B96" s="50">
        <v>0</v>
      </c>
      <c r="C96" s="50">
        <v>0</v>
      </c>
      <c r="D96" s="109"/>
      <c r="E96" s="109"/>
      <c r="F96">
        <v>0</v>
      </c>
      <c r="L96" s="110">
        <f t="shared" si="3"/>
        <v>0</v>
      </c>
      <c r="M96" s="111" t="str">
        <f>_xlfn.IFNA(_xlfn.XLOOKUP(A96,'00_SKU_Master'!$B$2:$B$378,'00_SKU_Master'!$C$2:$C$378,0),"")</f>
        <v>61086#2</v>
      </c>
      <c r="N96" s="112" t="e">
        <f>_xlfn.IFNA(_xlfn.XLOOKUP(A96,'00_SKU_Master'!$B$2:$B$378,'00_SKU_Master'!$F$2:$F$378,0)*F96/_xlfn.XLOOKUP(A96,'00_SKU_Master'!$B$2:$B$378,'00_SKU_Master'!$O:$O,0),"")</f>
        <v>#VALUE!</v>
      </c>
      <c r="O96" s="112" t="e">
        <f ca="1">_xludf.IFNA(_xlfn.XLOOKUP($A98,'00_SKU_Master'!$B$2:$B$378,'00_SKU_Master'!$F$2:$F$378,0)*G98/_xlfn.XLOOKUP($A98,'00_SKU_Master'!$B$2:$B$378,'00_SKU_Master'!$O:$O,0),"")</f>
        <v>#NAME?</v>
      </c>
      <c r="P96" s="112" t="e">
        <f ca="1">_xludf.IFNA(_xlfn.XLOOKUP($A98,'00_SKU_Master'!$B$2:$B$378,'00_SKU_Master'!$F$2:$F$378,0)*H98/_xlfn.XLOOKUP($A98,'00_SKU_Master'!$B$2:$B$378,'00_SKU_Master'!$O:$O,0),"")</f>
        <v>#NAME?</v>
      </c>
      <c r="Q96" s="112" t="e">
        <f ca="1">_xludf.IFNA(_xlfn.XLOOKUP($A98,'00_SKU_Master'!$B$2:$B$378,'00_SKU_Master'!$F$2:$F$378,0)*I98/_xlfn.XLOOKUP($A98,'00_SKU_Master'!$B$2:$B$378,'00_SKU_Master'!$O:$O,0),"")</f>
        <v>#NAME?</v>
      </c>
      <c r="R96" s="112" t="e">
        <f ca="1">_xludf.IFNA(_xlfn.XLOOKUP($A98,'00_SKU_Master'!$B$2:$B$378,'00_SKU_Master'!$F$2:$F$378,0)*J98/_xlfn.XLOOKUP($A98,'00_SKU_Master'!$B$2:$B$378,'00_SKU_Master'!$O:$O,0),"")</f>
        <v>#NAME?</v>
      </c>
      <c r="S96" s="112" t="e">
        <f ca="1">_xludf.IFNA(_xlfn.XLOOKUP($A98,'00_SKU_Master'!$B$2:$B$378,'00_SKU_Master'!$F$2:$F$378,0)*K98/_xlfn.XLOOKUP($A98,'00_SKU_Master'!$B$2:$B$378,'00_SKU_Master'!$O:$O,0),"")</f>
        <v>#NAME?</v>
      </c>
      <c r="T96" s="113" t="e">
        <f t="shared" si="2"/>
        <v>#VALUE!</v>
      </c>
      <c r="U96" s="114" t="str">
        <f>'05_Daily_Orders'!L96</f>
        <v>LCL</v>
      </c>
    </row>
    <row r="97" spans="1:21">
      <c r="A97" s="108">
        <f>'05_Daily_Orders'!B97</f>
        <v>7121</v>
      </c>
      <c r="B97" s="50">
        <v>0</v>
      </c>
      <c r="C97" s="50">
        <v>0</v>
      </c>
      <c r="D97" s="109"/>
      <c r="E97" s="109"/>
      <c r="F97">
        <v>0</v>
      </c>
      <c r="L97" s="110">
        <f t="shared" si="3"/>
        <v>0</v>
      </c>
      <c r="M97" s="111">
        <f>_xlfn.IFNA(_xlfn.XLOOKUP(A97,'00_SKU_Master'!$B$2:$B$378,'00_SKU_Master'!$C$2:$C$378,0),"")</f>
        <v>203041</v>
      </c>
      <c r="N97" s="112" t="e">
        <f>_xlfn.IFNA(_xlfn.XLOOKUP(A97,'00_SKU_Master'!$B$2:$B$378,'00_SKU_Master'!$F$2:$F$378,0)*F97/_xlfn.XLOOKUP(A97,'00_SKU_Master'!$B$2:$B$378,'00_SKU_Master'!$O:$O,0),"")</f>
        <v>#VALUE!</v>
      </c>
      <c r="O97" s="112" t="e">
        <f ca="1">_xludf.IFNA(_xlfn.XLOOKUP($A99,'00_SKU_Master'!$B$2:$B$378,'00_SKU_Master'!$F$2:$F$378,0)*G99/_xlfn.XLOOKUP($A99,'00_SKU_Master'!$B$2:$B$378,'00_SKU_Master'!$O:$O,0),"")</f>
        <v>#NAME?</v>
      </c>
      <c r="P97" s="112" t="e">
        <f ca="1">_xludf.IFNA(_xlfn.XLOOKUP($A99,'00_SKU_Master'!$B$2:$B$378,'00_SKU_Master'!$F$2:$F$378,0)*H99/_xlfn.XLOOKUP($A99,'00_SKU_Master'!$B$2:$B$378,'00_SKU_Master'!$O:$O,0),"")</f>
        <v>#NAME?</v>
      </c>
      <c r="Q97" s="112" t="e">
        <f ca="1">_xludf.IFNA(_xlfn.XLOOKUP($A99,'00_SKU_Master'!$B$2:$B$378,'00_SKU_Master'!$F$2:$F$378,0)*I99/_xlfn.XLOOKUP($A99,'00_SKU_Master'!$B$2:$B$378,'00_SKU_Master'!$O:$O,0),"")</f>
        <v>#NAME?</v>
      </c>
      <c r="R97" s="112" t="e">
        <f ca="1">_xludf.IFNA(_xlfn.XLOOKUP($A99,'00_SKU_Master'!$B$2:$B$378,'00_SKU_Master'!$F$2:$F$378,0)*J99/_xlfn.XLOOKUP($A99,'00_SKU_Master'!$B$2:$B$378,'00_SKU_Master'!$O:$O,0),"")</f>
        <v>#NAME?</v>
      </c>
      <c r="S97" s="112" t="e">
        <f ca="1">_xludf.IFNA(_xlfn.XLOOKUP($A99,'00_SKU_Master'!$B$2:$B$378,'00_SKU_Master'!$F$2:$F$378,0)*K99/_xlfn.XLOOKUP($A99,'00_SKU_Master'!$B$2:$B$378,'00_SKU_Master'!$O:$O,0),"")</f>
        <v>#NAME?</v>
      </c>
      <c r="T97" s="113" t="e">
        <f t="shared" si="2"/>
        <v>#VALUE!</v>
      </c>
      <c r="U97" s="114" t="str">
        <f>'05_Daily_Orders'!L97</f>
        <v>LCL</v>
      </c>
    </row>
    <row r="98" spans="1:21">
      <c r="A98" s="108">
        <f>'05_Daily_Orders'!B98</f>
        <v>7136</v>
      </c>
      <c r="B98" s="50">
        <v>0</v>
      </c>
      <c r="C98" s="50">
        <v>0</v>
      </c>
      <c r="D98" s="109"/>
      <c r="E98" s="109"/>
      <c r="F98">
        <v>0</v>
      </c>
      <c r="L98" s="110">
        <f t="shared" si="3"/>
        <v>0</v>
      </c>
      <c r="M98" s="111" t="str">
        <f>_xlfn.IFNA(_xlfn.XLOOKUP(A98,'00_SKU_Master'!$B$2:$B$378,'00_SKU_Master'!$C$2:$C$378,0),"")</f>
        <v>61072#2</v>
      </c>
      <c r="N98" s="112" t="e">
        <f>_xlfn.IFNA(_xlfn.XLOOKUP(A98,'00_SKU_Master'!$B$2:$B$378,'00_SKU_Master'!$F$2:$F$378,0)*F98/_xlfn.XLOOKUP(A98,'00_SKU_Master'!$B$2:$B$378,'00_SKU_Master'!$O:$O,0),"")</f>
        <v>#VALUE!</v>
      </c>
      <c r="O98" s="112" t="e">
        <f ca="1">_xludf.IFNA(_xlfn.XLOOKUP($A100,'00_SKU_Master'!$B$2:$B$378,'00_SKU_Master'!$F$2:$F$378,0)*G100/_xlfn.XLOOKUP($A100,'00_SKU_Master'!$B$2:$B$378,'00_SKU_Master'!$O:$O,0),"")</f>
        <v>#NAME?</v>
      </c>
      <c r="P98" s="112" t="e">
        <f ca="1">_xludf.IFNA(_xlfn.XLOOKUP($A100,'00_SKU_Master'!$B$2:$B$378,'00_SKU_Master'!$F$2:$F$378,0)*H100/_xlfn.XLOOKUP($A100,'00_SKU_Master'!$B$2:$B$378,'00_SKU_Master'!$O:$O,0),"")</f>
        <v>#NAME?</v>
      </c>
      <c r="Q98" s="112" t="e">
        <f ca="1">_xludf.IFNA(_xlfn.XLOOKUP($A100,'00_SKU_Master'!$B$2:$B$378,'00_SKU_Master'!$F$2:$F$378,0)*I100/_xlfn.XLOOKUP($A100,'00_SKU_Master'!$B$2:$B$378,'00_SKU_Master'!$O:$O,0),"")</f>
        <v>#NAME?</v>
      </c>
      <c r="R98" s="112" t="e">
        <f ca="1">_xludf.IFNA(_xlfn.XLOOKUP($A100,'00_SKU_Master'!$B$2:$B$378,'00_SKU_Master'!$F$2:$F$378,0)*J100/_xlfn.XLOOKUP($A100,'00_SKU_Master'!$B$2:$B$378,'00_SKU_Master'!$O:$O,0),"")</f>
        <v>#NAME?</v>
      </c>
      <c r="S98" s="112" t="e">
        <f ca="1">_xludf.IFNA(_xlfn.XLOOKUP($A100,'00_SKU_Master'!$B$2:$B$378,'00_SKU_Master'!$F$2:$F$378,0)*K100/_xlfn.XLOOKUP($A100,'00_SKU_Master'!$B$2:$B$378,'00_SKU_Master'!$O:$O,0),"")</f>
        <v>#NAME?</v>
      </c>
      <c r="T98" s="113" t="e">
        <f t="shared" si="2"/>
        <v>#VALUE!</v>
      </c>
      <c r="U98" s="114" t="str">
        <f>'05_Daily_Orders'!L98</f>
        <v>LCL</v>
      </c>
    </row>
    <row r="99" spans="1:21">
      <c r="A99" s="108">
        <f>'05_Daily_Orders'!B99</f>
        <v>7137</v>
      </c>
      <c r="B99" s="50">
        <v>0</v>
      </c>
      <c r="C99" s="50">
        <v>0</v>
      </c>
      <c r="D99" s="109"/>
      <c r="E99" s="109"/>
      <c r="F99">
        <v>0</v>
      </c>
      <c r="L99" s="110">
        <f t="shared" si="3"/>
        <v>0</v>
      </c>
      <c r="M99" s="111">
        <f>_xlfn.IFNA(_xlfn.XLOOKUP(A99,'00_SKU_Master'!$B$2:$B$378,'00_SKU_Master'!$C$2:$C$378,0),"")</f>
        <v>61082</v>
      </c>
      <c r="N99" s="112" t="e">
        <f>_xlfn.IFNA(_xlfn.XLOOKUP(A99,'00_SKU_Master'!$B$2:$B$378,'00_SKU_Master'!$F$2:$F$378,0)*F99/_xlfn.XLOOKUP(A99,'00_SKU_Master'!$B$2:$B$378,'00_SKU_Master'!$O:$O,0),"")</f>
        <v>#VALUE!</v>
      </c>
      <c r="O99" s="112" t="e">
        <f ca="1">_xludf.IFNA(_xlfn.XLOOKUP($A101,'00_SKU_Master'!$B$2:$B$378,'00_SKU_Master'!$F$2:$F$378,0)*G101/_xlfn.XLOOKUP($A101,'00_SKU_Master'!$B$2:$B$378,'00_SKU_Master'!$O:$O,0),"")</f>
        <v>#NAME?</v>
      </c>
      <c r="P99" s="112" t="e">
        <f ca="1">_xludf.IFNA(_xlfn.XLOOKUP($A101,'00_SKU_Master'!$B$2:$B$378,'00_SKU_Master'!$F$2:$F$378,0)*H101/_xlfn.XLOOKUP($A101,'00_SKU_Master'!$B$2:$B$378,'00_SKU_Master'!$O:$O,0),"")</f>
        <v>#NAME?</v>
      </c>
      <c r="Q99" s="112" t="e">
        <f ca="1">_xludf.IFNA(_xlfn.XLOOKUP($A101,'00_SKU_Master'!$B$2:$B$378,'00_SKU_Master'!$F$2:$F$378,0)*I101/_xlfn.XLOOKUP($A101,'00_SKU_Master'!$B$2:$B$378,'00_SKU_Master'!$O:$O,0),"")</f>
        <v>#NAME?</v>
      </c>
      <c r="R99" s="112" t="e">
        <f ca="1">_xludf.IFNA(_xlfn.XLOOKUP($A101,'00_SKU_Master'!$B$2:$B$378,'00_SKU_Master'!$F$2:$F$378,0)*J101/_xlfn.XLOOKUP($A101,'00_SKU_Master'!$B$2:$B$378,'00_SKU_Master'!$O:$O,0),"")</f>
        <v>#NAME?</v>
      </c>
      <c r="S99" s="112" t="e">
        <f ca="1">_xludf.IFNA(_xlfn.XLOOKUP($A101,'00_SKU_Master'!$B$2:$B$378,'00_SKU_Master'!$F$2:$F$378,0)*K101/_xlfn.XLOOKUP($A101,'00_SKU_Master'!$B$2:$B$378,'00_SKU_Master'!$O:$O,0),"")</f>
        <v>#NAME?</v>
      </c>
      <c r="T99" s="113" t="e">
        <f t="shared" si="2"/>
        <v>#VALUE!</v>
      </c>
      <c r="U99" s="114" t="str">
        <f>'05_Daily_Orders'!L99</f>
        <v>LCL</v>
      </c>
    </row>
    <row r="100" spans="1:21">
      <c r="A100" s="108">
        <f>'05_Daily_Orders'!B100</f>
        <v>7145</v>
      </c>
      <c r="B100" s="50">
        <v>0</v>
      </c>
      <c r="C100" s="50">
        <v>0</v>
      </c>
      <c r="D100" s="109"/>
      <c r="E100" s="109"/>
      <c r="F100">
        <v>0</v>
      </c>
      <c r="L100" s="110">
        <f t="shared" si="3"/>
        <v>0</v>
      </c>
      <c r="M100" s="111" t="str">
        <f>_xlfn.IFNA(_xlfn.XLOOKUP(A100,'00_SKU_Master'!$B$2:$B$378,'00_SKU_Master'!$C$2:$C$378,0),"")</f>
        <v>61048#2</v>
      </c>
      <c r="N100" s="112" t="e">
        <f>_xlfn.IFNA(_xlfn.XLOOKUP(A100,'00_SKU_Master'!$B$2:$B$378,'00_SKU_Master'!$F$2:$F$378,0)*F100/_xlfn.XLOOKUP(A100,'00_SKU_Master'!$B$2:$B$378,'00_SKU_Master'!$O:$O,0),"")</f>
        <v>#VALUE!</v>
      </c>
      <c r="O100" s="112" t="e">
        <f ca="1">_xludf.IFNA(_xlfn.XLOOKUP($A102,'00_SKU_Master'!$B$2:$B$378,'00_SKU_Master'!$F$2:$F$378,0)*G102/_xlfn.XLOOKUP($A102,'00_SKU_Master'!$B$2:$B$378,'00_SKU_Master'!$O:$O,0),"")</f>
        <v>#NAME?</v>
      </c>
      <c r="P100" s="112" t="e">
        <f ca="1">_xludf.IFNA(_xlfn.XLOOKUP($A102,'00_SKU_Master'!$B$2:$B$378,'00_SKU_Master'!$F$2:$F$378,0)*H102/_xlfn.XLOOKUP($A102,'00_SKU_Master'!$B$2:$B$378,'00_SKU_Master'!$O:$O,0),"")</f>
        <v>#NAME?</v>
      </c>
      <c r="Q100" s="112" t="e">
        <f ca="1">_xludf.IFNA(_xlfn.XLOOKUP($A102,'00_SKU_Master'!$B$2:$B$378,'00_SKU_Master'!$F$2:$F$378,0)*I102/_xlfn.XLOOKUP($A102,'00_SKU_Master'!$B$2:$B$378,'00_SKU_Master'!$O:$O,0),"")</f>
        <v>#NAME?</v>
      </c>
      <c r="R100" s="112" t="e">
        <f ca="1">_xludf.IFNA(_xlfn.XLOOKUP($A102,'00_SKU_Master'!$B$2:$B$378,'00_SKU_Master'!$F$2:$F$378,0)*J102/_xlfn.XLOOKUP($A102,'00_SKU_Master'!$B$2:$B$378,'00_SKU_Master'!$O:$O,0),"")</f>
        <v>#NAME?</v>
      </c>
      <c r="S100" s="112" t="e">
        <f ca="1">_xludf.IFNA(_xlfn.XLOOKUP($A102,'00_SKU_Master'!$B$2:$B$378,'00_SKU_Master'!$F$2:$F$378,0)*K102/_xlfn.XLOOKUP($A102,'00_SKU_Master'!$B$2:$B$378,'00_SKU_Master'!$O:$O,0),"")</f>
        <v>#NAME?</v>
      </c>
      <c r="T100" s="113" t="e">
        <f t="shared" si="2"/>
        <v>#VALUE!</v>
      </c>
      <c r="U100" s="114" t="str">
        <f>'05_Daily_Orders'!L100</f>
        <v>LCL</v>
      </c>
    </row>
    <row r="101" spans="1:21">
      <c r="A101" s="108">
        <f>'05_Daily_Orders'!B101</f>
        <v>7146</v>
      </c>
      <c r="B101" s="50">
        <v>0</v>
      </c>
      <c r="C101" s="50">
        <v>0</v>
      </c>
      <c r="D101" s="109"/>
      <c r="E101" s="109"/>
      <c r="F101">
        <v>0</v>
      </c>
      <c r="L101" s="110">
        <f t="shared" si="3"/>
        <v>0</v>
      </c>
      <c r="M101" s="111" t="str">
        <f>_xlfn.IFNA(_xlfn.XLOOKUP(A101,'00_SKU_Master'!$B$2:$B$378,'00_SKU_Master'!$C$2:$C$378,0),"")</f>
        <v>61050#2</v>
      </c>
      <c r="N101" s="112" t="e">
        <f>_xlfn.IFNA(_xlfn.XLOOKUP(A101,'00_SKU_Master'!$B$2:$B$378,'00_SKU_Master'!$F$2:$F$378,0)*F101/_xlfn.XLOOKUP(A101,'00_SKU_Master'!$B$2:$B$378,'00_SKU_Master'!$O:$O,0),"")</f>
        <v>#VALUE!</v>
      </c>
      <c r="O101" s="112" t="e">
        <f ca="1">_xludf.IFNA(_xlfn.XLOOKUP($A103,'00_SKU_Master'!$B$2:$B$378,'00_SKU_Master'!$F$2:$F$378,0)*G103/_xlfn.XLOOKUP($A103,'00_SKU_Master'!$B$2:$B$378,'00_SKU_Master'!$O:$O,0),"")</f>
        <v>#NAME?</v>
      </c>
      <c r="P101" s="112" t="e">
        <f ca="1">_xludf.IFNA(_xlfn.XLOOKUP($A103,'00_SKU_Master'!$B$2:$B$378,'00_SKU_Master'!$F$2:$F$378,0)*H103/_xlfn.XLOOKUP($A103,'00_SKU_Master'!$B$2:$B$378,'00_SKU_Master'!$O:$O,0),"")</f>
        <v>#NAME?</v>
      </c>
      <c r="Q101" s="112" t="e">
        <f ca="1">_xludf.IFNA(_xlfn.XLOOKUP($A103,'00_SKU_Master'!$B$2:$B$378,'00_SKU_Master'!$F$2:$F$378,0)*I103/_xlfn.XLOOKUP($A103,'00_SKU_Master'!$B$2:$B$378,'00_SKU_Master'!$O:$O,0),"")</f>
        <v>#NAME?</v>
      </c>
      <c r="R101" s="112" t="e">
        <f ca="1">_xludf.IFNA(_xlfn.XLOOKUP($A103,'00_SKU_Master'!$B$2:$B$378,'00_SKU_Master'!$F$2:$F$378,0)*J103/_xlfn.XLOOKUP($A103,'00_SKU_Master'!$B$2:$B$378,'00_SKU_Master'!$O:$O,0),"")</f>
        <v>#NAME?</v>
      </c>
      <c r="S101" s="112" t="e">
        <f ca="1">_xludf.IFNA(_xlfn.XLOOKUP($A103,'00_SKU_Master'!$B$2:$B$378,'00_SKU_Master'!$F$2:$F$378,0)*K103/_xlfn.XLOOKUP($A103,'00_SKU_Master'!$B$2:$B$378,'00_SKU_Master'!$O:$O,0),"")</f>
        <v>#NAME?</v>
      </c>
      <c r="T101" s="113" t="e">
        <f t="shared" si="2"/>
        <v>#VALUE!</v>
      </c>
      <c r="U101" s="114" t="str">
        <f>'05_Daily_Orders'!L101</f>
        <v>LCL</v>
      </c>
    </row>
    <row r="102" spans="1:21">
      <c r="A102" s="108">
        <f>'05_Daily_Orders'!B102</f>
        <v>7149</v>
      </c>
      <c r="B102" s="50">
        <v>0</v>
      </c>
      <c r="C102" s="50">
        <v>0</v>
      </c>
      <c r="D102" s="109"/>
      <c r="E102" s="109"/>
      <c r="F102">
        <v>0</v>
      </c>
      <c r="L102" s="110">
        <f t="shared" si="3"/>
        <v>0</v>
      </c>
      <c r="M102" s="111" t="str">
        <f>_xlfn.IFNA(_xlfn.XLOOKUP(A102,'00_SKU_Master'!$B$2:$B$378,'00_SKU_Master'!$C$2:$C$378,0),"")</f>
        <v>61050#2</v>
      </c>
      <c r="N102" s="112" t="e">
        <f>_xlfn.IFNA(_xlfn.XLOOKUP(A102,'00_SKU_Master'!$B$2:$B$378,'00_SKU_Master'!$F$2:$F$378,0)*F102/_xlfn.XLOOKUP(A102,'00_SKU_Master'!$B$2:$B$378,'00_SKU_Master'!$O:$O,0),"")</f>
        <v>#VALUE!</v>
      </c>
      <c r="O102" s="112" t="e">
        <f ca="1">_xludf.IFNA(_xlfn.XLOOKUP($A104,'00_SKU_Master'!$B$2:$B$378,'00_SKU_Master'!$F$2:$F$378,0)*G104/_xlfn.XLOOKUP($A104,'00_SKU_Master'!$B$2:$B$378,'00_SKU_Master'!$O:$O,0),"")</f>
        <v>#NAME?</v>
      </c>
      <c r="P102" s="112" t="e">
        <f ca="1">_xludf.IFNA(_xlfn.XLOOKUP($A104,'00_SKU_Master'!$B$2:$B$378,'00_SKU_Master'!$F$2:$F$378,0)*H104/_xlfn.XLOOKUP($A104,'00_SKU_Master'!$B$2:$B$378,'00_SKU_Master'!$O:$O,0),"")</f>
        <v>#NAME?</v>
      </c>
      <c r="Q102" s="112" t="e">
        <f ca="1">_xludf.IFNA(_xlfn.XLOOKUP($A104,'00_SKU_Master'!$B$2:$B$378,'00_SKU_Master'!$F$2:$F$378,0)*I104/_xlfn.XLOOKUP($A104,'00_SKU_Master'!$B$2:$B$378,'00_SKU_Master'!$O:$O,0),"")</f>
        <v>#NAME?</v>
      </c>
      <c r="R102" s="112" t="e">
        <f ca="1">_xludf.IFNA(_xlfn.XLOOKUP($A104,'00_SKU_Master'!$B$2:$B$378,'00_SKU_Master'!$F$2:$F$378,0)*J104/_xlfn.XLOOKUP($A104,'00_SKU_Master'!$B$2:$B$378,'00_SKU_Master'!$O:$O,0),"")</f>
        <v>#NAME?</v>
      </c>
      <c r="S102" s="112" t="e">
        <f ca="1">_xludf.IFNA(_xlfn.XLOOKUP($A104,'00_SKU_Master'!$B$2:$B$378,'00_SKU_Master'!$F$2:$F$378,0)*K104/_xlfn.XLOOKUP($A104,'00_SKU_Master'!$B$2:$B$378,'00_SKU_Master'!$O:$O,0),"")</f>
        <v>#NAME?</v>
      </c>
      <c r="T102" s="113" t="e">
        <f t="shared" si="2"/>
        <v>#VALUE!</v>
      </c>
      <c r="U102" s="114" t="str">
        <f>'05_Daily_Orders'!L102</f>
        <v>LCL</v>
      </c>
    </row>
    <row r="103" spans="1:21">
      <c r="A103" s="108">
        <f>'05_Daily_Orders'!B103</f>
        <v>7150</v>
      </c>
      <c r="B103" s="50">
        <v>0</v>
      </c>
      <c r="C103" s="50">
        <v>0</v>
      </c>
      <c r="D103" s="109"/>
      <c r="E103" s="109"/>
      <c r="F103">
        <v>0</v>
      </c>
      <c r="L103" s="110">
        <f t="shared" si="3"/>
        <v>0</v>
      </c>
      <c r="M103" s="111" t="str">
        <f>_xlfn.IFNA(_xlfn.XLOOKUP(A103,'00_SKU_Master'!$B$2:$B$378,'00_SKU_Master'!$C$2:$C$378,0),"")</f>
        <v>61050#2</v>
      </c>
      <c r="N103" s="112" t="e">
        <f>_xlfn.IFNA(_xlfn.XLOOKUP(A103,'00_SKU_Master'!$B$2:$B$378,'00_SKU_Master'!$F$2:$F$378,0)*F103/_xlfn.XLOOKUP(A103,'00_SKU_Master'!$B$2:$B$378,'00_SKU_Master'!$O:$O,0),"")</f>
        <v>#VALUE!</v>
      </c>
      <c r="O103" s="112" t="e">
        <f ca="1">_xludf.IFNA(_xlfn.XLOOKUP($A105,'00_SKU_Master'!$B$2:$B$378,'00_SKU_Master'!$F$2:$F$378,0)*G105/_xlfn.XLOOKUP($A105,'00_SKU_Master'!$B$2:$B$378,'00_SKU_Master'!$O:$O,0),"")</f>
        <v>#NAME?</v>
      </c>
      <c r="P103" s="112" t="e">
        <f ca="1">_xludf.IFNA(_xlfn.XLOOKUP($A105,'00_SKU_Master'!$B$2:$B$378,'00_SKU_Master'!$F$2:$F$378,0)*H105/_xlfn.XLOOKUP($A105,'00_SKU_Master'!$B$2:$B$378,'00_SKU_Master'!$O:$O,0),"")</f>
        <v>#NAME?</v>
      </c>
      <c r="Q103" s="112" t="e">
        <f ca="1">_xludf.IFNA(_xlfn.XLOOKUP($A105,'00_SKU_Master'!$B$2:$B$378,'00_SKU_Master'!$F$2:$F$378,0)*I105/_xlfn.XLOOKUP($A105,'00_SKU_Master'!$B$2:$B$378,'00_SKU_Master'!$O:$O,0),"")</f>
        <v>#NAME?</v>
      </c>
      <c r="R103" s="112" t="e">
        <f ca="1">_xludf.IFNA(_xlfn.XLOOKUP($A105,'00_SKU_Master'!$B$2:$B$378,'00_SKU_Master'!$F$2:$F$378,0)*J105/_xlfn.XLOOKUP($A105,'00_SKU_Master'!$B$2:$B$378,'00_SKU_Master'!$O:$O,0),"")</f>
        <v>#NAME?</v>
      </c>
      <c r="S103" s="112" t="e">
        <f ca="1">_xludf.IFNA(_xlfn.XLOOKUP($A105,'00_SKU_Master'!$B$2:$B$378,'00_SKU_Master'!$F$2:$F$378,0)*K105/_xlfn.XLOOKUP($A105,'00_SKU_Master'!$B$2:$B$378,'00_SKU_Master'!$O:$O,0),"")</f>
        <v>#NAME?</v>
      </c>
      <c r="T103" s="113" t="e">
        <f t="shared" si="2"/>
        <v>#VALUE!</v>
      </c>
      <c r="U103" s="114" t="str">
        <f>'05_Daily_Orders'!L103</f>
        <v>LCL</v>
      </c>
    </row>
    <row r="104" spans="1:21">
      <c r="A104" s="108">
        <f>'05_Daily_Orders'!B104</f>
        <v>7153</v>
      </c>
      <c r="B104" s="50">
        <v>0</v>
      </c>
      <c r="C104" s="50">
        <v>0</v>
      </c>
      <c r="D104" s="109"/>
      <c r="E104" s="109"/>
      <c r="F104">
        <v>0</v>
      </c>
      <c r="L104" s="110">
        <f t="shared" si="3"/>
        <v>0</v>
      </c>
      <c r="M104" s="111" t="str">
        <f>_xlfn.IFNA(_xlfn.XLOOKUP(A104,'00_SKU_Master'!$B$2:$B$378,'00_SKU_Master'!$C$2:$C$378,0),"")</f>
        <v>61048#2</v>
      </c>
      <c r="N104" s="112" t="e">
        <f>_xlfn.IFNA(_xlfn.XLOOKUP(A104,'00_SKU_Master'!$B$2:$B$378,'00_SKU_Master'!$F$2:$F$378,0)*F104/_xlfn.XLOOKUP(A104,'00_SKU_Master'!$B$2:$B$378,'00_SKU_Master'!$O:$O,0),"")</f>
        <v>#VALUE!</v>
      </c>
      <c r="O104" s="112" t="e">
        <f ca="1">_xludf.IFNA(_xlfn.XLOOKUP($A106,'00_SKU_Master'!$B$2:$B$378,'00_SKU_Master'!$F$2:$F$378,0)*G106/_xlfn.XLOOKUP($A106,'00_SKU_Master'!$B$2:$B$378,'00_SKU_Master'!$O:$O,0),"")</f>
        <v>#NAME?</v>
      </c>
      <c r="P104" s="112" t="e">
        <f ca="1">_xludf.IFNA(_xlfn.XLOOKUP($A106,'00_SKU_Master'!$B$2:$B$378,'00_SKU_Master'!$F$2:$F$378,0)*H106/_xlfn.XLOOKUP($A106,'00_SKU_Master'!$B$2:$B$378,'00_SKU_Master'!$O:$O,0),"")</f>
        <v>#NAME?</v>
      </c>
      <c r="Q104" s="112" t="e">
        <f ca="1">_xludf.IFNA(_xlfn.XLOOKUP($A106,'00_SKU_Master'!$B$2:$B$378,'00_SKU_Master'!$F$2:$F$378,0)*I106/_xlfn.XLOOKUP($A106,'00_SKU_Master'!$B$2:$B$378,'00_SKU_Master'!$O:$O,0),"")</f>
        <v>#NAME?</v>
      </c>
      <c r="R104" s="112" t="e">
        <f ca="1">_xludf.IFNA(_xlfn.XLOOKUP($A106,'00_SKU_Master'!$B$2:$B$378,'00_SKU_Master'!$F$2:$F$378,0)*J106/_xlfn.XLOOKUP($A106,'00_SKU_Master'!$B$2:$B$378,'00_SKU_Master'!$O:$O,0),"")</f>
        <v>#NAME?</v>
      </c>
      <c r="S104" s="112" t="e">
        <f ca="1">_xludf.IFNA(_xlfn.XLOOKUP($A106,'00_SKU_Master'!$B$2:$B$378,'00_SKU_Master'!$F$2:$F$378,0)*K106/_xlfn.XLOOKUP($A106,'00_SKU_Master'!$B$2:$B$378,'00_SKU_Master'!$O:$O,0),"")</f>
        <v>#NAME?</v>
      </c>
      <c r="T104" s="113" t="e">
        <f t="shared" si="2"/>
        <v>#VALUE!</v>
      </c>
      <c r="U104" s="114" t="str">
        <f>'05_Daily_Orders'!L104</f>
        <v>LCL</v>
      </c>
    </row>
    <row r="105" spans="1:21">
      <c r="A105" s="108">
        <f>'05_Daily_Orders'!B105</f>
        <v>7155</v>
      </c>
      <c r="B105" s="50">
        <v>0</v>
      </c>
      <c r="C105" s="50">
        <v>0</v>
      </c>
      <c r="D105" s="109"/>
      <c r="E105" s="109"/>
      <c r="F105">
        <v>0</v>
      </c>
      <c r="L105" s="110">
        <f t="shared" si="3"/>
        <v>0</v>
      </c>
      <c r="M105" s="111" t="str">
        <f>_xlfn.IFNA(_xlfn.XLOOKUP(A105,'00_SKU_Master'!$B$2:$B$378,'00_SKU_Master'!$C$2:$C$378,0),"")</f>
        <v>61050#2</v>
      </c>
      <c r="N105" s="112" t="e">
        <f>_xlfn.IFNA(_xlfn.XLOOKUP(A105,'00_SKU_Master'!$B$2:$B$378,'00_SKU_Master'!$F$2:$F$378,0)*F105/_xlfn.XLOOKUP(A105,'00_SKU_Master'!$B$2:$B$378,'00_SKU_Master'!$O:$O,0),"")</f>
        <v>#VALUE!</v>
      </c>
      <c r="O105" s="112" t="e">
        <f ca="1">_xludf.IFNA(_xlfn.XLOOKUP($A107,'00_SKU_Master'!$B$2:$B$378,'00_SKU_Master'!$F$2:$F$378,0)*G107/_xlfn.XLOOKUP($A107,'00_SKU_Master'!$B$2:$B$378,'00_SKU_Master'!$O:$O,0),"")</f>
        <v>#NAME?</v>
      </c>
      <c r="P105" s="112" t="e">
        <f ca="1">_xludf.IFNA(_xlfn.XLOOKUP($A107,'00_SKU_Master'!$B$2:$B$378,'00_SKU_Master'!$F$2:$F$378,0)*H107/_xlfn.XLOOKUP($A107,'00_SKU_Master'!$B$2:$B$378,'00_SKU_Master'!$O:$O,0),"")</f>
        <v>#NAME?</v>
      </c>
      <c r="Q105" s="112" t="e">
        <f ca="1">_xludf.IFNA(_xlfn.XLOOKUP($A107,'00_SKU_Master'!$B$2:$B$378,'00_SKU_Master'!$F$2:$F$378,0)*I107/_xlfn.XLOOKUP($A107,'00_SKU_Master'!$B$2:$B$378,'00_SKU_Master'!$O:$O,0),"")</f>
        <v>#NAME?</v>
      </c>
      <c r="R105" s="112" t="e">
        <f ca="1">_xludf.IFNA(_xlfn.XLOOKUP($A107,'00_SKU_Master'!$B$2:$B$378,'00_SKU_Master'!$F$2:$F$378,0)*J107/_xlfn.XLOOKUP($A107,'00_SKU_Master'!$B$2:$B$378,'00_SKU_Master'!$O:$O,0),"")</f>
        <v>#NAME?</v>
      </c>
      <c r="S105" s="112" t="e">
        <f ca="1">_xludf.IFNA(_xlfn.XLOOKUP($A107,'00_SKU_Master'!$B$2:$B$378,'00_SKU_Master'!$F$2:$F$378,0)*K107/_xlfn.XLOOKUP($A107,'00_SKU_Master'!$B$2:$B$378,'00_SKU_Master'!$O:$O,0),"")</f>
        <v>#NAME?</v>
      </c>
      <c r="T105" s="113" t="e">
        <f t="shared" si="2"/>
        <v>#VALUE!</v>
      </c>
      <c r="U105" s="114" t="str">
        <f>'05_Daily_Orders'!L105</f>
        <v>LCL</v>
      </c>
    </row>
    <row r="106" spans="1:21">
      <c r="A106" s="108">
        <f>'05_Daily_Orders'!B106</f>
        <v>7159</v>
      </c>
      <c r="B106" s="50">
        <v>0</v>
      </c>
      <c r="C106" s="50">
        <v>0</v>
      </c>
      <c r="D106" s="109"/>
      <c r="E106" s="109"/>
      <c r="F106">
        <v>0</v>
      </c>
      <c r="L106" s="110">
        <f t="shared" si="3"/>
        <v>0</v>
      </c>
      <c r="M106" s="111" t="str">
        <f>_xlfn.IFNA(_xlfn.XLOOKUP(A106,'00_SKU_Master'!$B$2:$B$378,'00_SKU_Master'!$C$2:$C$378,0),"")</f>
        <v>61050#2</v>
      </c>
      <c r="N106" s="112" t="e">
        <f>_xlfn.IFNA(_xlfn.XLOOKUP(A106,'00_SKU_Master'!$B$2:$B$378,'00_SKU_Master'!$F$2:$F$378,0)*F106/_xlfn.XLOOKUP(A106,'00_SKU_Master'!$B$2:$B$378,'00_SKU_Master'!$O:$O,0),"")</f>
        <v>#VALUE!</v>
      </c>
      <c r="O106" s="112" t="e">
        <f ca="1">_xludf.IFNA(_xlfn.XLOOKUP($A108,'00_SKU_Master'!$B$2:$B$378,'00_SKU_Master'!$F$2:$F$378,0)*G108/_xlfn.XLOOKUP($A108,'00_SKU_Master'!$B$2:$B$378,'00_SKU_Master'!$O:$O,0),"")</f>
        <v>#NAME?</v>
      </c>
      <c r="P106" s="112" t="e">
        <f ca="1">_xludf.IFNA(_xlfn.XLOOKUP($A108,'00_SKU_Master'!$B$2:$B$378,'00_SKU_Master'!$F$2:$F$378,0)*H108/_xlfn.XLOOKUP($A108,'00_SKU_Master'!$B$2:$B$378,'00_SKU_Master'!$O:$O,0),"")</f>
        <v>#NAME?</v>
      </c>
      <c r="Q106" s="112" t="e">
        <f ca="1">_xludf.IFNA(_xlfn.XLOOKUP($A108,'00_SKU_Master'!$B$2:$B$378,'00_SKU_Master'!$F$2:$F$378,0)*I108/_xlfn.XLOOKUP($A108,'00_SKU_Master'!$B$2:$B$378,'00_SKU_Master'!$O:$O,0),"")</f>
        <v>#NAME?</v>
      </c>
      <c r="R106" s="112" t="e">
        <f ca="1">_xludf.IFNA(_xlfn.XLOOKUP($A108,'00_SKU_Master'!$B$2:$B$378,'00_SKU_Master'!$F$2:$F$378,0)*J108/_xlfn.XLOOKUP($A108,'00_SKU_Master'!$B$2:$B$378,'00_SKU_Master'!$O:$O,0),"")</f>
        <v>#NAME?</v>
      </c>
      <c r="S106" s="112" t="e">
        <f ca="1">_xludf.IFNA(_xlfn.XLOOKUP($A108,'00_SKU_Master'!$B$2:$B$378,'00_SKU_Master'!$F$2:$F$378,0)*K108/_xlfn.XLOOKUP($A108,'00_SKU_Master'!$B$2:$B$378,'00_SKU_Master'!$O:$O,0),"")</f>
        <v>#NAME?</v>
      </c>
      <c r="T106" s="113" t="e">
        <f t="shared" si="2"/>
        <v>#VALUE!</v>
      </c>
      <c r="U106" s="114" t="str">
        <f>'05_Daily_Orders'!L106</f>
        <v>LCL</v>
      </c>
    </row>
    <row r="107" spans="1:21">
      <c r="A107" s="108">
        <f>'05_Daily_Orders'!B107</f>
        <v>7160</v>
      </c>
      <c r="B107" s="50">
        <v>0</v>
      </c>
      <c r="C107" s="50">
        <v>0</v>
      </c>
      <c r="D107" s="109"/>
      <c r="E107" s="109"/>
      <c r="F107">
        <v>0</v>
      </c>
      <c r="L107" s="110">
        <f t="shared" si="3"/>
        <v>0</v>
      </c>
      <c r="M107" s="111" t="str">
        <f>_xlfn.IFNA(_xlfn.XLOOKUP(A107,'00_SKU_Master'!$B$2:$B$378,'00_SKU_Master'!$C$2:$C$378,0),"")</f>
        <v>61048#2</v>
      </c>
      <c r="N107" s="112" t="e">
        <f>_xlfn.IFNA(_xlfn.XLOOKUP(A107,'00_SKU_Master'!$B$2:$B$378,'00_SKU_Master'!$F$2:$F$378,0)*F107/_xlfn.XLOOKUP(A107,'00_SKU_Master'!$B$2:$B$378,'00_SKU_Master'!$O:$O,0),"")</f>
        <v>#VALUE!</v>
      </c>
      <c r="O107" s="112" t="e">
        <f ca="1">_xludf.IFNA(_xlfn.XLOOKUP($A109,'00_SKU_Master'!$B$2:$B$378,'00_SKU_Master'!$F$2:$F$378,0)*G109/_xlfn.XLOOKUP($A109,'00_SKU_Master'!$B$2:$B$378,'00_SKU_Master'!$O:$O,0),"")</f>
        <v>#NAME?</v>
      </c>
      <c r="P107" s="112" t="e">
        <f ca="1">_xludf.IFNA(_xlfn.XLOOKUP($A109,'00_SKU_Master'!$B$2:$B$378,'00_SKU_Master'!$F$2:$F$378,0)*H109/_xlfn.XLOOKUP($A109,'00_SKU_Master'!$B$2:$B$378,'00_SKU_Master'!$O:$O,0),"")</f>
        <v>#NAME?</v>
      </c>
      <c r="Q107" s="112" t="e">
        <f ca="1">_xludf.IFNA(_xlfn.XLOOKUP($A109,'00_SKU_Master'!$B$2:$B$378,'00_SKU_Master'!$F$2:$F$378,0)*I109/_xlfn.XLOOKUP($A109,'00_SKU_Master'!$B$2:$B$378,'00_SKU_Master'!$O:$O,0),"")</f>
        <v>#NAME?</v>
      </c>
      <c r="R107" s="112" t="e">
        <f ca="1">_xludf.IFNA(_xlfn.XLOOKUP($A109,'00_SKU_Master'!$B$2:$B$378,'00_SKU_Master'!$F$2:$F$378,0)*J109/_xlfn.XLOOKUP($A109,'00_SKU_Master'!$B$2:$B$378,'00_SKU_Master'!$O:$O,0),"")</f>
        <v>#NAME?</v>
      </c>
      <c r="S107" s="112" t="e">
        <f ca="1">_xludf.IFNA(_xlfn.XLOOKUP($A109,'00_SKU_Master'!$B$2:$B$378,'00_SKU_Master'!$F$2:$F$378,0)*K109/_xlfn.XLOOKUP($A109,'00_SKU_Master'!$B$2:$B$378,'00_SKU_Master'!$O:$O,0),"")</f>
        <v>#NAME?</v>
      </c>
      <c r="T107" s="113" t="e">
        <f t="shared" si="2"/>
        <v>#VALUE!</v>
      </c>
      <c r="U107" s="114" t="str">
        <f>'05_Daily_Orders'!L107</f>
        <v>LCL</v>
      </c>
    </row>
    <row r="108" spans="1:21">
      <c r="A108" s="108">
        <f>'05_Daily_Orders'!B108</f>
        <v>7161</v>
      </c>
      <c r="B108" s="50">
        <v>0</v>
      </c>
      <c r="C108" s="50">
        <v>0</v>
      </c>
      <c r="D108" s="109"/>
      <c r="E108" s="109"/>
      <c r="F108">
        <v>0</v>
      </c>
      <c r="L108" s="110">
        <f t="shared" si="3"/>
        <v>0</v>
      </c>
      <c r="M108" s="111" t="str">
        <f>_xlfn.IFNA(_xlfn.XLOOKUP(A108,'00_SKU_Master'!$B$2:$B$378,'00_SKU_Master'!$C$2:$C$378,0),"")</f>
        <v>61040#2</v>
      </c>
      <c r="N108" s="112" t="e">
        <f>_xlfn.IFNA(_xlfn.XLOOKUP(A108,'00_SKU_Master'!$B$2:$B$378,'00_SKU_Master'!$F$2:$F$378,0)*F108/_xlfn.XLOOKUP(A108,'00_SKU_Master'!$B$2:$B$378,'00_SKU_Master'!$O:$O,0),"")</f>
        <v>#VALUE!</v>
      </c>
      <c r="O108" s="112" t="e">
        <f ca="1">_xludf.IFNA(_xlfn.XLOOKUP($A110,'00_SKU_Master'!$B$2:$B$378,'00_SKU_Master'!$F$2:$F$378,0)*G110/_xlfn.XLOOKUP($A110,'00_SKU_Master'!$B$2:$B$378,'00_SKU_Master'!$O:$O,0),"")</f>
        <v>#NAME?</v>
      </c>
      <c r="P108" s="112" t="e">
        <f ca="1">_xludf.IFNA(_xlfn.XLOOKUP($A110,'00_SKU_Master'!$B$2:$B$378,'00_SKU_Master'!$F$2:$F$378,0)*H110/_xlfn.XLOOKUP($A110,'00_SKU_Master'!$B$2:$B$378,'00_SKU_Master'!$O:$O,0),"")</f>
        <v>#NAME?</v>
      </c>
      <c r="Q108" s="112" t="e">
        <f ca="1">_xludf.IFNA(_xlfn.XLOOKUP($A110,'00_SKU_Master'!$B$2:$B$378,'00_SKU_Master'!$F$2:$F$378,0)*I110/_xlfn.XLOOKUP($A110,'00_SKU_Master'!$B$2:$B$378,'00_SKU_Master'!$O:$O,0),"")</f>
        <v>#NAME?</v>
      </c>
      <c r="R108" s="112" t="e">
        <f ca="1">_xludf.IFNA(_xlfn.XLOOKUP($A110,'00_SKU_Master'!$B$2:$B$378,'00_SKU_Master'!$F$2:$F$378,0)*J110/_xlfn.XLOOKUP($A110,'00_SKU_Master'!$B$2:$B$378,'00_SKU_Master'!$O:$O,0),"")</f>
        <v>#NAME?</v>
      </c>
      <c r="S108" s="112" t="e">
        <f ca="1">_xludf.IFNA(_xlfn.XLOOKUP($A110,'00_SKU_Master'!$B$2:$B$378,'00_SKU_Master'!$F$2:$F$378,0)*K110/_xlfn.XLOOKUP($A110,'00_SKU_Master'!$B$2:$B$378,'00_SKU_Master'!$O:$O,0),"")</f>
        <v>#NAME?</v>
      </c>
      <c r="T108" s="113" t="e">
        <f t="shared" si="2"/>
        <v>#VALUE!</v>
      </c>
      <c r="U108" s="114" t="str">
        <f>'05_Daily_Orders'!L108</f>
        <v>LCL</v>
      </c>
    </row>
    <row r="109" spans="1:21">
      <c r="A109" s="108">
        <f>'05_Daily_Orders'!B109</f>
        <v>7162</v>
      </c>
      <c r="B109" s="50">
        <v>0</v>
      </c>
      <c r="C109" s="50">
        <v>0</v>
      </c>
      <c r="D109" s="109"/>
      <c r="E109" s="109"/>
      <c r="F109">
        <v>0</v>
      </c>
      <c r="L109" s="110">
        <f t="shared" si="3"/>
        <v>0</v>
      </c>
      <c r="M109" s="111" t="str">
        <f>_xlfn.IFNA(_xlfn.XLOOKUP(A109,'00_SKU_Master'!$B$2:$B$378,'00_SKU_Master'!$C$2:$C$378,0),"")</f>
        <v>61086#2</v>
      </c>
      <c r="N109" s="112" t="e">
        <f>_xlfn.IFNA(_xlfn.XLOOKUP(A109,'00_SKU_Master'!$B$2:$B$378,'00_SKU_Master'!$F$2:$F$378,0)*F109/_xlfn.XLOOKUP(A109,'00_SKU_Master'!$B$2:$B$378,'00_SKU_Master'!$O:$O,0),"")</f>
        <v>#VALUE!</v>
      </c>
      <c r="O109" s="112" t="e">
        <f ca="1">_xludf.IFNA(_xlfn.XLOOKUP($A111,'00_SKU_Master'!$B$2:$B$378,'00_SKU_Master'!$F$2:$F$378,0)*G111/_xlfn.XLOOKUP($A111,'00_SKU_Master'!$B$2:$B$378,'00_SKU_Master'!$O:$O,0),"")</f>
        <v>#NAME?</v>
      </c>
      <c r="P109" s="112" t="e">
        <f ca="1">_xludf.IFNA(_xlfn.XLOOKUP($A111,'00_SKU_Master'!$B$2:$B$378,'00_SKU_Master'!$F$2:$F$378,0)*H111/_xlfn.XLOOKUP($A111,'00_SKU_Master'!$B$2:$B$378,'00_SKU_Master'!$O:$O,0),"")</f>
        <v>#NAME?</v>
      </c>
      <c r="Q109" s="112" t="e">
        <f ca="1">_xludf.IFNA(_xlfn.XLOOKUP($A111,'00_SKU_Master'!$B$2:$B$378,'00_SKU_Master'!$F$2:$F$378,0)*I111/_xlfn.XLOOKUP($A111,'00_SKU_Master'!$B$2:$B$378,'00_SKU_Master'!$O:$O,0),"")</f>
        <v>#NAME?</v>
      </c>
      <c r="R109" s="112" t="e">
        <f ca="1">_xludf.IFNA(_xlfn.XLOOKUP($A111,'00_SKU_Master'!$B$2:$B$378,'00_SKU_Master'!$F$2:$F$378,0)*J111/_xlfn.XLOOKUP($A111,'00_SKU_Master'!$B$2:$B$378,'00_SKU_Master'!$O:$O,0),"")</f>
        <v>#NAME?</v>
      </c>
      <c r="S109" s="112" t="e">
        <f ca="1">_xludf.IFNA(_xlfn.XLOOKUP($A111,'00_SKU_Master'!$B$2:$B$378,'00_SKU_Master'!$F$2:$F$378,0)*K111/_xlfn.XLOOKUP($A111,'00_SKU_Master'!$B$2:$B$378,'00_SKU_Master'!$O:$O,0),"")</f>
        <v>#NAME?</v>
      </c>
      <c r="T109" s="113" t="e">
        <f t="shared" si="2"/>
        <v>#VALUE!</v>
      </c>
      <c r="U109" s="114" t="str">
        <f>'05_Daily_Orders'!L109</f>
        <v>LCL</v>
      </c>
    </row>
    <row r="110" spans="1:21">
      <c r="A110" s="108">
        <f>'05_Daily_Orders'!B110</f>
        <v>7163</v>
      </c>
      <c r="B110" s="50">
        <v>0</v>
      </c>
      <c r="C110" s="50">
        <v>0</v>
      </c>
      <c r="D110" s="109"/>
      <c r="E110" s="109"/>
      <c r="F110">
        <v>0</v>
      </c>
      <c r="L110" s="110">
        <f t="shared" si="3"/>
        <v>0</v>
      </c>
      <c r="M110" s="111">
        <f>_xlfn.IFNA(_xlfn.XLOOKUP(A110,'00_SKU_Master'!$B$2:$B$378,'00_SKU_Master'!$C$2:$C$378,0),"")</f>
        <v>61082</v>
      </c>
      <c r="N110" s="112" t="e">
        <f>_xlfn.IFNA(_xlfn.XLOOKUP(A110,'00_SKU_Master'!$B$2:$B$378,'00_SKU_Master'!$F$2:$F$378,0)*F110/_xlfn.XLOOKUP(A110,'00_SKU_Master'!$B$2:$B$378,'00_SKU_Master'!$O:$O,0),"")</f>
        <v>#VALUE!</v>
      </c>
      <c r="O110" s="112" t="e">
        <f ca="1">_xludf.IFNA(_xlfn.XLOOKUP($A112,'00_SKU_Master'!$B$2:$B$378,'00_SKU_Master'!$F$2:$F$378,0)*G112/_xlfn.XLOOKUP($A112,'00_SKU_Master'!$B$2:$B$378,'00_SKU_Master'!$O:$O,0),"")</f>
        <v>#NAME?</v>
      </c>
      <c r="P110" s="112" t="e">
        <f ca="1">_xludf.IFNA(_xlfn.XLOOKUP($A112,'00_SKU_Master'!$B$2:$B$378,'00_SKU_Master'!$F$2:$F$378,0)*H112/_xlfn.XLOOKUP($A112,'00_SKU_Master'!$B$2:$B$378,'00_SKU_Master'!$O:$O,0),"")</f>
        <v>#NAME?</v>
      </c>
      <c r="Q110" s="112" t="e">
        <f ca="1">_xludf.IFNA(_xlfn.XLOOKUP($A112,'00_SKU_Master'!$B$2:$B$378,'00_SKU_Master'!$F$2:$F$378,0)*I112/_xlfn.XLOOKUP($A112,'00_SKU_Master'!$B$2:$B$378,'00_SKU_Master'!$O:$O,0),"")</f>
        <v>#NAME?</v>
      </c>
      <c r="R110" s="112" t="e">
        <f ca="1">_xludf.IFNA(_xlfn.XLOOKUP($A112,'00_SKU_Master'!$B$2:$B$378,'00_SKU_Master'!$F$2:$F$378,0)*J112/_xlfn.XLOOKUP($A112,'00_SKU_Master'!$B$2:$B$378,'00_SKU_Master'!$O:$O,0),"")</f>
        <v>#NAME?</v>
      </c>
      <c r="S110" s="112" t="e">
        <f ca="1">_xludf.IFNA(_xlfn.XLOOKUP($A112,'00_SKU_Master'!$B$2:$B$378,'00_SKU_Master'!$F$2:$F$378,0)*K112/_xlfn.XLOOKUP($A112,'00_SKU_Master'!$B$2:$B$378,'00_SKU_Master'!$O:$O,0),"")</f>
        <v>#NAME?</v>
      </c>
      <c r="T110" s="113" t="e">
        <f t="shared" si="2"/>
        <v>#VALUE!</v>
      </c>
      <c r="U110" s="114" t="str">
        <f>'05_Daily_Orders'!L110</f>
        <v>LCL</v>
      </c>
    </row>
    <row r="111" spans="1:21">
      <c r="A111" s="108">
        <f>'05_Daily_Orders'!B111</f>
        <v>7164</v>
      </c>
      <c r="B111" s="50">
        <v>0</v>
      </c>
      <c r="C111" s="50">
        <v>0</v>
      </c>
      <c r="D111" s="109"/>
      <c r="E111" s="109"/>
      <c r="F111">
        <v>0</v>
      </c>
      <c r="L111" s="110">
        <f t="shared" si="3"/>
        <v>0</v>
      </c>
      <c r="M111" s="111" t="str">
        <f>_xlfn.IFNA(_xlfn.XLOOKUP(A111,'00_SKU_Master'!$B$2:$B$378,'00_SKU_Master'!$C$2:$C$378,0),"")</f>
        <v>61072#2</v>
      </c>
      <c r="N111" s="112" t="e">
        <f>_xlfn.IFNA(_xlfn.XLOOKUP(A111,'00_SKU_Master'!$B$2:$B$378,'00_SKU_Master'!$F$2:$F$378,0)*F111/_xlfn.XLOOKUP(A111,'00_SKU_Master'!$B$2:$B$378,'00_SKU_Master'!$O:$O,0),"")</f>
        <v>#VALUE!</v>
      </c>
      <c r="O111" s="112" t="e">
        <f ca="1">_xludf.IFNA(_xlfn.XLOOKUP($A113,'00_SKU_Master'!$B$2:$B$378,'00_SKU_Master'!$F$2:$F$378,0)*G113/_xlfn.XLOOKUP($A113,'00_SKU_Master'!$B$2:$B$378,'00_SKU_Master'!$O:$O,0),"")</f>
        <v>#NAME?</v>
      </c>
      <c r="P111" s="112" t="e">
        <f ca="1">_xludf.IFNA(_xlfn.XLOOKUP($A113,'00_SKU_Master'!$B$2:$B$378,'00_SKU_Master'!$F$2:$F$378,0)*H113/_xlfn.XLOOKUP($A113,'00_SKU_Master'!$B$2:$B$378,'00_SKU_Master'!$O:$O,0),"")</f>
        <v>#NAME?</v>
      </c>
      <c r="Q111" s="112" t="e">
        <f ca="1">_xludf.IFNA(_xlfn.XLOOKUP($A113,'00_SKU_Master'!$B$2:$B$378,'00_SKU_Master'!$F$2:$F$378,0)*I113/_xlfn.XLOOKUP($A113,'00_SKU_Master'!$B$2:$B$378,'00_SKU_Master'!$O:$O,0),"")</f>
        <v>#NAME?</v>
      </c>
      <c r="R111" s="112" t="e">
        <f ca="1">_xludf.IFNA(_xlfn.XLOOKUP($A113,'00_SKU_Master'!$B$2:$B$378,'00_SKU_Master'!$F$2:$F$378,0)*J113/_xlfn.XLOOKUP($A113,'00_SKU_Master'!$B$2:$B$378,'00_SKU_Master'!$O:$O,0),"")</f>
        <v>#NAME?</v>
      </c>
      <c r="S111" s="112" t="e">
        <f ca="1">_xludf.IFNA(_xlfn.XLOOKUP($A113,'00_SKU_Master'!$B$2:$B$378,'00_SKU_Master'!$F$2:$F$378,0)*K113/_xlfn.XLOOKUP($A113,'00_SKU_Master'!$B$2:$B$378,'00_SKU_Master'!$O:$O,0),"")</f>
        <v>#NAME?</v>
      </c>
      <c r="T111" s="113" t="e">
        <f t="shared" si="2"/>
        <v>#VALUE!</v>
      </c>
      <c r="U111" s="114" t="str">
        <f>'05_Daily_Orders'!L111</f>
        <v>LCL</v>
      </c>
    </row>
    <row r="112" spans="1:21">
      <c r="A112" s="108">
        <f>'05_Daily_Orders'!B112</f>
        <v>7165</v>
      </c>
      <c r="B112" s="50">
        <v>0</v>
      </c>
      <c r="C112" s="50">
        <v>0</v>
      </c>
      <c r="D112" s="109"/>
      <c r="E112" s="109"/>
      <c r="F112">
        <v>0</v>
      </c>
      <c r="L112" s="110">
        <f t="shared" si="3"/>
        <v>0</v>
      </c>
      <c r="M112" s="111">
        <f>_xlfn.IFNA(_xlfn.XLOOKUP(A112,'00_SKU_Master'!$B$2:$B$378,'00_SKU_Master'!$C$2:$C$378,0),"")</f>
        <v>61061</v>
      </c>
      <c r="N112" s="112" t="e">
        <f>_xlfn.IFNA(_xlfn.XLOOKUP(A112,'00_SKU_Master'!$B$2:$B$378,'00_SKU_Master'!$F$2:$F$378,0)*F112/_xlfn.XLOOKUP(A112,'00_SKU_Master'!$B$2:$B$378,'00_SKU_Master'!$O:$O,0),"")</f>
        <v>#VALUE!</v>
      </c>
      <c r="O112" s="112" t="e">
        <f ca="1">_xludf.IFNA(_xlfn.XLOOKUP($A114,'00_SKU_Master'!$B$2:$B$378,'00_SKU_Master'!$F$2:$F$378,0)*G114/_xlfn.XLOOKUP($A114,'00_SKU_Master'!$B$2:$B$378,'00_SKU_Master'!$O:$O,0),"")</f>
        <v>#NAME?</v>
      </c>
      <c r="P112" s="112" t="e">
        <f ca="1">_xludf.IFNA(_xlfn.XLOOKUP($A114,'00_SKU_Master'!$B$2:$B$378,'00_SKU_Master'!$F$2:$F$378,0)*H114/_xlfn.XLOOKUP($A114,'00_SKU_Master'!$B$2:$B$378,'00_SKU_Master'!$O:$O,0),"")</f>
        <v>#NAME?</v>
      </c>
      <c r="Q112" s="112" t="e">
        <f ca="1">_xludf.IFNA(_xlfn.XLOOKUP($A114,'00_SKU_Master'!$B$2:$B$378,'00_SKU_Master'!$F$2:$F$378,0)*I114/_xlfn.XLOOKUP($A114,'00_SKU_Master'!$B$2:$B$378,'00_SKU_Master'!$O:$O,0),"")</f>
        <v>#NAME?</v>
      </c>
      <c r="R112" s="112" t="e">
        <f ca="1">_xludf.IFNA(_xlfn.XLOOKUP($A114,'00_SKU_Master'!$B$2:$B$378,'00_SKU_Master'!$F$2:$F$378,0)*J114/_xlfn.XLOOKUP($A114,'00_SKU_Master'!$B$2:$B$378,'00_SKU_Master'!$O:$O,0),"")</f>
        <v>#NAME?</v>
      </c>
      <c r="S112" s="112" t="e">
        <f ca="1">_xludf.IFNA(_xlfn.XLOOKUP($A114,'00_SKU_Master'!$B$2:$B$378,'00_SKU_Master'!$F$2:$F$378,0)*K114/_xlfn.XLOOKUP($A114,'00_SKU_Master'!$B$2:$B$378,'00_SKU_Master'!$O:$O,0),"")</f>
        <v>#NAME?</v>
      </c>
      <c r="T112" s="113" t="e">
        <f t="shared" si="2"/>
        <v>#VALUE!</v>
      </c>
      <c r="U112" s="114" t="str">
        <f>'05_Daily_Orders'!L112</f>
        <v>LCL</v>
      </c>
    </row>
    <row r="113" spans="1:21">
      <c r="A113" s="108">
        <f>'05_Daily_Orders'!B113</f>
        <v>7166</v>
      </c>
      <c r="B113" s="50">
        <v>0</v>
      </c>
      <c r="C113" s="50">
        <v>0</v>
      </c>
      <c r="D113" s="109"/>
      <c r="E113" s="109"/>
      <c r="F113">
        <v>0</v>
      </c>
      <c r="L113" s="110">
        <f t="shared" si="3"/>
        <v>0</v>
      </c>
      <c r="M113" s="111">
        <f>_xlfn.IFNA(_xlfn.XLOOKUP(A113,'00_SKU_Master'!$B$2:$B$378,'00_SKU_Master'!$C$2:$C$378,0),"")</f>
        <v>61010</v>
      </c>
      <c r="N113" s="112" t="e">
        <f>_xlfn.IFNA(_xlfn.XLOOKUP(A113,'00_SKU_Master'!$B$2:$B$378,'00_SKU_Master'!$F$2:$F$378,0)*F113/_xlfn.XLOOKUP(A113,'00_SKU_Master'!$B$2:$B$378,'00_SKU_Master'!$O:$O,0),"")</f>
        <v>#VALUE!</v>
      </c>
      <c r="O113" s="112" t="e">
        <f ca="1">_xludf.IFNA(_xlfn.XLOOKUP($A115,'00_SKU_Master'!$B$2:$B$378,'00_SKU_Master'!$F$2:$F$378,0)*G115/_xlfn.XLOOKUP($A115,'00_SKU_Master'!$B$2:$B$378,'00_SKU_Master'!$O:$O,0),"")</f>
        <v>#NAME?</v>
      </c>
      <c r="P113" s="112" t="e">
        <f ca="1">_xludf.IFNA(_xlfn.XLOOKUP($A115,'00_SKU_Master'!$B$2:$B$378,'00_SKU_Master'!$F$2:$F$378,0)*H115/_xlfn.XLOOKUP($A115,'00_SKU_Master'!$B$2:$B$378,'00_SKU_Master'!$O:$O,0),"")</f>
        <v>#NAME?</v>
      </c>
      <c r="Q113" s="112" t="e">
        <f ca="1">_xludf.IFNA(_xlfn.XLOOKUP($A115,'00_SKU_Master'!$B$2:$B$378,'00_SKU_Master'!$F$2:$F$378,0)*I115/_xlfn.XLOOKUP($A115,'00_SKU_Master'!$B$2:$B$378,'00_SKU_Master'!$O:$O,0),"")</f>
        <v>#NAME?</v>
      </c>
      <c r="R113" s="112" t="e">
        <f ca="1">_xludf.IFNA(_xlfn.XLOOKUP($A115,'00_SKU_Master'!$B$2:$B$378,'00_SKU_Master'!$F$2:$F$378,0)*J115/_xlfn.XLOOKUP($A115,'00_SKU_Master'!$B$2:$B$378,'00_SKU_Master'!$O:$O,0),"")</f>
        <v>#NAME?</v>
      </c>
      <c r="S113" s="112" t="e">
        <f ca="1">_xludf.IFNA(_xlfn.XLOOKUP($A115,'00_SKU_Master'!$B$2:$B$378,'00_SKU_Master'!$F$2:$F$378,0)*K115/_xlfn.XLOOKUP($A115,'00_SKU_Master'!$B$2:$B$378,'00_SKU_Master'!$O:$O,0),"")</f>
        <v>#NAME?</v>
      </c>
      <c r="T113" s="113" t="e">
        <f t="shared" si="2"/>
        <v>#VALUE!</v>
      </c>
      <c r="U113" s="114" t="str">
        <f>'05_Daily_Orders'!L113</f>
        <v>LCL</v>
      </c>
    </row>
    <row r="114" spans="1:21">
      <c r="A114" s="108">
        <f>'05_Daily_Orders'!B114</f>
        <v>7168</v>
      </c>
      <c r="B114" s="50">
        <v>0</v>
      </c>
      <c r="C114" s="50">
        <v>0</v>
      </c>
      <c r="D114" s="109"/>
      <c r="E114" s="109"/>
      <c r="F114">
        <v>0</v>
      </c>
      <c r="L114" s="110">
        <f t="shared" si="3"/>
        <v>0</v>
      </c>
      <c r="M114" s="111" t="str">
        <f>_xlfn.IFNA(_xlfn.XLOOKUP(A114,'00_SKU_Master'!$B$2:$B$378,'00_SKU_Master'!$C$2:$C$378,0),"")</f>
        <v>61072#2</v>
      </c>
      <c r="N114" s="112" t="e">
        <f>_xlfn.IFNA(_xlfn.XLOOKUP(A114,'00_SKU_Master'!$B$2:$B$378,'00_SKU_Master'!$F$2:$F$378,0)*F114/_xlfn.XLOOKUP(A114,'00_SKU_Master'!$B$2:$B$378,'00_SKU_Master'!$O:$O,0),"")</f>
        <v>#VALUE!</v>
      </c>
      <c r="O114" s="112" t="e">
        <f ca="1">_xludf.IFNA(_xlfn.XLOOKUP($A116,'00_SKU_Master'!$B$2:$B$378,'00_SKU_Master'!$F$2:$F$378,0)*G116/_xlfn.XLOOKUP($A116,'00_SKU_Master'!$B$2:$B$378,'00_SKU_Master'!$O:$O,0),"")</f>
        <v>#NAME?</v>
      </c>
      <c r="P114" s="112" t="e">
        <f ca="1">_xludf.IFNA(_xlfn.XLOOKUP($A116,'00_SKU_Master'!$B$2:$B$378,'00_SKU_Master'!$F$2:$F$378,0)*H116/_xlfn.XLOOKUP($A116,'00_SKU_Master'!$B$2:$B$378,'00_SKU_Master'!$O:$O,0),"")</f>
        <v>#NAME?</v>
      </c>
      <c r="Q114" s="112" t="e">
        <f ca="1">_xludf.IFNA(_xlfn.XLOOKUP($A116,'00_SKU_Master'!$B$2:$B$378,'00_SKU_Master'!$F$2:$F$378,0)*I116/_xlfn.XLOOKUP($A116,'00_SKU_Master'!$B$2:$B$378,'00_SKU_Master'!$O:$O,0),"")</f>
        <v>#NAME?</v>
      </c>
      <c r="R114" s="112" t="e">
        <f ca="1">_xludf.IFNA(_xlfn.XLOOKUP($A116,'00_SKU_Master'!$B$2:$B$378,'00_SKU_Master'!$F$2:$F$378,0)*J116/_xlfn.XLOOKUP($A116,'00_SKU_Master'!$B$2:$B$378,'00_SKU_Master'!$O:$O,0),"")</f>
        <v>#NAME?</v>
      </c>
      <c r="S114" s="112" t="e">
        <f ca="1">_xludf.IFNA(_xlfn.XLOOKUP($A116,'00_SKU_Master'!$B$2:$B$378,'00_SKU_Master'!$F$2:$F$378,0)*K116/_xlfn.XLOOKUP($A116,'00_SKU_Master'!$B$2:$B$378,'00_SKU_Master'!$O:$O,0),"")</f>
        <v>#NAME?</v>
      </c>
      <c r="T114" s="113" t="e">
        <f t="shared" si="2"/>
        <v>#VALUE!</v>
      </c>
      <c r="U114" s="114" t="str">
        <f>'05_Daily_Orders'!L114</f>
        <v>LCL</v>
      </c>
    </row>
    <row r="115" spans="1:21">
      <c r="A115" s="108">
        <f>'05_Daily_Orders'!B115</f>
        <v>7169</v>
      </c>
      <c r="B115" s="50">
        <v>0</v>
      </c>
      <c r="C115" s="50">
        <v>0</v>
      </c>
      <c r="D115" s="109"/>
      <c r="E115" s="109"/>
      <c r="F115">
        <v>0</v>
      </c>
      <c r="L115" s="110">
        <f t="shared" si="3"/>
        <v>0</v>
      </c>
      <c r="M115" s="111">
        <f>_xlfn.IFNA(_xlfn.XLOOKUP(A115,'00_SKU_Master'!$B$2:$B$378,'00_SKU_Master'!$C$2:$C$378,0),"")</f>
        <v>61082</v>
      </c>
      <c r="N115" s="112" t="e">
        <f>_xlfn.IFNA(_xlfn.XLOOKUP(A115,'00_SKU_Master'!$B$2:$B$378,'00_SKU_Master'!$F$2:$F$378,0)*F115/_xlfn.XLOOKUP(A115,'00_SKU_Master'!$B$2:$B$378,'00_SKU_Master'!$O:$O,0),"")</f>
        <v>#VALUE!</v>
      </c>
      <c r="O115" s="112" t="e">
        <f ca="1">_xludf.IFNA(_xlfn.XLOOKUP($A117,'00_SKU_Master'!$B$2:$B$378,'00_SKU_Master'!$F$2:$F$378,0)*G117/_xlfn.XLOOKUP($A117,'00_SKU_Master'!$B$2:$B$378,'00_SKU_Master'!$O:$O,0),"")</f>
        <v>#NAME?</v>
      </c>
      <c r="P115" s="112" t="e">
        <f ca="1">_xludf.IFNA(_xlfn.XLOOKUP($A117,'00_SKU_Master'!$B$2:$B$378,'00_SKU_Master'!$F$2:$F$378,0)*H117/_xlfn.XLOOKUP($A117,'00_SKU_Master'!$B$2:$B$378,'00_SKU_Master'!$O:$O,0),"")</f>
        <v>#NAME?</v>
      </c>
      <c r="Q115" s="112" t="e">
        <f ca="1">_xludf.IFNA(_xlfn.XLOOKUP($A117,'00_SKU_Master'!$B$2:$B$378,'00_SKU_Master'!$F$2:$F$378,0)*I117/_xlfn.XLOOKUP($A117,'00_SKU_Master'!$B$2:$B$378,'00_SKU_Master'!$O:$O,0),"")</f>
        <v>#NAME?</v>
      </c>
      <c r="R115" s="112" t="e">
        <f ca="1">_xludf.IFNA(_xlfn.XLOOKUP($A117,'00_SKU_Master'!$B$2:$B$378,'00_SKU_Master'!$F$2:$F$378,0)*J117/_xlfn.XLOOKUP($A117,'00_SKU_Master'!$B$2:$B$378,'00_SKU_Master'!$O:$O,0),"")</f>
        <v>#NAME?</v>
      </c>
      <c r="S115" s="112" t="e">
        <f ca="1">_xludf.IFNA(_xlfn.XLOOKUP($A117,'00_SKU_Master'!$B$2:$B$378,'00_SKU_Master'!$F$2:$F$378,0)*K117/_xlfn.XLOOKUP($A117,'00_SKU_Master'!$B$2:$B$378,'00_SKU_Master'!$O:$O,0),"")</f>
        <v>#NAME?</v>
      </c>
      <c r="T115" s="113" t="e">
        <f t="shared" si="2"/>
        <v>#VALUE!</v>
      </c>
      <c r="U115" s="114" t="str">
        <f>'05_Daily_Orders'!L115</f>
        <v>LCL</v>
      </c>
    </row>
    <row r="116" spans="1:21">
      <c r="A116" s="108">
        <f>'05_Daily_Orders'!B116</f>
        <v>7171</v>
      </c>
      <c r="B116" s="50">
        <v>0</v>
      </c>
      <c r="C116" s="50">
        <v>0</v>
      </c>
      <c r="D116" s="109"/>
      <c r="E116" s="109"/>
      <c r="F116">
        <v>0</v>
      </c>
      <c r="L116" s="110">
        <f t="shared" si="3"/>
        <v>0</v>
      </c>
      <c r="M116" s="111" t="str">
        <f>_xlfn.IFNA(_xlfn.XLOOKUP(A116,'00_SKU_Master'!$B$2:$B$378,'00_SKU_Master'!$C$2:$C$378,0),"")</f>
        <v>61086#2</v>
      </c>
      <c r="N116" s="112" t="e">
        <f>_xlfn.IFNA(_xlfn.XLOOKUP(A116,'00_SKU_Master'!$B$2:$B$378,'00_SKU_Master'!$F$2:$F$378,0)*F116/_xlfn.XLOOKUP(A116,'00_SKU_Master'!$B$2:$B$378,'00_SKU_Master'!$O:$O,0),"")</f>
        <v>#VALUE!</v>
      </c>
      <c r="O116" s="112" t="e">
        <f ca="1">_xludf.IFNA(_xlfn.XLOOKUP($A118,'00_SKU_Master'!$B$2:$B$378,'00_SKU_Master'!$F$2:$F$378,0)*G118/_xlfn.XLOOKUP($A118,'00_SKU_Master'!$B$2:$B$378,'00_SKU_Master'!$O:$O,0),"")</f>
        <v>#NAME?</v>
      </c>
      <c r="P116" s="112" t="e">
        <f ca="1">_xludf.IFNA(_xlfn.XLOOKUP($A118,'00_SKU_Master'!$B$2:$B$378,'00_SKU_Master'!$F$2:$F$378,0)*H118/_xlfn.XLOOKUP($A118,'00_SKU_Master'!$B$2:$B$378,'00_SKU_Master'!$O:$O,0),"")</f>
        <v>#NAME?</v>
      </c>
      <c r="Q116" s="112" t="e">
        <f ca="1">_xludf.IFNA(_xlfn.XLOOKUP($A118,'00_SKU_Master'!$B$2:$B$378,'00_SKU_Master'!$F$2:$F$378,0)*I118/_xlfn.XLOOKUP($A118,'00_SKU_Master'!$B$2:$B$378,'00_SKU_Master'!$O:$O,0),"")</f>
        <v>#NAME?</v>
      </c>
      <c r="R116" s="112" t="e">
        <f ca="1">_xludf.IFNA(_xlfn.XLOOKUP($A118,'00_SKU_Master'!$B$2:$B$378,'00_SKU_Master'!$F$2:$F$378,0)*J118/_xlfn.XLOOKUP($A118,'00_SKU_Master'!$B$2:$B$378,'00_SKU_Master'!$O:$O,0),"")</f>
        <v>#NAME?</v>
      </c>
      <c r="S116" s="112" t="e">
        <f ca="1">_xludf.IFNA(_xlfn.XLOOKUP($A118,'00_SKU_Master'!$B$2:$B$378,'00_SKU_Master'!$F$2:$F$378,0)*K118/_xlfn.XLOOKUP($A118,'00_SKU_Master'!$B$2:$B$378,'00_SKU_Master'!$O:$O,0),"")</f>
        <v>#NAME?</v>
      </c>
      <c r="T116" s="113" t="e">
        <f t="shared" si="2"/>
        <v>#VALUE!</v>
      </c>
      <c r="U116" s="114" t="str">
        <f>'05_Daily_Orders'!L116</f>
        <v>LCL</v>
      </c>
    </row>
    <row r="117" spans="1:21">
      <c r="A117" s="108">
        <f>'05_Daily_Orders'!B117</f>
        <v>7173</v>
      </c>
      <c r="B117" s="50">
        <v>0</v>
      </c>
      <c r="C117" s="50">
        <v>0</v>
      </c>
      <c r="D117" s="109"/>
      <c r="E117" s="109"/>
      <c r="F117">
        <v>0</v>
      </c>
      <c r="L117" s="110">
        <f t="shared" si="3"/>
        <v>0</v>
      </c>
      <c r="M117" s="111" t="str">
        <f>_xlfn.IFNA(_xlfn.XLOOKUP(A117,'00_SKU_Master'!$B$2:$B$378,'00_SKU_Master'!$C$2:$C$378,0),"")</f>
        <v>61072#2</v>
      </c>
      <c r="N117" s="112" t="e">
        <f>_xlfn.IFNA(_xlfn.XLOOKUP(A117,'00_SKU_Master'!$B$2:$B$378,'00_SKU_Master'!$F$2:$F$378,0)*F117/_xlfn.XLOOKUP(A117,'00_SKU_Master'!$B$2:$B$378,'00_SKU_Master'!$O:$O,0),"")</f>
        <v>#VALUE!</v>
      </c>
      <c r="O117" s="112" t="e">
        <f ca="1">_xludf.IFNA(_xlfn.XLOOKUP($A119,'00_SKU_Master'!$B$2:$B$378,'00_SKU_Master'!$F$2:$F$378,0)*G119/_xlfn.XLOOKUP($A119,'00_SKU_Master'!$B$2:$B$378,'00_SKU_Master'!$O:$O,0),"")</f>
        <v>#NAME?</v>
      </c>
      <c r="P117" s="112" t="e">
        <f ca="1">_xludf.IFNA(_xlfn.XLOOKUP($A119,'00_SKU_Master'!$B$2:$B$378,'00_SKU_Master'!$F$2:$F$378,0)*H119/_xlfn.XLOOKUP($A119,'00_SKU_Master'!$B$2:$B$378,'00_SKU_Master'!$O:$O,0),"")</f>
        <v>#NAME?</v>
      </c>
      <c r="Q117" s="112" t="e">
        <f ca="1">_xludf.IFNA(_xlfn.XLOOKUP($A119,'00_SKU_Master'!$B$2:$B$378,'00_SKU_Master'!$F$2:$F$378,0)*I119/_xlfn.XLOOKUP($A119,'00_SKU_Master'!$B$2:$B$378,'00_SKU_Master'!$O:$O,0),"")</f>
        <v>#NAME?</v>
      </c>
      <c r="R117" s="112" t="e">
        <f ca="1">_xludf.IFNA(_xlfn.XLOOKUP($A119,'00_SKU_Master'!$B$2:$B$378,'00_SKU_Master'!$F$2:$F$378,0)*J119/_xlfn.XLOOKUP($A119,'00_SKU_Master'!$B$2:$B$378,'00_SKU_Master'!$O:$O,0),"")</f>
        <v>#NAME?</v>
      </c>
      <c r="S117" s="112" t="e">
        <f ca="1">_xludf.IFNA(_xlfn.XLOOKUP($A119,'00_SKU_Master'!$B$2:$B$378,'00_SKU_Master'!$F$2:$F$378,0)*K119/_xlfn.XLOOKUP($A119,'00_SKU_Master'!$B$2:$B$378,'00_SKU_Master'!$O:$O,0),"")</f>
        <v>#NAME?</v>
      </c>
      <c r="T117" s="113" t="e">
        <f t="shared" si="2"/>
        <v>#VALUE!</v>
      </c>
      <c r="U117" s="114" t="str">
        <f>'05_Daily_Orders'!L117</f>
        <v>LCL</v>
      </c>
    </row>
    <row r="118" spans="1:21">
      <c r="A118" s="108">
        <f>'05_Daily_Orders'!B118</f>
        <v>7178</v>
      </c>
      <c r="B118" s="50">
        <v>0</v>
      </c>
      <c r="C118" s="50">
        <v>0</v>
      </c>
      <c r="D118" s="109"/>
      <c r="E118" s="109"/>
      <c r="F118">
        <v>0</v>
      </c>
      <c r="L118" s="110">
        <f t="shared" si="3"/>
        <v>0</v>
      </c>
      <c r="M118" s="111">
        <f>_xlfn.IFNA(_xlfn.XLOOKUP(A118,'00_SKU_Master'!$B$2:$B$378,'00_SKU_Master'!$C$2:$C$378,0),"")</f>
        <v>203891</v>
      </c>
      <c r="N118" s="112" t="e">
        <f>_xlfn.IFNA(_xlfn.XLOOKUP(A118,'00_SKU_Master'!$B$2:$B$378,'00_SKU_Master'!$F$2:$F$378,0)*F118/_xlfn.XLOOKUP(A118,'00_SKU_Master'!$B$2:$B$378,'00_SKU_Master'!$O:$O,0),"")</f>
        <v>#VALUE!</v>
      </c>
      <c r="O118" s="112" t="e">
        <f ca="1">_xludf.IFNA(_xlfn.XLOOKUP($A120,'00_SKU_Master'!$B$2:$B$378,'00_SKU_Master'!$F$2:$F$378,0)*G120/_xlfn.XLOOKUP($A120,'00_SKU_Master'!$B$2:$B$378,'00_SKU_Master'!$O:$O,0),"")</f>
        <v>#NAME?</v>
      </c>
      <c r="P118" s="112" t="e">
        <f ca="1">_xludf.IFNA(_xlfn.XLOOKUP($A120,'00_SKU_Master'!$B$2:$B$378,'00_SKU_Master'!$F$2:$F$378,0)*H120/_xlfn.XLOOKUP($A120,'00_SKU_Master'!$B$2:$B$378,'00_SKU_Master'!$O:$O,0),"")</f>
        <v>#NAME?</v>
      </c>
      <c r="Q118" s="112" t="e">
        <f ca="1">_xludf.IFNA(_xlfn.XLOOKUP($A120,'00_SKU_Master'!$B$2:$B$378,'00_SKU_Master'!$F$2:$F$378,0)*I120/_xlfn.XLOOKUP($A120,'00_SKU_Master'!$B$2:$B$378,'00_SKU_Master'!$O:$O,0),"")</f>
        <v>#NAME?</v>
      </c>
      <c r="R118" s="112" t="e">
        <f ca="1">_xludf.IFNA(_xlfn.XLOOKUP($A120,'00_SKU_Master'!$B$2:$B$378,'00_SKU_Master'!$F$2:$F$378,0)*J120/_xlfn.XLOOKUP($A120,'00_SKU_Master'!$B$2:$B$378,'00_SKU_Master'!$O:$O,0),"")</f>
        <v>#NAME?</v>
      </c>
      <c r="S118" s="112" t="e">
        <f ca="1">_xludf.IFNA(_xlfn.XLOOKUP($A120,'00_SKU_Master'!$B$2:$B$378,'00_SKU_Master'!$F$2:$F$378,0)*K120/_xlfn.XLOOKUP($A120,'00_SKU_Master'!$B$2:$B$378,'00_SKU_Master'!$O:$O,0),"")</f>
        <v>#NAME?</v>
      </c>
      <c r="T118" s="113" t="e">
        <f t="shared" si="2"/>
        <v>#VALUE!</v>
      </c>
      <c r="U118" s="114" t="str">
        <f>'05_Daily_Orders'!L118</f>
        <v>LCL</v>
      </c>
    </row>
    <row r="119" spans="1:21">
      <c r="A119" s="108">
        <f>'05_Daily_Orders'!B119</f>
        <v>7179</v>
      </c>
      <c r="B119" s="50">
        <v>0</v>
      </c>
      <c r="C119" s="50">
        <v>0</v>
      </c>
      <c r="D119" s="109"/>
      <c r="E119" s="109"/>
      <c r="F119">
        <v>0</v>
      </c>
      <c r="L119" s="110">
        <f t="shared" si="3"/>
        <v>0</v>
      </c>
      <c r="M119" s="111" t="str">
        <f>_xlfn.IFNA(_xlfn.XLOOKUP(A119,'00_SKU_Master'!$B$2:$B$378,'00_SKU_Master'!$C$2:$C$378,0),"")</f>
        <v>61050#2</v>
      </c>
      <c r="N119" s="112" t="e">
        <f>_xlfn.IFNA(_xlfn.XLOOKUP(A119,'00_SKU_Master'!$B$2:$B$378,'00_SKU_Master'!$F$2:$F$378,0)*F119/_xlfn.XLOOKUP(A119,'00_SKU_Master'!$B$2:$B$378,'00_SKU_Master'!$O:$O,0),"")</f>
        <v>#VALUE!</v>
      </c>
      <c r="O119" s="112" t="e">
        <f ca="1">_xludf.IFNA(_xlfn.XLOOKUP($A121,'00_SKU_Master'!$B$2:$B$378,'00_SKU_Master'!$F$2:$F$378,0)*G121/_xlfn.XLOOKUP($A121,'00_SKU_Master'!$B$2:$B$378,'00_SKU_Master'!$O:$O,0),"")</f>
        <v>#NAME?</v>
      </c>
      <c r="P119" s="112" t="e">
        <f ca="1">_xludf.IFNA(_xlfn.XLOOKUP($A121,'00_SKU_Master'!$B$2:$B$378,'00_SKU_Master'!$F$2:$F$378,0)*H121/_xlfn.XLOOKUP($A121,'00_SKU_Master'!$B$2:$B$378,'00_SKU_Master'!$O:$O,0),"")</f>
        <v>#NAME?</v>
      </c>
      <c r="Q119" s="112" t="e">
        <f ca="1">_xludf.IFNA(_xlfn.XLOOKUP($A121,'00_SKU_Master'!$B$2:$B$378,'00_SKU_Master'!$F$2:$F$378,0)*I121/_xlfn.XLOOKUP($A121,'00_SKU_Master'!$B$2:$B$378,'00_SKU_Master'!$O:$O,0),"")</f>
        <v>#NAME?</v>
      </c>
      <c r="R119" s="112" t="e">
        <f ca="1">_xludf.IFNA(_xlfn.XLOOKUP($A121,'00_SKU_Master'!$B$2:$B$378,'00_SKU_Master'!$F$2:$F$378,0)*J121/_xlfn.XLOOKUP($A121,'00_SKU_Master'!$B$2:$B$378,'00_SKU_Master'!$O:$O,0),"")</f>
        <v>#NAME?</v>
      </c>
      <c r="S119" s="112" t="e">
        <f ca="1">_xludf.IFNA(_xlfn.XLOOKUP($A121,'00_SKU_Master'!$B$2:$B$378,'00_SKU_Master'!$F$2:$F$378,0)*K121/_xlfn.XLOOKUP($A121,'00_SKU_Master'!$B$2:$B$378,'00_SKU_Master'!$O:$O,0),"")</f>
        <v>#NAME?</v>
      </c>
      <c r="T119" s="113" t="e">
        <f t="shared" si="2"/>
        <v>#VALUE!</v>
      </c>
      <c r="U119" s="114" t="str">
        <f>'05_Daily_Orders'!L119</f>
        <v>LCL</v>
      </c>
    </row>
    <row r="120" spans="1:21">
      <c r="A120" s="108">
        <f>'05_Daily_Orders'!B120</f>
        <v>7188</v>
      </c>
      <c r="B120" s="50">
        <v>0</v>
      </c>
      <c r="C120" s="50">
        <v>0</v>
      </c>
      <c r="D120" s="109"/>
      <c r="E120" s="109"/>
      <c r="F120">
        <v>0</v>
      </c>
      <c r="L120" s="110">
        <f t="shared" si="3"/>
        <v>0</v>
      </c>
      <c r="M120" s="111">
        <f>_xlfn.IFNA(_xlfn.XLOOKUP(A120,'00_SKU_Master'!$B$2:$B$378,'00_SKU_Master'!$C$2:$C$378,0),"")</f>
        <v>61072</v>
      </c>
      <c r="N120" s="112" t="e">
        <f>_xlfn.IFNA(_xlfn.XLOOKUP(A120,'00_SKU_Master'!$B$2:$B$378,'00_SKU_Master'!$F$2:$F$378,0)*F120/_xlfn.XLOOKUP(A120,'00_SKU_Master'!$B$2:$B$378,'00_SKU_Master'!$O:$O,0),"")</f>
        <v>#VALUE!</v>
      </c>
      <c r="O120" s="112" t="e">
        <f ca="1">_xludf.IFNA(_xlfn.XLOOKUP($A122,'00_SKU_Master'!$B$2:$B$378,'00_SKU_Master'!$F$2:$F$378,0)*G122/_xlfn.XLOOKUP($A122,'00_SKU_Master'!$B$2:$B$378,'00_SKU_Master'!$O:$O,0),"")</f>
        <v>#NAME?</v>
      </c>
      <c r="P120" s="112" t="e">
        <f ca="1">_xludf.IFNA(_xlfn.XLOOKUP($A122,'00_SKU_Master'!$B$2:$B$378,'00_SKU_Master'!$F$2:$F$378,0)*H122/_xlfn.XLOOKUP($A122,'00_SKU_Master'!$B$2:$B$378,'00_SKU_Master'!$O:$O,0),"")</f>
        <v>#NAME?</v>
      </c>
      <c r="Q120" s="112" t="e">
        <f ca="1">_xludf.IFNA(_xlfn.XLOOKUP($A122,'00_SKU_Master'!$B$2:$B$378,'00_SKU_Master'!$F$2:$F$378,0)*I122/_xlfn.XLOOKUP($A122,'00_SKU_Master'!$B$2:$B$378,'00_SKU_Master'!$O:$O,0),"")</f>
        <v>#NAME?</v>
      </c>
      <c r="R120" s="112" t="e">
        <f ca="1">_xludf.IFNA(_xlfn.XLOOKUP($A122,'00_SKU_Master'!$B$2:$B$378,'00_SKU_Master'!$F$2:$F$378,0)*J122/_xlfn.XLOOKUP($A122,'00_SKU_Master'!$B$2:$B$378,'00_SKU_Master'!$O:$O,0),"")</f>
        <v>#NAME?</v>
      </c>
      <c r="S120" s="112" t="e">
        <f ca="1">_xludf.IFNA(_xlfn.XLOOKUP($A122,'00_SKU_Master'!$B$2:$B$378,'00_SKU_Master'!$F$2:$F$378,0)*K122/_xlfn.XLOOKUP($A122,'00_SKU_Master'!$B$2:$B$378,'00_SKU_Master'!$O:$O,0),"")</f>
        <v>#NAME?</v>
      </c>
      <c r="T120" s="113" t="e">
        <f t="shared" si="2"/>
        <v>#VALUE!</v>
      </c>
      <c r="U120" s="114" t="str">
        <f>'05_Daily_Orders'!L120</f>
        <v>LCL</v>
      </c>
    </row>
    <row r="121" spans="1:21">
      <c r="A121" s="108">
        <f>'05_Daily_Orders'!B121</f>
        <v>7189</v>
      </c>
      <c r="B121" s="50">
        <v>0</v>
      </c>
      <c r="C121" s="50">
        <v>0</v>
      </c>
      <c r="D121" s="109"/>
      <c r="E121" s="109"/>
      <c r="F121">
        <v>0</v>
      </c>
      <c r="L121" s="110">
        <f t="shared" si="3"/>
        <v>0</v>
      </c>
      <c r="M121" s="111">
        <f>_xlfn.IFNA(_xlfn.XLOOKUP(A121,'00_SKU_Master'!$B$2:$B$378,'00_SKU_Master'!$C$2:$C$378,0),"")</f>
        <v>61077</v>
      </c>
      <c r="N121" s="112" t="e">
        <f>_xlfn.IFNA(_xlfn.XLOOKUP(A121,'00_SKU_Master'!$B$2:$B$378,'00_SKU_Master'!$F$2:$F$378,0)*F121/_xlfn.XLOOKUP(A121,'00_SKU_Master'!$B$2:$B$378,'00_SKU_Master'!$O:$O,0),"")</f>
        <v>#VALUE!</v>
      </c>
      <c r="O121" s="112" t="e">
        <f ca="1">_xludf.IFNA(_xlfn.XLOOKUP($A123,'00_SKU_Master'!$B$2:$B$378,'00_SKU_Master'!$F$2:$F$378,0)*G123/_xlfn.XLOOKUP($A123,'00_SKU_Master'!$B$2:$B$378,'00_SKU_Master'!$O:$O,0),"")</f>
        <v>#NAME?</v>
      </c>
      <c r="P121" s="112" t="e">
        <f ca="1">_xludf.IFNA(_xlfn.XLOOKUP($A123,'00_SKU_Master'!$B$2:$B$378,'00_SKU_Master'!$F$2:$F$378,0)*H123/_xlfn.XLOOKUP($A123,'00_SKU_Master'!$B$2:$B$378,'00_SKU_Master'!$O:$O,0),"")</f>
        <v>#NAME?</v>
      </c>
      <c r="Q121" s="112" t="e">
        <f ca="1">_xludf.IFNA(_xlfn.XLOOKUP($A123,'00_SKU_Master'!$B$2:$B$378,'00_SKU_Master'!$F$2:$F$378,0)*I123/_xlfn.XLOOKUP($A123,'00_SKU_Master'!$B$2:$B$378,'00_SKU_Master'!$O:$O,0),"")</f>
        <v>#NAME?</v>
      </c>
      <c r="R121" s="112" t="e">
        <f ca="1">_xludf.IFNA(_xlfn.XLOOKUP($A123,'00_SKU_Master'!$B$2:$B$378,'00_SKU_Master'!$F$2:$F$378,0)*J123/_xlfn.XLOOKUP($A123,'00_SKU_Master'!$B$2:$B$378,'00_SKU_Master'!$O:$O,0),"")</f>
        <v>#NAME?</v>
      </c>
      <c r="S121" s="112" t="e">
        <f ca="1">_xludf.IFNA(_xlfn.XLOOKUP($A123,'00_SKU_Master'!$B$2:$B$378,'00_SKU_Master'!$F$2:$F$378,0)*K123/_xlfn.XLOOKUP($A123,'00_SKU_Master'!$B$2:$B$378,'00_SKU_Master'!$O:$O,0),"")</f>
        <v>#NAME?</v>
      </c>
      <c r="T121" s="113" t="e">
        <f t="shared" si="2"/>
        <v>#VALUE!</v>
      </c>
      <c r="U121" s="114" t="str">
        <f>'05_Daily_Orders'!L121</f>
        <v>LCL</v>
      </c>
    </row>
    <row r="122" spans="1:21">
      <c r="A122" s="108">
        <f>'05_Daily_Orders'!B122</f>
        <v>7191</v>
      </c>
      <c r="B122" s="50">
        <v>0</v>
      </c>
      <c r="C122" s="50">
        <v>0</v>
      </c>
      <c r="D122" s="109"/>
      <c r="E122" s="109"/>
      <c r="F122">
        <v>0</v>
      </c>
      <c r="L122" s="110">
        <f t="shared" si="3"/>
        <v>0</v>
      </c>
      <c r="M122" s="111">
        <f>_xlfn.IFNA(_xlfn.XLOOKUP(A122,'00_SKU_Master'!$B$2:$B$378,'00_SKU_Master'!$C$2:$C$378,0),"")</f>
        <v>61061</v>
      </c>
      <c r="N122" s="112" t="e">
        <f>_xlfn.IFNA(_xlfn.XLOOKUP(A122,'00_SKU_Master'!$B$2:$B$378,'00_SKU_Master'!$F$2:$F$378,0)*F122/_xlfn.XLOOKUP(A122,'00_SKU_Master'!$B$2:$B$378,'00_SKU_Master'!$O:$O,0),"")</f>
        <v>#VALUE!</v>
      </c>
      <c r="O122" s="112" t="e">
        <f ca="1">_xludf.IFNA(_xlfn.XLOOKUP($A124,'00_SKU_Master'!$B$2:$B$378,'00_SKU_Master'!$F$2:$F$378,0)*G124/_xlfn.XLOOKUP($A124,'00_SKU_Master'!$B$2:$B$378,'00_SKU_Master'!$O:$O,0),"")</f>
        <v>#NAME?</v>
      </c>
      <c r="P122" s="112" t="e">
        <f ca="1">_xludf.IFNA(_xlfn.XLOOKUP($A124,'00_SKU_Master'!$B$2:$B$378,'00_SKU_Master'!$F$2:$F$378,0)*H124/_xlfn.XLOOKUP($A124,'00_SKU_Master'!$B$2:$B$378,'00_SKU_Master'!$O:$O,0),"")</f>
        <v>#NAME?</v>
      </c>
      <c r="Q122" s="112" t="e">
        <f ca="1">_xludf.IFNA(_xlfn.XLOOKUP($A124,'00_SKU_Master'!$B$2:$B$378,'00_SKU_Master'!$F$2:$F$378,0)*I124/_xlfn.XLOOKUP($A124,'00_SKU_Master'!$B$2:$B$378,'00_SKU_Master'!$O:$O,0),"")</f>
        <v>#NAME?</v>
      </c>
      <c r="R122" s="112" t="e">
        <f ca="1">_xludf.IFNA(_xlfn.XLOOKUP($A124,'00_SKU_Master'!$B$2:$B$378,'00_SKU_Master'!$F$2:$F$378,0)*J124/_xlfn.XLOOKUP($A124,'00_SKU_Master'!$B$2:$B$378,'00_SKU_Master'!$O:$O,0),"")</f>
        <v>#NAME?</v>
      </c>
      <c r="S122" s="112" t="e">
        <f ca="1">_xludf.IFNA(_xlfn.XLOOKUP($A124,'00_SKU_Master'!$B$2:$B$378,'00_SKU_Master'!$F$2:$F$378,0)*K124/_xlfn.XLOOKUP($A124,'00_SKU_Master'!$B$2:$B$378,'00_SKU_Master'!$O:$O,0),"")</f>
        <v>#NAME?</v>
      </c>
      <c r="T122" s="113" t="e">
        <f t="shared" si="2"/>
        <v>#VALUE!</v>
      </c>
      <c r="U122" s="114" t="str">
        <f>'05_Daily_Orders'!L122</f>
        <v>LCL</v>
      </c>
    </row>
    <row r="123" spans="1:21">
      <c r="A123" s="108">
        <f>'05_Daily_Orders'!B123</f>
        <v>7192</v>
      </c>
      <c r="B123" s="50">
        <v>0</v>
      </c>
      <c r="C123" s="50">
        <v>0</v>
      </c>
      <c r="D123" s="109"/>
      <c r="E123" s="109"/>
      <c r="F123">
        <v>0</v>
      </c>
      <c r="L123" s="110">
        <f t="shared" si="3"/>
        <v>0</v>
      </c>
      <c r="M123" s="111">
        <f>_xlfn.IFNA(_xlfn.XLOOKUP(A123,'00_SKU_Master'!$B$2:$B$378,'00_SKU_Master'!$C$2:$C$378,0),"")</f>
        <v>203152</v>
      </c>
      <c r="N123" s="112" t="e">
        <f>_xlfn.IFNA(_xlfn.XLOOKUP(A123,'00_SKU_Master'!$B$2:$B$378,'00_SKU_Master'!$F$2:$F$378,0)*F123/_xlfn.XLOOKUP(A123,'00_SKU_Master'!$B$2:$B$378,'00_SKU_Master'!$O:$O,0),"")</f>
        <v>#VALUE!</v>
      </c>
      <c r="O123" s="112" t="e">
        <f ca="1">_xludf.IFNA(_xlfn.XLOOKUP($A125,'00_SKU_Master'!$B$2:$B$378,'00_SKU_Master'!$F$2:$F$378,0)*G125/_xlfn.XLOOKUP($A125,'00_SKU_Master'!$B$2:$B$378,'00_SKU_Master'!$O:$O,0),"")</f>
        <v>#NAME?</v>
      </c>
      <c r="P123" s="112" t="e">
        <f ca="1">_xludf.IFNA(_xlfn.XLOOKUP($A125,'00_SKU_Master'!$B$2:$B$378,'00_SKU_Master'!$F$2:$F$378,0)*H125/_xlfn.XLOOKUP($A125,'00_SKU_Master'!$B$2:$B$378,'00_SKU_Master'!$O:$O,0),"")</f>
        <v>#NAME?</v>
      </c>
      <c r="Q123" s="112" t="e">
        <f ca="1">_xludf.IFNA(_xlfn.XLOOKUP($A125,'00_SKU_Master'!$B$2:$B$378,'00_SKU_Master'!$F$2:$F$378,0)*I125/_xlfn.XLOOKUP($A125,'00_SKU_Master'!$B$2:$B$378,'00_SKU_Master'!$O:$O,0),"")</f>
        <v>#NAME?</v>
      </c>
      <c r="R123" s="112" t="e">
        <f ca="1">_xludf.IFNA(_xlfn.XLOOKUP($A125,'00_SKU_Master'!$B$2:$B$378,'00_SKU_Master'!$F$2:$F$378,0)*J125/_xlfn.XLOOKUP($A125,'00_SKU_Master'!$B$2:$B$378,'00_SKU_Master'!$O:$O,0),"")</f>
        <v>#NAME?</v>
      </c>
      <c r="S123" s="112" t="e">
        <f ca="1">_xludf.IFNA(_xlfn.XLOOKUP($A125,'00_SKU_Master'!$B$2:$B$378,'00_SKU_Master'!$F$2:$F$378,0)*K125/_xlfn.XLOOKUP($A125,'00_SKU_Master'!$B$2:$B$378,'00_SKU_Master'!$O:$O,0),"")</f>
        <v>#NAME?</v>
      </c>
      <c r="T123" s="113" t="e">
        <f t="shared" si="2"/>
        <v>#VALUE!</v>
      </c>
      <c r="U123" s="114" t="str">
        <f>'05_Daily_Orders'!L123</f>
        <v>RWA</v>
      </c>
    </row>
    <row r="124" spans="1:21">
      <c r="A124" s="108">
        <f>'05_Daily_Orders'!B124</f>
        <v>7193</v>
      </c>
      <c r="B124" s="50">
        <v>0</v>
      </c>
      <c r="C124" s="50">
        <v>0</v>
      </c>
      <c r="D124" s="109"/>
      <c r="E124" s="109"/>
      <c r="F124">
        <v>0</v>
      </c>
      <c r="L124" s="110">
        <f t="shared" si="3"/>
        <v>0</v>
      </c>
      <c r="M124" s="111" t="str">
        <f>_xlfn.IFNA(_xlfn.XLOOKUP(A124,'00_SKU_Master'!$B$2:$B$378,'00_SKU_Master'!$C$2:$C$378,0),"")</f>
        <v>61072#2</v>
      </c>
      <c r="N124" s="112" t="e">
        <f>_xlfn.IFNA(_xlfn.XLOOKUP(A124,'00_SKU_Master'!$B$2:$B$378,'00_SKU_Master'!$F$2:$F$378,0)*F124/_xlfn.XLOOKUP(A124,'00_SKU_Master'!$B$2:$B$378,'00_SKU_Master'!$O:$O,0),"")</f>
        <v>#VALUE!</v>
      </c>
      <c r="O124" s="112" t="e">
        <f ca="1">_xludf.IFNA(_xlfn.XLOOKUP($A126,'00_SKU_Master'!$B$2:$B$378,'00_SKU_Master'!$F$2:$F$378,0)*G126/_xlfn.XLOOKUP($A126,'00_SKU_Master'!$B$2:$B$378,'00_SKU_Master'!$O:$O,0),"")</f>
        <v>#NAME?</v>
      </c>
      <c r="P124" s="112" t="e">
        <f ca="1">_xludf.IFNA(_xlfn.XLOOKUP($A126,'00_SKU_Master'!$B$2:$B$378,'00_SKU_Master'!$F$2:$F$378,0)*H126/_xlfn.XLOOKUP($A126,'00_SKU_Master'!$B$2:$B$378,'00_SKU_Master'!$O:$O,0),"")</f>
        <v>#NAME?</v>
      </c>
      <c r="Q124" s="112" t="e">
        <f ca="1">_xludf.IFNA(_xlfn.XLOOKUP($A126,'00_SKU_Master'!$B$2:$B$378,'00_SKU_Master'!$F$2:$F$378,0)*I126/_xlfn.XLOOKUP($A126,'00_SKU_Master'!$B$2:$B$378,'00_SKU_Master'!$O:$O,0),"")</f>
        <v>#NAME?</v>
      </c>
      <c r="R124" s="112" t="e">
        <f ca="1">_xludf.IFNA(_xlfn.XLOOKUP($A126,'00_SKU_Master'!$B$2:$B$378,'00_SKU_Master'!$F$2:$F$378,0)*J126/_xlfn.XLOOKUP($A126,'00_SKU_Master'!$B$2:$B$378,'00_SKU_Master'!$O:$O,0),"")</f>
        <v>#NAME?</v>
      </c>
      <c r="S124" s="112" t="e">
        <f ca="1">_xludf.IFNA(_xlfn.XLOOKUP($A126,'00_SKU_Master'!$B$2:$B$378,'00_SKU_Master'!$F$2:$F$378,0)*K126/_xlfn.XLOOKUP($A126,'00_SKU_Master'!$B$2:$B$378,'00_SKU_Master'!$O:$O,0),"")</f>
        <v>#NAME?</v>
      </c>
      <c r="T124" s="113" t="e">
        <f t="shared" si="2"/>
        <v>#VALUE!</v>
      </c>
      <c r="U124" s="114" t="str">
        <f>'05_Daily_Orders'!L124</f>
        <v>LCL</v>
      </c>
    </row>
    <row r="125" spans="1:21">
      <c r="A125" s="108">
        <f>'05_Daily_Orders'!B125</f>
        <v>7229</v>
      </c>
      <c r="B125" s="50">
        <v>0</v>
      </c>
      <c r="C125" s="50">
        <v>0</v>
      </c>
      <c r="D125" s="109"/>
      <c r="E125" s="109"/>
      <c r="F125">
        <v>0</v>
      </c>
      <c r="L125" s="110">
        <f t="shared" si="3"/>
        <v>0</v>
      </c>
      <c r="M125" s="111">
        <f>_xlfn.IFNA(_xlfn.XLOOKUP(A125,'00_SKU_Master'!$B$2:$B$378,'00_SKU_Master'!$C$2:$C$378,0),"")</f>
        <v>61042</v>
      </c>
      <c r="N125" s="112" t="e">
        <f>_xlfn.IFNA(_xlfn.XLOOKUP(A125,'00_SKU_Master'!$B$2:$B$378,'00_SKU_Master'!$F$2:$F$378,0)*F125/_xlfn.XLOOKUP(A125,'00_SKU_Master'!$B$2:$B$378,'00_SKU_Master'!$O:$O,0),"")</f>
        <v>#VALUE!</v>
      </c>
      <c r="O125" s="112" t="e">
        <f ca="1">_xludf.IFNA(_xlfn.XLOOKUP($A127,'00_SKU_Master'!$B$2:$B$378,'00_SKU_Master'!$F$2:$F$378,0)*G127/_xlfn.XLOOKUP($A127,'00_SKU_Master'!$B$2:$B$378,'00_SKU_Master'!$O:$O,0),"")</f>
        <v>#NAME?</v>
      </c>
      <c r="P125" s="112" t="e">
        <f ca="1">_xludf.IFNA(_xlfn.XLOOKUP($A127,'00_SKU_Master'!$B$2:$B$378,'00_SKU_Master'!$F$2:$F$378,0)*H127/_xlfn.XLOOKUP($A127,'00_SKU_Master'!$B$2:$B$378,'00_SKU_Master'!$O:$O,0),"")</f>
        <v>#NAME?</v>
      </c>
      <c r="Q125" s="112" t="e">
        <f ca="1">_xludf.IFNA(_xlfn.XLOOKUP($A127,'00_SKU_Master'!$B$2:$B$378,'00_SKU_Master'!$F$2:$F$378,0)*I127/_xlfn.XLOOKUP($A127,'00_SKU_Master'!$B$2:$B$378,'00_SKU_Master'!$O:$O,0),"")</f>
        <v>#NAME?</v>
      </c>
      <c r="R125" s="112" t="e">
        <f ca="1">_xludf.IFNA(_xlfn.XLOOKUP($A127,'00_SKU_Master'!$B$2:$B$378,'00_SKU_Master'!$F$2:$F$378,0)*J127/_xlfn.XLOOKUP($A127,'00_SKU_Master'!$B$2:$B$378,'00_SKU_Master'!$O:$O,0),"")</f>
        <v>#NAME?</v>
      </c>
      <c r="S125" s="112" t="e">
        <f ca="1">_xludf.IFNA(_xlfn.XLOOKUP($A127,'00_SKU_Master'!$B$2:$B$378,'00_SKU_Master'!$F$2:$F$378,0)*K127/_xlfn.XLOOKUP($A127,'00_SKU_Master'!$B$2:$B$378,'00_SKU_Master'!$O:$O,0),"")</f>
        <v>#NAME?</v>
      </c>
      <c r="T125" s="113" t="e">
        <f t="shared" si="2"/>
        <v>#VALUE!</v>
      </c>
      <c r="U125" s="114" t="str">
        <f>'05_Daily_Orders'!L125</f>
        <v>RWA</v>
      </c>
    </row>
    <row r="126" spans="1:21">
      <c r="A126" s="108">
        <f>'05_Daily_Orders'!B126</f>
        <v>7230</v>
      </c>
      <c r="B126" s="50">
        <v>0</v>
      </c>
      <c r="C126" s="50">
        <v>0</v>
      </c>
      <c r="D126" s="109"/>
      <c r="E126" s="109"/>
      <c r="F126">
        <v>0</v>
      </c>
      <c r="L126" s="110">
        <f t="shared" si="3"/>
        <v>0</v>
      </c>
      <c r="M126" s="111">
        <f>_xlfn.IFNA(_xlfn.XLOOKUP(A126,'00_SKU_Master'!$B$2:$B$378,'00_SKU_Master'!$C$2:$C$378,0),"")</f>
        <v>61049</v>
      </c>
      <c r="N126" s="112" t="e">
        <f>_xlfn.IFNA(_xlfn.XLOOKUP(A126,'00_SKU_Master'!$B$2:$B$378,'00_SKU_Master'!$F$2:$F$378,0)*F126/_xlfn.XLOOKUP(A126,'00_SKU_Master'!$B$2:$B$378,'00_SKU_Master'!$O:$O,0),"")</f>
        <v>#VALUE!</v>
      </c>
      <c r="O126" s="112" t="e">
        <f ca="1">_xludf.IFNA(_xlfn.XLOOKUP($A128,'00_SKU_Master'!$B$2:$B$378,'00_SKU_Master'!$F$2:$F$378,0)*G128/_xlfn.XLOOKUP($A128,'00_SKU_Master'!$B$2:$B$378,'00_SKU_Master'!$O:$O,0),"")</f>
        <v>#NAME?</v>
      </c>
      <c r="P126" s="112" t="e">
        <f ca="1">_xludf.IFNA(_xlfn.XLOOKUP($A128,'00_SKU_Master'!$B$2:$B$378,'00_SKU_Master'!$F$2:$F$378,0)*H128/_xlfn.XLOOKUP($A128,'00_SKU_Master'!$B$2:$B$378,'00_SKU_Master'!$O:$O,0),"")</f>
        <v>#NAME?</v>
      </c>
      <c r="Q126" s="112" t="e">
        <f ca="1">_xludf.IFNA(_xlfn.XLOOKUP($A128,'00_SKU_Master'!$B$2:$B$378,'00_SKU_Master'!$F$2:$F$378,0)*I128/_xlfn.XLOOKUP($A128,'00_SKU_Master'!$B$2:$B$378,'00_SKU_Master'!$O:$O,0),"")</f>
        <v>#NAME?</v>
      </c>
      <c r="R126" s="112" t="e">
        <f ca="1">_xludf.IFNA(_xlfn.XLOOKUP($A128,'00_SKU_Master'!$B$2:$B$378,'00_SKU_Master'!$F$2:$F$378,0)*J128/_xlfn.XLOOKUP($A128,'00_SKU_Master'!$B$2:$B$378,'00_SKU_Master'!$O:$O,0),"")</f>
        <v>#NAME?</v>
      </c>
      <c r="S126" s="112" t="e">
        <f ca="1">_xludf.IFNA(_xlfn.XLOOKUP($A128,'00_SKU_Master'!$B$2:$B$378,'00_SKU_Master'!$F$2:$F$378,0)*K128/_xlfn.XLOOKUP($A128,'00_SKU_Master'!$B$2:$B$378,'00_SKU_Master'!$O:$O,0),"")</f>
        <v>#NAME?</v>
      </c>
      <c r="T126" s="113" t="e">
        <f t="shared" si="2"/>
        <v>#VALUE!</v>
      </c>
      <c r="U126" s="114" t="str">
        <f>'05_Daily_Orders'!L126</f>
        <v>RWA</v>
      </c>
    </row>
    <row r="127" spans="1:21">
      <c r="A127" s="108">
        <f>'05_Daily_Orders'!B127</f>
        <v>7231</v>
      </c>
      <c r="B127" s="50">
        <v>0</v>
      </c>
      <c r="C127" s="50">
        <v>0</v>
      </c>
      <c r="D127" s="109"/>
      <c r="E127" s="109"/>
      <c r="F127">
        <v>0</v>
      </c>
      <c r="L127" s="110">
        <f t="shared" si="3"/>
        <v>0</v>
      </c>
      <c r="M127" s="111">
        <f>_xlfn.IFNA(_xlfn.XLOOKUP(A127,'00_SKU_Master'!$B$2:$B$378,'00_SKU_Master'!$C$2:$C$378,0),"")</f>
        <v>61051</v>
      </c>
      <c r="N127" s="112" t="e">
        <f>_xlfn.IFNA(_xlfn.XLOOKUP(A127,'00_SKU_Master'!$B$2:$B$378,'00_SKU_Master'!$F$2:$F$378,0)*F127/_xlfn.XLOOKUP(A127,'00_SKU_Master'!$B$2:$B$378,'00_SKU_Master'!$O:$O,0),"")</f>
        <v>#VALUE!</v>
      </c>
      <c r="O127" s="112" t="e">
        <f ca="1">_xludf.IFNA(_xlfn.XLOOKUP($A129,'00_SKU_Master'!$B$2:$B$378,'00_SKU_Master'!$F$2:$F$378,0)*G129/_xlfn.XLOOKUP($A129,'00_SKU_Master'!$B$2:$B$378,'00_SKU_Master'!$O:$O,0),"")</f>
        <v>#NAME?</v>
      </c>
      <c r="P127" s="112" t="e">
        <f ca="1">_xludf.IFNA(_xlfn.XLOOKUP($A129,'00_SKU_Master'!$B$2:$B$378,'00_SKU_Master'!$F$2:$F$378,0)*H129/_xlfn.XLOOKUP($A129,'00_SKU_Master'!$B$2:$B$378,'00_SKU_Master'!$O:$O,0),"")</f>
        <v>#NAME?</v>
      </c>
      <c r="Q127" s="112" t="e">
        <f ca="1">_xludf.IFNA(_xlfn.XLOOKUP($A129,'00_SKU_Master'!$B$2:$B$378,'00_SKU_Master'!$F$2:$F$378,0)*I129/_xlfn.XLOOKUP($A129,'00_SKU_Master'!$B$2:$B$378,'00_SKU_Master'!$O:$O,0),"")</f>
        <v>#NAME?</v>
      </c>
      <c r="R127" s="112" t="e">
        <f ca="1">_xludf.IFNA(_xlfn.XLOOKUP($A129,'00_SKU_Master'!$B$2:$B$378,'00_SKU_Master'!$F$2:$F$378,0)*J129/_xlfn.XLOOKUP($A129,'00_SKU_Master'!$B$2:$B$378,'00_SKU_Master'!$O:$O,0),"")</f>
        <v>#NAME?</v>
      </c>
      <c r="S127" s="112" t="e">
        <f ca="1">_xludf.IFNA(_xlfn.XLOOKUP($A129,'00_SKU_Master'!$B$2:$B$378,'00_SKU_Master'!$F$2:$F$378,0)*K129/_xlfn.XLOOKUP($A129,'00_SKU_Master'!$B$2:$B$378,'00_SKU_Master'!$O:$O,0),"")</f>
        <v>#NAME?</v>
      </c>
      <c r="T127" s="113" t="e">
        <f t="shared" si="2"/>
        <v>#VALUE!</v>
      </c>
      <c r="U127" s="114" t="str">
        <f>'05_Daily_Orders'!L127</f>
        <v>RWA</v>
      </c>
    </row>
    <row r="128" spans="1:21">
      <c r="A128" s="108">
        <f>'05_Daily_Orders'!B128</f>
        <v>7232</v>
      </c>
      <c r="B128" s="50">
        <v>0</v>
      </c>
      <c r="C128" s="50">
        <v>0</v>
      </c>
      <c r="D128" s="109"/>
      <c r="E128" s="109"/>
      <c r="F128">
        <v>0</v>
      </c>
      <c r="L128" s="110">
        <f t="shared" si="3"/>
        <v>0</v>
      </c>
      <c r="M128" s="111">
        <f>_xlfn.IFNA(_xlfn.XLOOKUP(A128,'00_SKU_Master'!$B$2:$B$378,'00_SKU_Master'!$C$2:$C$378,0),"")</f>
        <v>61069</v>
      </c>
      <c r="N128" s="112" t="e">
        <f>_xlfn.IFNA(_xlfn.XLOOKUP(A128,'00_SKU_Master'!$B$2:$B$378,'00_SKU_Master'!$F$2:$F$378,0)*F128/_xlfn.XLOOKUP(A128,'00_SKU_Master'!$B$2:$B$378,'00_SKU_Master'!$O:$O,0),"")</f>
        <v>#VALUE!</v>
      </c>
      <c r="O128" s="112" t="e">
        <f ca="1">_xludf.IFNA(_xlfn.XLOOKUP($A130,'00_SKU_Master'!$B$2:$B$378,'00_SKU_Master'!$F$2:$F$378,0)*G130/_xlfn.XLOOKUP($A130,'00_SKU_Master'!$B$2:$B$378,'00_SKU_Master'!$O:$O,0),"")</f>
        <v>#NAME?</v>
      </c>
      <c r="P128" s="112" t="e">
        <f ca="1">_xludf.IFNA(_xlfn.XLOOKUP($A130,'00_SKU_Master'!$B$2:$B$378,'00_SKU_Master'!$F$2:$F$378,0)*H130/_xlfn.XLOOKUP($A130,'00_SKU_Master'!$B$2:$B$378,'00_SKU_Master'!$O:$O,0),"")</f>
        <v>#NAME?</v>
      </c>
      <c r="Q128" s="112" t="e">
        <f ca="1">_xludf.IFNA(_xlfn.XLOOKUP($A130,'00_SKU_Master'!$B$2:$B$378,'00_SKU_Master'!$F$2:$F$378,0)*I130/_xlfn.XLOOKUP($A130,'00_SKU_Master'!$B$2:$B$378,'00_SKU_Master'!$O:$O,0),"")</f>
        <v>#NAME?</v>
      </c>
      <c r="R128" s="112" t="e">
        <f ca="1">_xludf.IFNA(_xlfn.XLOOKUP($A130,'00_SKU_Master'!$B$2:$B$378,'00_SKU_Master'!$F$2:$F$378,0)*J130/_xlfn.XLOOKUP($A130,'00_SKU_Master'!$B$2:$B$378,'00_SKU_Master'!$O:$O,0),"")</f>
        <v>#NAME?</v>
      </c>
      <c r="S128" s="112" t="e">
        <f ca="1">_xludf.IFNA(_xlfn.XLOOKUP($A130,'00_SKU_Master'!$B$2:$B$378,'00_SKU_Master'!$F$2:$F$378,0)*K130/_xlfn.XLOOKUP($A130,'00_SKU_Master'!$B$2:$B$378,'00_SKU_Master'!$O:$O,0),"")</f>
        <v>#NAME?</v>
      </c>
      <c r="T128" s="113" t="e">
        <f t="shared" si="2"/>
        <v>#VALUE!</v>
      </c>
      <c r="U128" s="114" t="str">
        <f>'05_Daily_Orders'!L128</f>
        <v>RWA</v>
      </c>
    </row>
    <row r="129" spans="1:21">
      <c r="A129" s="108">
        <f>'05_Daily_Orders'!B129</f>
        <v>7233</v>
      </c>
      <c r="B129" s="50">
        <v>0</v>
      </c>
      <c r="C129" s="50">
        <v>0</v>
      </c>
      <c r="D129" s="109"/>
      <c r="E129" s="109"/>
      <c r="F129">
        <v>0</v>
      </c>
      <c r="L129" s="110">
        <f t="shared" si="3"/>
        <v>0</v>
      </c>
      <c r="M129" s="111">
        <f>_xlfn.IFNA(_xlfn.XLOOKUP(A129,'00_SKU_Master'!$B$2:$B$378,'00_SKU_Master'!$C$2:$C$378,0),"")</f>
        <v>61070</v>
      </c>
      <c r="N129" s="112" t="e">
        <f>_xlfn.IFNA(_xlfn.XLOOKUP(A129,'00_SKU_Master'!$B$2:$B$378,'00_SKU_Master'!$F$2:$F$378,0)*F129/_xlfn.XLOOKUP(A129,'00_SKU_Master'!$B$2:$B$378,'00_SKU_Master'!$O:$O,0),"")</f>
        <v>#VALUE!</v>
      </c>
      <c r="O129" s="112" t="e">
        <f ca="1">_xludf.IFNA(_xlfn.XLOOKUP($A131,'00_SKU_Master'!$B$2:$B$378,'00_SKU_Master'!$F$2:$F$378,0)*G131/_xlfn.XLOOKUP($A131,'00_SKU_Master'!$B$2:$B$378,'00_SKU_Master'!$O:$O,0),"")</f>
        <v>#NAME?</v>
      </c>
      <c r="P129" s="112" t="e">
        <f ca="1">_xludf.IFNA(_xlfn.XLOOKUP($A131,'00_SKU_Master'!$B$2:$B$378,'00_SKU_Master'!$F$2:$F$378,0)*H131/_xlfn.XLOOKUP($A131,'00_SKU_Master'!$B$2:$B$378,'00_SKU_Master'!$O:$O,0),"")</f>
        <v>#NAME?</v>
      </c>
      <c r="Q129" s="112" t="e">
        <f ca="1">_xludf.IFNA(_xlfn.XLOOKUP($A131,'00_SKU_Master'!$B$2:$B$378,'00_SKU_Master'!$F$2:$F$378,0)*I131/_xlfn.XLOOKUP($A131,'00_SKU_Master'!$B$2:$B$378,'00_SKU_Master'!$O:$O,0),"")</f>
        <v>#NAME?</v>
      </c>
      <c r="R129" s="112" t="e">
        <f ca="1">_xludf.IFNA(_xlfn.XLOOKUP($A131,'00_SKU_Master'!$B$2:$B$378,'00_SKU_Master'!$F$2:$F$378,0)*J131/_xlfn.XLOOKUP($A131,'00_SKU_Master'!$B$2:$B$378,'00_SKU_Master'!$O:$O,0),"")</f>
        <v>#NAME?</v>
      </c>
      <c r="S129" s="112" t="e">
        <f ca="1">_xludf.IFNA(_xlfn.XLOOKUP($A131,'00_SKU_Master'!$B$2:$B$378,'00_SKU_Master'!$F$2:$F$378,0)*K131/_xlfn.XLOOKUP($A131,'00_SKU_Master'!$B$2:$B$378,'00_SKU_Master'!$O:$O,0),"")</f>
        <v>#NAME?</v>
      </c>
      <c r="T129" s="113" t="e">
        <f t="shared" si="2"/>
        <v>#VALUE!</v>
      </c>
      <c r="U129" s="114" t="str">
        <f>'05_Daily_Orders'!L129</f>
        <v>RWA</v>
      </c>
    </row>
    <row r="130" spans="1:21">
      <c r="A130" s="108">
        <f>'05_Daily_Orders'!B130</f>
        <v>7234</v>
      </c>
      <c r="B130" s="50">
        <v>0</v>
      </c>
      <c r="C130" s="50">
        <v>0</v>
      </c>
      <c r="D130" s="109"/>
      <c r="E130" s="109"/>
      <c r="F130">
        <v>0</v>
      </c>
      <c r="L130" s="110">
        <f t="shared" si="3"/>
        <v>0</v>
      </c>
      <c r="M130" s="111">
        <f>_xlfn.IFNA(_xlfn.XLOOKUP(A130,'00_SKU_Master'!$B$2:$B$378,'00_SKU_Master'!$C$2:$C$378,0),"")</f>
        <v>61079</v>
      </c>
      <c r="N130" s="112" t="e">
        <f>_xlfn.IFNA(_xlfn.XLOOKUP(A130,'00_SKU_Master'!$B$2:$B$378,'00_SKU_Master'!$F$2:$F$378,0)*F130/_xlfn.XLOOKUP(A130,'00_SKU_Master'!$B$2:$B$378,'00_SKU_Master'!$O:$O,0),"")</f>
        <v>#VALUE!</v>
      </c>
      <c r="O130" s="112" t="e">
        <f ca="1">_xludf.IFNA(_xlfn.XLOOKUP($A132,'00_SKU_Master'!$B$2:$B$378,'00_SKU_Master'!$F$2:$F$378,0)*G132/_xlfn.XLOOKUP($A132,'00_SKU_Master'!$B$2:$B$378,'00_SKU_Master'!$O:$O,0),"")</f>
        <v>#NAME?</v>
      </c>
      <c r="P130" s="112" t="e">
        <f ca="1">_xludf.IFNA(_xlfn.XLOOKUP($A132,'00_SKU_Master'!$B$2:$B$378,'00_SKU_Master'!$F$2:$F$378,0)*H132/_xlfn.XLOOKUP($A132,'00_SKU_Master'!$B$2:$B$378,'00_SKU_Master'!$O:$O,0),"")</f>
        <v>#NAME?</v>
      </c>
      <c r="Q130" s="112" t="e">
        <f ca="1">_xludf.IFNA(_xlfn.XLOOKUP($A132,'00_SKU_Master'!$B$2:$B$378,'00_SKU_Master'!$F$2:$F$378,0)*I132/_xlfn.XLOOKUP($A132,'00_SKU_Master'!$B$2:$B$378,'00_SKU_Master'!$O:$O,0),"")</f>
        <v>#NAME?</v>
      </c>
      <c r="R130" s="112" t="e">
        <f ca="1">_xludf.IFNA(_xlfn.XLOOKUP($A132,'00_SKU_Master'!$B$2:$B$378,'00_SKU_Master'!$F$2:$F$378,0)*J132/_xlfn.XLOOKUP($A132,'00_SKU_Master'!$B$2:$B$378,'00_SKU_Master'!$O:$O,0),"")</f>
        <v>#NAME?</v>
      </c>
      <c r="S130" s="112" t="e">
        <f ca="1">_xludf.IFNA(_xlfn.XLOOKUP($A132,'00_SKU_Master'!$B$2:$B$378,'00_SKU_Master'!$F$2:$F$378,0)*K132/_xlfn.XLOOKUP($A132,'00_SKU_Master'!$B$2:$B$378,'00_SKU_Master'!$O:$O,0),"")</f>
        <v>#NAME?</v>
      </c>
      <c r="T130" s="113" t="e">
        <f t="shared" ref="T130:T193" si="4">SUM(N132:S132)</f>
        <v>#VALUE!</v>
      </c>
      <c r="U130" s="114" t="str">
        <f>'05_Daily_Orders'!L130</f>
        <v>RWA</v>
      </c>
    </row>
    <row r="131" spans="1:21">
      <c r="A131" s="108">
        <f>'05_Daily_Orders'!B131</f>
        <v>7235</v>
      </c>
      <c r="B131" s="50">
        <v>0</v>
      </c>
      <c r="C131" s="50">
        <v>0</v>
      </c>
      <c r="D131" s="109"/>
      <c r="E131" s="109"/>
      <c r="F131">
        <v>0</v>
      </c>
      <c r="L131" s="110">
        <f t="shared" ref="L131:L194" si="5">IF($E$1="n",0,(SUM(F131:K131)-B131))</f>
        <v>0</v>
      </c>
      <c r="M131" s="111">
        <f>_xlfn.IFNA(_xlfn.XLOOKUP(A131,'00_SKU_Master'!$B$2:$B$378,'00_SKU_Master'!$C$2:$C$378,0),"")</f>
        <v>61087</v>
      </c>
      <c r="N131" s="112" t="e">
        <f>_xlfn.IFNA(_xlfn.XLOOKUP(A131,'00_SKU_Master'!$B$2:$B$378,'00_SKU_Master'!$F$2:$F$378,0)*F131/_xlfn.XLOOKUP(A131,'00_SKU_Master'!$B$2:$B$378,'00_SKU_Master'!$O:$O,0),"")</f>
        <v>#VALUE!</v>
      </c>
      <c r="O131" s="112" t="e">
        <f ca="1">_xludf.IFNA(_xlfn.XLOOKUP($A133,'00_SKU_Master'!$B$2:$B$378,'00_SKU_Master'!$F$2:$F$378,0)*G133/_xlfn.XLOOKUP($A133,'00_SKU_Master'!$B$2:$B$378,'00_SKU_Master'!$O:$O,0),"")</f>
        <v>#NAME?</v>
      </c>
      <c r="P131" s="112" t="e">
        <f ca="1">_xludf.IFNA(_xlfn.XLOOKUP($A133,'00_SKU_Master'!$B$2:$B$378,'00_SKU_Master'!$F$2:$F$378,0)*H133/_xlfn.XLOOKUP($A133,'00_SKU_Master'!$B$2:$B$378,'00_SKU_Master'!$O:$O,0),"")</f>
        <v>#NAME?</v>
      </c>
      <c r="Q131" s="112" t="e">
        <f ca="1">_xludf.IFNA(_xlfn.XLOOKUP($A133,'00_SKU_Master'!$B$2:$B$378,'00_SKU_Master'!$F$2:$F$378,0)*I133/_xlfn.XLOOKUP($A133,'00_SKU_Master'!$B$2:$B$378,'00_SKU_Master'!$O:$O,0),"")</f>
        <v>#NAME?</v>
      </c>
      <c r="R131" s="112" t="e">
        <f ca="1">_xludf.IFNA(_xlfn.XLOOKUP($A133,'00_SKU_Master'!$B$2:$B$378,'00_SKU_Master'!$F$2:$F$378,0)*J133/_xlfn.XLOOKUP($A133,'00_SKU_Master'!$B$2:$B$378,'00_SKU_Master'!$O:$O,0),"")</f>
        <v>#NAME?</v>
      </c>
      <c r="S131" s="112" t="e">
        <f ca="1">_xludf.IFNA(_xlfn.XLOOKUP($A133,'00_SKU_Master'!$B$2:$B$378,'00_SKU_Master'!$F$2:$F$378,0)*K133/_xlfn.XLOOKUP($A133,'00_SKU_Master'!$B$2:$B$378,'00_SKU_Master'!$O:$O,0),"")</f>
        <v>#NAME?</v>
      </c>
      <c r="T131" s="113" t="e">
        <f t="shared" si="4"/>
        <v>#VALUE!</v>
      </c>
      <c r="U131" s="114" t="str">
        <f>'05_Daily_Orders'!L131</f>
        <v>RWA</v>
      </c>
    </row>
    <row r="132" spans="1:21">
      <c r="A132" s="108">
        <f>'05_Daily_Orders'!B132</f>
        <v>7236</v>
      </c>
      <c r="B132" s="50">
        <v>0</v>
      </c>
      <c r="C132" s="50">
        <v>0</v>
      </c>
      <c r="D132" s="109"/>
      <c r="E132" s="109"/>
      <c r="F132">
        <v>0</v>
      </c>
      <c r="L132" s="110">
        <f t="shared" si="5"/>
        <v>0</v>
      </c>
      <c r="M132" s="111">
        <f>_xlfn.IFNA(_xlfn.XLOOKUP(A132,'00_SKU_Master'!$B$2:$B$378,'00_SKU_Master'!$C$2:$C$378,0),"")</f>
        <v>61074</v>
      </c>
      <c r="N132" s="112" t="e">
        <f>_xlfn.IFNA(_xlfn.XLOOKUP(A132,'00_SKU_Master'!$B$2:$B$378,'00_SKU_Master'!$F$2:$F$378,0)*F132/_xlfn.XLOOKUP(A132,'00_SKU_Master'!$B$2:$B$378,'00_SKU_Master'!$O:$O,0),"")</f>
        <v>#VALUE!</v>
      </c>
      <c r="O132" s="112" t="e">
        <f ca="1">_xludf.IFNA(_xlfn.XLOOKUP($A134,'00_SKU_Master'!$B$2:$B$378,'00_SKU_Master'!$F$2:$F$378,0)*G134/_xlfn.XLOOKUP($A134,'00_SKU_Master'!$B$2:$B$378,'00_SKU_Master'!$O:$O,0),"")</f>
        <v>#NAME?</v>
      </c>
      <c r="P132" s="112" t="e">
        <f ca="1">_xludf.IFNA(_xlfn.XLOOKUP($A134,'00_SKU_Master'!$B$2:$B$378,'00_SKU_Master'!$F$2:$F$378,0)*H134/_xlfn.XLOOKUP($A134,'00_SKU_Master'!$B$2:$B$378,'00_SKU_Master'!$O:$O,0),"")</f>
        <v>#NAME?</v>
      </c>
      <c r="Q132" s="112" t="e">
        <f ca="1">_xludf.IFNA(_xlfn.XLOOKUP($A134,'00_SKU_Master'!$B$2:$B$378,'00_SKU_Master'!$F$2:$F$378,0)*I134/_xlfn.XLOOKUP($A134,'00_SKU_Master'!$B$2:$B$378,'00_SKU_Master'!$O:$O,0),"")</f>
        <v>#NAME?</v>
      </c>
      <c r="R132" s="112" t="e">
        <f ca="1">_xludf.IFNA(_xlfn.XLOOKUP($A134,'00_SKU_Master'!$B$2:$B$378,'00_SKU_Master'!$F$2:$F$378,0)*J134/_xlfn.XLOOKUP($A134,'00_SKU_Master'!$B$2:$B$378,'00_SKU_Master'!$O:$O,0),"")</f>
        <v>#NAME?</v>
      </c>
      <c r="S132" s="112" t="e">
        <f ca="1">_xludf.IFNA(_xlfn.XLOOKUP($A134,'00_SKU_Master'!$B$2:$B$378,'00_SKU_Master'!$F$2:$F$378,0)*K134/_xlfn.XLOOKUP($A134,'00_SKU_Master'!$B$2:$B$378,'00_SKU_Master'!$O:$O,0),"")</f>
        <v>#NAME?</v>
      </c>
      <c r="T132" s="113" t="e">
        <f t="shared" si="4"/>
        <v>#VALUE!</v>
      </c>
      <c r="U132" s="114" t="str">
        <f>'05_Daily_Orders'!L132</f>
        <v>RWA</v>
      </c>
    </row>
    <row r="133" spans="1:21">
      <c r="A133" s="108">
        <f>'05_Daily_Orders'!B133</f>
        <v>7237</v>
      </c>
      <c r="B133" s="50">
        <v>0</v>
      </c>
      <c r="C133" s="50">
        <v>0</v>
      </c>
      <c r="D133" s="109"/>
      <c r="E133" s="109"/>
      <c r="F133">
        <v>0</v>
      </c>
      <c r="L133" s="110">
        <f t="shared" si="5"/>
        <v>0</v>
      </c>
      <c r="M133" s="111">
        <f>_xlfn.IFNA(_xlfn.XLOOKUP(A133,'00_SKU_Master'!$B$2:$B$378,'00_SKU_Master'!$C$2:$C$378,0),"")</f>
        <v>61071</v>
      </c>
      <c r="N133" s="112" t="e">
        <f>_xlfn.IFNA(_xlfn.XLOOKUP(A133,'00_SKU_Master'!$B$2:$B$378,'00_SKU_Master'!$F$2:$F$378,0)*F133/_xlfn.XLOOKUP(A133,'00_SKU_Master'!$B$2:$B$378,'00_SKU_Master'!$O:$O,0),"")</f>
        <v>#VALUE!</v>
      </c>
      <c r="O133" s="112" t="e">
        <f ca="1">_xludf.IFNA(_xlfn.XLOOKUP($A135,'00_SKU_Master'!$B$2:$B$378,'00_SKU_Master'!$F$2:$F$378,0)*G135/_xlfn.XLOOKUP($A135,'00_SKU_Master'!$B$2:$B$378,'00_SKU_Master'!$O:$O,0),"")</f>
        <v>#NAME?</v>
      </c>
      <c r="P133" s="112" t="e">
        <f ca="1">_xludf.IFNA(_xlfn.XLOOKUP($A135,'00_SKU_Master'!$B$2:$B$378,'00_SKU_Master'!$F$2:$F$378,0)*H135/_xlfn.XLOOKUP($A135,'00_SKU_Master'!$B$2:$B$378,'00_SKU_Master'!$O:$O,0),"")</f>
        <v>#NAME?</v>
      </c>
      <c r="Q133" s="112" t="e">
        <f ca="1">_xludf.IFNA(_xlfn.XLOOKUP($A135,'00_SKU_Master'!$B$2:$B$378,'00_SKU_Master'!$F$2:$F$378,0)*I135/_xlfn.XLOOKUP($A135,'00_SKU_Master'!$B$2:$B$378,'00_SKU_Master'!$O:$O,0),"")</f>
        <v>#NAME?</v>
      </c>
      <c r="R133" s="112" t="e">
        <f ca="1">_xludf.IFNA(_xlfn.XLOOKUP($A135,'00_SKU_Master'!$B$2:$B$378,'00_SKU_Master'!$F$2:$F$378,0)*J135/_xlfn.XLOOKUP($A135,'00_SKU_Master'!$B$2:$B$378,'00_SKU_Master'!$O:$O,0),"")</f>
        <v>#NAME?</v>
      </c>
      <c r="S133" s="112" t="e">
        <f ca="1">_xludf.IFNA(_xlfn.XLOOKUP($A135,'00_SKU_Master'!$B$2:$B$378,'00_SKU_Master'!$F$2:$F$378,0)*K135/_xlfn.XLOOKUP($A135,'00_SKU_Master'!$B$2:$B$378,'00_SKU_Master'!$O:$O,0),"")</f>
        <v>#NAME?</v>
      </c>
      <c r="T133" s="113" t="e">
        <f t="shared" si="4"/>
        <v>#VALUE!</v>
      </c>
      <c r="U133" s="114" t="str">
        <f>'05_Daily_Orders'!L133</f>
        <v>RWA</v>
      </c>
    </row>
    <row r="134" spans="1:21">
      <c r="A134" s="108">
        <f>'05_Daily_Orders'!B134</f>
        <v>7238</v>
      </c>
      <c r="B134" s="50">
        <v>0</v>
      </c>
      <c r="C134" s="50">
        <v>0</v>
      </c>
      <c r="D134" s="109"/>
      <c r="E134" s="109"/>
      <c r="F134">
        <v>0</v>
      </c>
      <c r="L134" s="110">
        <f t="shared" si="5"/>
        <v>0</v>
      </c>
      <c r="M134" s="111">
        <f>_xlfn.IFNA(_xlfn.XLOOKUP(A134,'00_SKU_Master'!$B$2:$B$378,'00_SKU_Master'!$C$2:$C$378,0),"")</f>
        <v>61016</v>
      </c>
      <c r="N134" s="112" t="e">
        <f>_xlfn.IFNA(_xlfn.XLOOKUP(A134,'00_SKU_Master'!$B$2:$B$378,'00_SKU_Master'!$F$2:$F$378,0)*F134/_xlfn.XLOOKUP(A134,'00_SKU_Master'!$B$2:$B$378,'00_SKU_Master'!$O:$O,0),"")</f>
        <v>#VALUE!</v>
      </c>
      <c r="O134" s="112" t="e">
        <f ca="1">_xludf.IFNA(_xlfn.XLOOKUP($A136,'00_SKU_Master'!$B$2:$B$378,'00_SKU_Master'!$F$2:$F$378,0)*G136/_xlfn.XLOOKUP($A136,'00_SKU_Master'!$B$2:$B$378,'00_SKU_Master'!$O:$O,0),"")</f>
        <v>#NAME?</v>
      </c>
      <c r="P134" s="112" t="e">
        <f ca="1">_xludf.IFNA(_xlfn.XLOOKUP($A136,'00_SKU_Master'!$B$2:$B$378,'00_SKU_Master'!$F$2:$F$378,0)*H136/_xlfn.XLOOKUP($A136,'00_SKU_Master'!$B$2:$B$378,'00_SKU_Master'!$O:$O,0),"")</f>
        <v>#NAME?</v>
      </c>
      <c r="Q134" s="112" t="e">
        <f ca="1">_xludf.IFNA(_xlfn.XLOOKUP($A136,'00_SKU_Master'!$B$2:$B$378,'00_SKU_Master'!$F$2:$F$378,0)*I136/_xlfn.XLOOKUP($A136,'00_SKU_Master'!$B$2:$B$378,'00_SKU_Master'!$O:$O,0),"")</f>
        <v>#NAME?</v>
      </c>
      <c r="R134" s="112" t="e">
        <f ca="1">_xludf.IFNA(_xlfn.XLOOKUP($A136,'00_SKU_Master'!$B$2:$B$378,'00_SKU_Master'!$F$2:$F$378,0)*J136/_xlfn.XLOOKUP($A136,'00_SKU_Master'!$B$2:$B$378,'00_SKU_Master'!$O:$O,0),"")</f>
        <v>#NAME?</v>
      </c>
      <c r="S134" s="112" t="e">
        <f ca="1">_xludf.IFNA(_xlfn.XLOOKUP($A136,'00_SKU_Master'!$B$2:$B$378,'00_SKU_Master'!$F$2:$F$378,0)*K136/_xlfn.XLOOKUP($A136,'00_SKU_Master'!$B$2:$B$378,'00_SKU_Master'!$O:$O,0),"")</f>
        <v>#NAME?</v>
      </c>
      <c r="T134" s="113" t="e">
        <f t="shared" si="4"/>
        <v>#VALUE!</v>
      </c>
      <c r="U134" s="114" t="str">
        <f>'05_Daily_Orders'!L134</f>
        <v>RWA</v>
      </c>
    </row>
    <row r="135" spans="1:21">
      <c r="A135" s="108">
        <f>'05_Daily_Orders'!B135</f>
        <v>7239</v>
      </c>
      <c r="B135" s="50">
        <v>0</v>
      </c>
      <c r="C135" s="50">
        <v>0</v>
      </c>
      <c r="D135" s="109"/>
      <c r="E135" s="109"/>
      <c r="F135">
        <v>0</v>
      </c>
      <c r="L135" s="110">
        <f t="shared" si="5"/>
        <v>0</v>
      </c>
      <c r="M135" s="111">
        <f>_xlfn.IFNA(_xlfn.XLOOKUP(A135,'00_SKU_Master'!$B$2:$B$378,'00_SKU_Master'!$C$2:$C$378,0),"")</f>
        <v>203151</v>
      </c>
      <c r="N135" s="112" t="e">
        <f>_xlfn.IFNA(_xlfn.XLOOKUP(A135,'00_SKU_Master'!$B$2:$B$378,'00_SKU_Master'!$F$2:$F$378,0)*F135/_xlfn.XLOOKUP(A135,'00_SKU_Master'!$B$2:$B$378,'00_SKU_Master'!$O:$O,0),"")</f>
        <v>#VALUE!</v>
      </c>
      <c r="O135" s="112" t="e">
        <f ca="1">_xludf.IFNA(_xlfn.XLOOKUP($A137,'00_SKU_Master'!$B$2:$B$378,'00_SKU_Master'!$F$2:$F$378,0)*G137/_xlfn.XLOOKUP($A137,'00_SKU_Master'!$B$2:$B$378,'00_SKU_Master'!$O:$O,0),"")</f>
        <v>#NAME?</v>
      </c>
      <c r="P135" s="112" t="e">
        <f ca="1">_xludf.IFNA(_xlfn.XLOOKUP($A137,'00_SKU_Master'!$B$2:$B$378,'00_SKU_Master'!$F$2:$F$378,0)*H137/_xlfn.XLOOKUP($A137,'00_SKU_Master'!$B$2:$B$378,'00_SKU_Master'!$O:$O,0),"")</f>
        <v>#NAME?</v>
      </c>
      <c r="Q135" s="112" t="e">
        <f ca="1">_xludf.IFNA(_xlfn.XLOOKUP($A137,'00_SKU_Master'!$B$2:$B$378,'00_SKU_Master'!$F$2:$F$378,0)*I137/_xlfn.XLOOKUP($A137,'00_SKU_Master'!$B$2:$B$378,'00_SKU_Master'!$O:$O,0),"")</f>
        <v>#NAME?</v>
      </c>
      <c r="R135" s="112" t="e">
        <f ca="1">_xludf.IFNA(_xlfn.XLOOKUP($A137,'00_SKU_Master'!$B$2:$B$378,'00_SKU_Master'!$F$2:$F$378,0)*J137/_xlfn.XLOOKUP($A137,'00_SKU_Master'!$B$2:$B$378,'00_SKU_Master'!$O:$O,0),"")</f>
        <v>#NAME?</v>
      </c>
      <c r="S135" s="112" t="e">
        <f ca="1">_xludf.IFNA(_xlfn.XLOOKUP($A137,'00_SKU_Master'!$B$2:$B$378,'00_SKU_Master'!$F$2:$F$378,0)*K137/_xlfn.XLOOKUP($A137,'00_SKU_Master'!$B$2:$B$378,'00_SKU_Master'!$O:$O,0),"")</f>
        <v>#NAME?</v>
      </c>
      <c r="T135" s="113" t="e">
        <f t="shared" si="4"/>
        <v>#VALUE!</v>
      </c>
      <c r="U135" s="114" t="str">
        <f>'05_Daily_Orders'!L135</f>
        <v>RWA</v>
      </c>
    </row>
    <row r="136" spans="1:21">
      <c r="A136" s="108">
        <f>'05_Daily_Orders'!B136</f>
        <v>7240</v>
      </c>
      <c r="B136" s="50">
        <v>0</v>
      </c>
      <c r="C136" s="50">
        <v>0</v>
      </c>
      <c r="D136" s="109"/>
      <c r="E136" s="109"/>
      <c r="F136">
        <v>0</v>
      </c>
      <c r="L136" s="110">
        <f t="shared" si="5"/>
        <v>0</v>
      </c>
      <c r="M136" s="111">
        <f>_xlfn.IFNA(_xlfn.XLOOKUP(A136,'00_SKU_Master'!$B$2:$B$378,'00_SKU_Master'!$C$2:$C$378,0),"")</f>
        <v>61051</v>
      </c>
      <c r="N136" s="112" t="e">
        <f>_xlfn.IFNA(_xlfn.XLOOKUP(A136,'00_SKU_Master'!$B$2:$B$378,'00_SKU_Master'!$F$2:$F$378,0)*F136/_xlfn.XLOOKUP(A136,'00_SKU_Master'!$B$2:$B$378,'00_SKU_Master'!$O:$O,0),"")</f>
        <v>#VALUE!</v>
      </c>
      <c r="O136" s="112" t="e">
        <f ca="1">_xludf.IFNA(_xlfn.XLOOKUP($A138,'00_SKU_Master'!$B$2:$B$378,'00_SKU_Master'!$F$2:$F$378,0)*G138/_xlfn.XLOOKUP($A138,'00_SKU_Master'!$B$2:$B$378,'00_SKU_Master'!$O:$O,0),"")</f>
        <v>#NAME?</v>
      </c>
      <c r="P136" s="112" t="e">
        <f ca="1">_xludf.IFNA(_xlfn.XLOOKUP($A138,'00_SKU_Master'!$B$2:$B$378,'00_SKU_Master'!$F$2:$F$378,0)*H138/_xlfn.XLOOKUP($A138,'00_SKU_Master'!$B$2:$B$378,'00_SKU_Master'!$O:$O,0),"")</f>
        <v>#NAME?</v>
      </c>
      <c r="Q136" s="112" t="e">
        <f ca="1">_xludf.IFNA(_xlfn.XLOOKUP($A138,'00_SKU_Master'!$B$2:$B$378,'00_SKU_Master'!$F$2:$F$378,0)*I138/_xlfn.XLOOKUP($A138,'00_SKU_Master'!$B$2:$B$378,'00_SKU_Master'!$O:$O,0),"")</f>
        <v>#NAME?</v>
      </c>
      <c r="R136" s="112" t="e">
        <f ca="1">_xludf.IFNA(_xlfn.XLOOKUP($A138,'00_SKU_Master'!$B$2:$B$378,'00_SKU_Master'!$F$2:$F$378,0)*J138/_xlfn.XLOOKUP($A138,'00_SKU_Master'!$B$2:$B$378,'00_SKU_Master'!$O:$O,0),"")</f>
        <v>#NAME?</v>
      </c>
      <c r="S136" s="112" t="e">
        <f ca="1">_xludf.IFNA(_xlfn.XLOOKUP($A138,'00_SKU_Master'!$B$2:$B$378,'00_SKU_Master'!$F$2:$F$378,0)*K138/_xlfn.XLOOKUP($A138,'00_SKU_Master'!$B$2:$B$378,'00_SKU_Master'!$O:$O,0),"")</f>
        <v>#NAME?</v>
      </c>
      <c r="T136" s="113" t="e">
        <f t="shared" si="4"/>
        <v>#VALUE!</v>
      </c>
      <c r="U136" s="114" t="str">
        <f>'05_Daily_Orders'!L136</f>
        <v>RWA</v>
      </c>
    </row>
    <row r="137" spans="1:21">
      <c r="A137" s="108">
        <f>'05_Daily_Orders'!B137</f>
        <v>7241</v>
      </c>
      <c r="B137" s="50">
        <v>0</v>
      </c>
      <c r="C137" s="50">
        <v>0</v>
      </c>
      <c r="D137" s="109"/>
      <c r="E137" s="109"/>
      <c r="F137">
        <v>0</v>
      </c>
      <c r="L137" s="110">
        <f t="shared" si="5"/>
        <v>0</v>
      </c>
      <c r="M137" s="111">
        <f>_xlfn.IFNA(_xlfn.XLOOKUP(A137,'00_SKU_Master'!$B$2:$B$378,'00_SKU_Master'!$C$2:$C$378,0),"")</f>
        <v>61087</v>
      </c>
      <c r="N137" s="112" t="e">
        <f>_xlfn.IFNA(_xlfn.XLOOKUP(A137,'00_SKU_Master'!$B$2:$B$378,'00_SKU_Master'!$F$2:$F$378,0)*F137/_xlfn.XLOOKUP(A137,'00_SKU_Master'!$B$2:$B$378,'00_SKU_Master'!$O:$O,0),"")</f>
        <v>#VALUE!</v>
      </c>
      <c r="O137" s="112" t="e">
        <f ca="1">_xludf.IFNA(_xlfn.XLOOKUP($A139,'00_SKU_Master'!$B$2:$B$378,'00_SKU_Master'!$F$2:$F$378,0)*G139/_xlfn.XLOOKUP($A139,'00_SKU_Master'!$B$2:$B$378,'00_SKU_Master'!$O:$O,0),"")</f>
        <v>#NAME?</v>
      </c>
      <c r="P137" s="112" t="e">
        <f ca="1">_xludf.IFNA(_xlfn.XLOOKUP($A139,'00_SKU_Master'!$B$2:$B$378,'00_SKU_Master'!$F$2:$F$378,0)*H139/_xlfn.XLOOKUP($A139,'00_SKU_Master'!$B$2:$B$378,'00_SKU_Master'!$O:$O,0),"")</f>
        <v>#NAME?</v>
      </c>
      <c r="Q137" s="112" t="e">
        <f ca="1">_xludf.IFNA(_xlfn.XLOOKUP($A139,'00_SKU_Master'!$B$2:$B$378,'00_SKU_Master'!$F$2:$F$378,0)*I139/_xlfn.XLOOKUP($A139,'00_SKU_Master'!$B$2:$B$378,'00_SKU_Master'!$O:$O,0),"")</f>
        <v>#NAME?</v>
      </c>
      <c r="R137" s="112" t="e">
        <f ca="1">_xludf.IFNA(_xlfn.XLOOKUP($A139,'00_SKU_Master'!$B$2:$B$378,'00_SKU_Master'!$F$2:$F$378,0)*J139/_xlfn.XLOOKUP($A139,'00_SKU_Master'!$B$2:$B$378,'00_SKU_Master'!$O:$O,0),"")</f>
        <v>#NAME?</v>
      </c>
      <c r="S137" s="112" t="e">
        <f ca="1">_xludf.IFNA(_xlfn.XLOOKUP($A139,'00_SKU_Master'!$B$2:$B$378,'00_SKU_Master'!$F$2:$F$378,0)*K139/_xlfn.XLOOKUP($A139,'00_SKU_Master'!$B$2:$B$378,'00_SKU_Master'!$O:$O,0),"")</f>
        <v>#NAME?</v>
      </c>
      <c r="T137" s="113" t="e">
        <f t="shared" si="4"/>
        <v>#VALUE!</v>
      </c>
      <c r="U137" s="114" t="str">
        <f>'05_Daily_Orders'!L137</f>
        <v>RWA</v>
      </c>
    </row>
    <row r="138" spans="1:21">
      <c r="A138" s="108">
        <f>'05_Daily_Orders'!B138</f>
        <v>7242</v>
      </c>
      <c r="B138" s="50">
        <v>0</v>
      </c>
      <c r="C138" s="50">
        <v>0</v>
      </c>
      <c r="D138" s="109"/>
      <c r="E138" s="109"/>
      <c r="F138">
        <v>0</v>
      </c>
      <c r="L138" s="110">
        <f t="shared" si="5"/>
        <v>0</v>
      </c>
      <c r="M138" s="111">
        <f>_xlfn.IFNA(_xlfn.XLOOKUP(A138,'00_SKU_Master'!$B$2:$B$378,'00_SKU_Master'!$C$2:$C$378,0),"")</f>
        <v>61016</v>
      </c>
      <c r="N138" s="112" t="e">
        <f>_xlfn.IFNA(_xlfn.XLOOKUP(A138,'00_SKU_Master'!$B$2:$B$378,'00_SKU_Master'!$F$2:$F$378,0)*F138/_xlfn.XLOOKUP(A138,'00_SKU_Master'!$B$2:$B$378,'00_SKU_Master'!$O:$O,0),"")</f>
        <v>#VALUE!</v>
      </c>
      <c r="O138" s="112" t="e">
        <f ca="1">_xludf.IFNA(_xlfn.XLOOKUP($A140,'00_SKU_Master'!$B$2:$B$378,'00_SKU_Master'!$F$2:$F$378,0)*G140/_xlfn.XLOOKUP($A140,'00_SKU_Master'!$B$2:$B$378,'00_SKU_Master'!$O:$O,0),"")</f>
        <v>#NAME?</v>
      </c>
      <c r="P138" s="112" t="e">
        <f ca="1">_xludf.IFNA(_xlfn.XLOOKUP($A140,'00_SKU_Master'!$B$2:$B$378,'00_SKU_Master'!$F$2:$F$378,0)*H140/_xlfn.XLOOKUP($A140,'00_SKU_Master'!$B$2:$B$378,'00_SKU_Master'!$O:$O,0),"")</f>
        <v>#NAME?</v>
      </c>
      <c r="Q138" s="112" t="e">
        <f ca="1">_xludf.IFNA(_xlfn.XLOOKUP($A140,'00_SKU_Master'!$B$2:$B$378,'00_SKU_Master'!$F$2:$F$378,0)*I140/_xlfn.XLOOKUP($A140,'00_SKU_Master'!$B$2:$B$378,'00_SKU_Master'!$O:$O,0),"")</f>
        <v>#NAME?</v>
      </c>
      <c r="R138" s="112" t="e">
        <f ca="1">_xludf.IFNA(_xlfn.XLOOKUP($A140,'00_SKU_Master'!$B$2:$B$378,'00_SKU_Master'!$F$2:$F$378,0)*J140/_xlfn.XLOOKUP($A140,'00_SKU_Master'!$B$2:$B$378,'00_SKU_Master'!$O:$O,0),"")</f>
        <v>#NAME?</v>
      </c>
      <c r="S138" s="112" t="e">
        <f ca="1">_xludf.IFNA(_xlfn.XLOOKUP($A140,'00_SKU_Master'!$B$2:$B$378,'00_SKU_Master'!$F$2:$F$378,0)*K140/_xlfn.XLOOKUP($A140,'00_SKU_Master'!$B$2:$B$378,'00_SKU_Master'!$O:$O,0),"")</f>
        <v>#NAME?</v>
      </c>
      <c r="T138" s="113" t="e">
        <f t="shared" si="4"/>
        <v>#VALUE!</v>
      </c>
      <c r="U138" s="114" t="str">
        <f>'05_Daily_Orders'!L138</f>
        <v>RWA</v>
      </c>
    </row>
    <row r="139" spans="1:21">
      <c r="A139" s="108">
        <f>'05_Daily_Orders'!B139</f>
        <v>7245</v>
      </c>
      <c r="B139" s="50">
        <v>0</v>
      </c>
      <c r="C139" s="50">
        <v>0</v>
      </c>
      <c r="D139" s="109"/>
      <c r="E139" s="109"/>
      <c r="F139">
        <v>0</v>
      </c>
      <c r="L139" s="110">
        <f t="shared" si="5"/>
        <v>0</v>
      </c>
      <c r="M139" s="111">
        <f>_xlfn.IFNA(_xlfn.XLOOKUP(A139,'00_SKU_Master'!$B$2:$B$378,'00_SKU_Master'!$C$2:$C$378,0),"")</f>
        <v>61074</v>
      </c>
      <c r="N139" s="112" t="e">
        <f>_xlfn.IFNA(_xlfn.XLOOKUP(A139,'00_SKU_Master'!$B$2:$B$378,'00_SKU_Master'!$F$2:$F$378,0)*F139/_xlfn.XLOOKUP(A139,'00_SKU_Master'!$B$2:$B$378,'00_SKU_Master'!$O:$O,0),"")</f>
        <v>#VALUE!</v>
      </c>
      <c r="O139" s="112" t="e">
        <f ca="1">_xludf.IFNA(_xlfn.XLOOKUP($A141,'00_SKU_Master'!$B$2:$B$378,'00_SKU_Master'!$F$2:$F$378,0)*G141/_xlfn.XLOOKUP($A141,'00_SKU_Master'!$B$2:$B$378,'00_SKU_Master'!$O:$O,0),"")</f>
        <v>#NAME?</v>
      </c>
      <c r="P139" s="112" t="e">
        <f ca="1">_xludf.IFNA(_xlfn.XLOOKUP($A141,'00_SKU_Master'!$B$2:$B$378,'00_SKU_Master'!$F$2:$F$378,0)*H141/_xlfn.XLOOKUP($A141,'00_SKU_Master'!$B$2:$B$378,'00_SKU_Master'!$O:$O,0),"")</f>
        <v>#NAME?</v>
      </c>
      <c r="Q139" s="112" t="e">
        <f ca="1">_xludf.IFNA(_xlfn.XLOOKUP($A141,'00_SKU_Master'!$B$2:$B$378,'00_SKU_Master'!$F$2:$F$378,0)*I141/_xlfn.XLOOKUP($A141,'00_SKU_Master'!$B$2:$B$378,'00_SKU_Master'!$O:$O,0),"")</f>
        <v>#NAME?</v>
      </c>
      <c r="R139" s="112" t="e">
        <f ca="1">_xludf.IFNA(_xlfn.XLOOKUP($A141,'00_SKU_Master'!$B$2:$B$378,'00_SKU_Master'!$F$2:$F$378,0)*J141/_xlfn.XLOOKUP($A141,'00_SKU_Master'!$B$2:$B$378,'00_SKU_Master'!$O:$O,0),"")</f>
        <v>#NAME?</v>
      </c>
      <c r="S139" s="112" t="e">
        <f ca="1">_xludf.IFNA(_xlfn.XLOOKUP($A141,'00_SKU_Master'!$B$2:$B$378,'00_SKU_Master'!$F$2:$F$378,0)*K141/_xlfn.XLOOKUP($A141,'00_SKU_Master'!$B$2:$B$378,'00_SKU_Master'!$O:$O,0),"")</f>
        <v>#NAME?</v>
      </c>
      <c r="T139" s="113" t="e">
        <f t="shared" si="4"/>
        <v>#VALUE!</v>
      </c>
      <c r="U139" s="114" t="str">
        <f>'05_Daily_Orders'!L139</f>
        <v>RWA</v>
      </c>
    </row>
    <row r="140" spans="1:21">
      <c r="A140" s="108">
        <f>'05_Daily_Orders'!B140</f>
        <v>7246</v>
      </c>
      <c r="B140" s="50">
        <v>0</v>
      </c>
      <c r="C140" s="50">
        <v>0</v>
      </c>
      <c r="D140" s="109"/>
      <c r="E140" s="109"/>
      <c r="F140">
        <v>0</v>
      </c>
      <c r="L140" s="110">
        <f t="shared" si="5"/>
        <v>0</v>
      </c>
      <c r="M140" s="111">
        <f>_xlfn.IFNA(_xlfn.XLOOKUP(A140,'00_SKU_Master'!$B$2:$B$378,'00_SKU_Master'!$C$2:$C$378,0),"")</f>
        <v>61051</v>
      </c>
      <c r="N140" s="112" t="e">
        <f>_xlfn.IFNA(_xlfn.XLOOKUP(A140,'00_SKU_Master'!$B$2:$B$378,'00_SKU_Master'!$F$2:$F$378,0)*F140/_xlfn.XLOOKUP(A140,'00_SKU_Master'!$B$2:$B$378,'00_SKU_Master'!$O:$O,0),"")</f>
        <v>#VALUE!</v>
      </c>
      <c r="O140" s="112" t="e">
        <f ca="1">_xludf.IFNA(_xlfn.XLOOKUP($A142,'00_SKU_Master'!$B$2:$B$378,'00_SKU_Master'!$F$2:$F$378,0)*G142/_xlfn.XLOOKUP($A142,'00_SKU_Master'!$B$2:$B$378,'00_SKU_Master'!$O:$O,0),"")</f>
        <v>#NAME?</v>
      </c>
      <c r="P140" s="112" t="e">
        <f ca="1">_xludf.IFNA(_xlfn.XLOOKUP($A142,'00_SKU_Master'!$B$2:$B$378,'00_SKU_Master'!$F$2:$F$378,0)*H142/_xlfn.XLOOKUP($A142,'00_SKU_Master'!$B$2:$B$378,'00_SKU_Master'!$O:$O,0),"")</f>
        <v>#NAME?</v>
      </c>
      <c r="Q140" s="112" t="e">
        <f ca="1">_xludf.IFNA(_xlfn.XLOOKUP($A142,'00_SKU_Master'!$B$2:$B$378,'00_SKU_Master'!$F$2:$F$378,0)*I142/_xlfn.XLOOKUP($A142,'00_SKU_Master'!$B$2:$B$378,'00_SKU_Master'!$O:$O,0),"")</f>
        <v>#NAME?</v>
      </c>
      <c r="R140" s="112" t="e">
        <f ca="1">_xludf.IFNA(_xlfn.XLOOKUP($A142,'00_SKU_Master'!$B$2:$B$378,'00_SKU_Master'!$F$2:$F$378,0)*J142/_xlfn.XLOOKUP($A142,'00_SKU_Master'!$B$2:$B$378,'00_SKU_Master'!$O:$O,0),"")</f>
        <v>#NAME?</v>
      </c>
      <c r="S140" s="112" t="e">
        <f ca="1">_xludf.IFNA(_xlfn.XLOOKUP($A142,'00_SKU_Master'!$B$2:$B$378,'00_SKU_Master'!$F$2:$F$378,0)*K142/_xlfn.XLOOKUP($A142,'00_SKU_Master'!$B$2:$B$378,'00_SKU_Master'!$O:$O,0),"")</f>
        <v>#NAME?</v>
      </c>
      <c r="T140" s="113" t="e">
        <f t="shared" si="4"/>
        <v>#VALUE!</v>
      </c>
      <c r="U140" s="114" t="str">
        <f>'05_Daily_Orders'!L140</f>
        <v>RWA</v>
      </c>
    </row>
    <row r="141" spans="1:21">
      <c r="A141" s="108">
        <f>'05_Daily_Orders'!B141</f>
        <v>7247</v>
      </c>
      <c r="B141" s="50">
        <v>0</v>
      </c>
      <c r="C141" s="50">
        <v>0</v>
      </c>
      <c r="D141" s="109"/>
      <c r="E141" s="109"/>
      <c r="F141">
        <v>0</v>
      </c>
      <c r="L141" s="110">
        <f t="shared" si="5"/>
        <v>0</v>
      </c>
      <c r="M141" s="111">
        <f>_xlfn.IFNA(_xlfn.XLOOKUP(A141,'00_SKU_Master'!$B$2:$B$378,'00_SKU_Master'!$C$2:$C$378,0),"")</f>
        <v>203151</v>
      </c>
      <c r="N141" s="112" t="e">
        <f>_xlfn.IFNA(_xlfn.XLOOKUP(A141,'00_SKU_Master'!$B$2:$B$378,'00_SKU_Master'!$F$2:$F$378,0)*F141/_xlfn.XLOOKUP(A141,'00_SKU_Master'!$B$2:$B$378,'00_SKU_Master'!$O:$O,0),"")</f>
        <v>#VALUE!</v>
      </c>
      <c r="O141" s="112" t="e">
        <f ca="1">_xludf.IFNA(_xlfn.XLOOKUP($A143,'00_SKU_Master'!$B$2:$B$378,'00_SKU_Master'!$F$2:$F$378,0)*G143/_xlfn.XLOOKUP($A143,'00_SKU_Master'!$B$2:$B$378,'00_SKU_Master'!$O:$O,0),"")</f>
        <v>#NAME?</v>
      </c>
      <c r="P141" s="112" t="e">
        <f ca="1">_xludf.IFNA(_xlfn.XLOOKUP($A143,'00_SKU_Master'!$B$2:$B$378,'00_SKU_Master'!$F$2:$F$378,0)*H143/_xlfn.XLOOKUP($A143,'00_SKU_Master'!$B$2:$B$378,'00_SKU_Master'!$O:$O,0),"")</f>
        <v>#NAME?</v>
      </c>
      <c r="Q141" s="112" t="e">
        <f ca="1">_xludf.IFNA(_xlfn.XLOOKUP($A143,'00_SKU_Master'!$B$2:$B$378,'00_SKU_Master'!$F$2:$F$378,0)*I143/_xlfn.XLOOKUP($A143,'00_SKU_Master'!$B$2:$B$378,'00_SKU_Master'!$O:$O,0),"")</f>
        <v>#NAME?</v>
      </c>
      <c r="R141" s="112" t="e">
        <f ca="1">_xludf.IFNA(_xlfn.XLOOKUP($A143,'00_SKU_Master'!$B$2:$B$378,'00_SKU_Master'!$F$2:$F$378,0)*J143/_xlfn.XLOOKUP($A143,'00_SKU_Master'!$B$2:$B$378,'00_SKU_Master'!$O:$O,0),"")</f>
        <v>#NAME?</v>
      </c>
      <c r="S141" s="112" t="e">
        <f ca="1">_xludf.IFNA(_xlfn.XLOOKUP($A143,'00_SKU_Master'!$B$2:$B$378,'00_SKU_Master'!$F$2:$F$378,0)*K143/_xlfn.XLOOKUP($A143,'00_SKU_Master'!$B$2:$B$378,'00_SKU_Master'!$O:$O,0),"")</f>
        <v>#NAME?</v>
      </c>
      <c r="T141" s="113" t="e">
        <f t="shared" si="4"/>
        <v>#VALUE!</v>
      </c>
      <c r="U141" s="114" t="str">
        <f>'05_Daily_Orders'!L141</f>
        <v>RWA</v>
      </c>
    </row>
    <row r="142" spans="1:21">
      <c r="A142" s="108">
        <f>'05_Daily_Orders'!B142</f>
        <v>7248</v>
      </c>
      <c r="B142" s="50">
        <v>0</v>
      </c>
      <c r="C142" s="50">
        <v>0</v>
      </c>
      <c r="D142" s="109"/>
      <c r="E142" s="109"/>
      <c r="F142">
        <v>0</v>
      </c>
      <c r="L142" s="110">
        <f t="shared" si="5"/>
        <v>0</v>
      </c>
      <c r="M142" s="111">
        <f>_xlfn.IFNA(_xlfn.XLOOKUP(A142,'00_SKU_Master'!$B$2:$B$378,'00_SKU_Master'!$C$2:$C$378,0),"")</f>
        <v>61087</v>
      </c>
      <c r="N142" s="112" t="e">
        <f>_xlfn.IFNA(_xlfn.XLOOKUP(A142,'00_SKU_Master'!$B$2:$B$378,'00_SKU_Master'!$F$2:$F$378,0)*F142/_xlfn.XLOOKUP(A142,'00_SKU_Master'!$B$2:$B$378,'00_SKU_Master'!$O:$O,0),"")</f>
        <v>#VALUE!</v>
      </c>
      <c r="O142" s="112" t="e">
        <f ca="1">_xludf.IFNA(_xlfn.XLOOKUP($A144,'00_SKU_Master'!$B$2:$B$378,'00_SKU_Master'!$F$2:$F$378,0)*G144/_xlfn.XLOOKUP($A144,'00_SKU_Master'!$B$2:$B$378,'00_SKU_Master'!$O:$O,0),"")</f>
        <v>#NAME?</v>
      </c>
      <c r="P142" s="112" t="e">
        <f ca="1">_xludf.IFNA(_xlfn.XLOOKUP($A144,'00_SKU_Master'!$B$2:$B$378,'00_SKU_Master'!$F$2:$F$378,0)*H144/_xlfn.XLOOKUP($A144,'00_SKU_Master'!$B$2:$B$378,'00_SKU_Master'!$O:$O,0),"")</f>
        <v>#NAME?</v>
      </c>
      <c r="Q142" s="112" t="e">
        <f ca="1">_xludf.IFNA(_xlfn.XLOOKUP($A144,'00_SKU_Master'!$B$2:$B$378,'00_SKU_Master'!$F$2:$F$378,0)*I144/_xlfn.XLOOKUP($A144,'00_SKU_Master'!$B$2:$B$378,'00_SKU_Master'!$O:$O,0),"")</f>
        <v>#NAME?</v>
      </c>
      <c r="R142" s="112" t="e">
        <f ca="1">_xludf.IFNA(_xlfn.XLOOKUP($A144,'00_SKU_Master'!$B$2:$B$378,'00_SKU_Master'!$F$2:$F$378,0)*J144/_xlfn.XLOOKUP($A144,'00_SKU_Master'!$B$2:$B$378,'00_SKU_Master'!$O:$O,0),"")</f>
        <v>#NAME?</v>
      </c>
      <c r="S142" s="112" t="e">
        <f ca="1">_xludf.IFNA(_xlfn.XLOOKUP($A144,'00_SKU_Master'!$B$2:$B$378,'00_SKU_Master'!$F$2:$F$378,0)*K144/_xlfn.XLOOKUP($A144,'00_SKU_Master'!$B$2:$B$378,'00_SKU_Master'!$O:$O,0),"")</f>
        <v>#NAME?</v>
      </c>
      <c r="T142" s="113" t="e">
        <f t="shared" si="4"/>
        <v>#VALUE!</v>
      </c>
      <c r="U142" s="114" t="str">
        <f>'05_Daily_Orders'!L142</f>
        <v>RWA</v>
      </c>
    </row>
    <row r="143" spans="1:21">
      <c r="A143" s="108">
        <f>'05_Daily_Orders'!B143</f>
        <v>7249</v>
      </c>
      <c r="B143" s="50">
        <v>0</v>
      </c>
      <c r="C143" s="50">
        <v>0</v>
      </c>
      <c r="D143" s="109"/>
      <c r="E143" s="109"/>
      <c r="F143">
        <v>0</v>
      </c>
      <c r="L143" s="110">
        <f t="shared" si="5"/>
        <v>0</v>
      </c>
      <c r="M143" s="111">
        <f>_xlfn.IFNA(_xlfn.XLOOKUP(A143,'00_SKU_Master'!$B$2:$B$378,'00_SKU_Master'!$C$2:$C$378,0),"")</f>
        <v>61016</v>
      </c>
      <c r="N143" s="112" t="e">
        <f>_xlfn.IFNA(_xlfn.XLOOKUP(A143,'00_SKU_Master'!$B$2:$B$378,'00_SKU_Master'!$F$2:$F$378,0)*F143/_xlfn.XLOOKUP(A143,'00_SKU_Master'!$B$2:$B$378,'00_SKU_Master'!$O:$O,0),"")</f>
        <v>#VALUE!</v>
      </c>
      <c r="O143" s="112" t="e">
        <f ca="1">_xludf.IFNA(_xlfn.XLOOKUP($A145,'00_SKU_Master'!$B$2:$B$378,'00_SKU_Master'!$F$2:$F$378,0)*G145/_xlfn.XLOOKUP($A145,'00_SKU_Master'!$B$2:$B$378,'00_SKU_Master'!$O:$O,0),"")</f>
        <v>#NAME?</v>
      </c>
      <c r="P143" s="112" t="e">
        <f ca="1">_xludf.IFNA(_xlfn.XLOOKUP($A145,'00_SKU_Master'!$B$2:$B$378,'00_SKU_Master'!$F$2:$F$378,0)*H145/_xlfn.XLOOKUP($A145,'00_SKU_Master'!$B$2:$B$378,'00_SKU_Master'!$O:$O,0),"")</f>
        <v>#NAME?</v>
      </c>
      <c r="Q143" s="112" t="e">
        <f ca="1">_xludf.IFNA(_xlfn.XLOOKUP($A145,'00_SKU_Master'!$B$2:$B$378,'00_SKU_Master'!$F$2:$F$378,0)*I145/_xlfn.XLOOKUP($A145,'00_SKU_Master'!$B$2:$B$378,'00_SKU_Master'!$O:$O,0),"")</f>
        <v>#NAME?</v>
      </c>
      <c r="R143" s="112" t="e">
        <f ca="1">_xludf.IFNA(_xlfn.XLOOKUP($A145,'00_SKU_Master'!$B$2:$B$378,'00_SKU_Master'!$F$2:$F$378,0)*J145/_xlfn.XLOOKUP($A145,'00_SKU_Master'!$B$2:$B$378,'00_SKU_Master'!$O:$O,0),"")</f>
        <v>#NAME?</v>
      </c>
      <c r="S143" s="112" t="e">
        <f ca="1">_xludf.IFNA(_xlfn.XLOOKUP($A145,'00_SKU_Master'!$B$2:$B$378,'00_SKU_Master'!$F$2:$F$378,0)*K145/_xlfn.XLOOKUP($A145,'00_SKU_Master'!$B$2:$B$378,'00_SKU_Master'!$O:$O,0),"")</f>
        <v>#NAME?</v>
      </c>
      <c r="T143" s="113" t="e">
        <f t="shared" si="4"/>
        <v>#VALUE!</v>
      </c>
      <c r="U143" s="114" t="str">
        <f>'05_Daily_Orders'!L143</f>
        <v>RWA</v>
      </c>
    </row>
    <row r="144" spans="1:21">
      <c r="A144" s="108">
        <f>'05_Daily_Orders'!B144</f>
        <v>7250</v>
      </c>
      <c r="B144" s="50">
        <v>0</v>
      </c>
      <c r="C144" s="50">
        <v>0</v>
      </c>
      <c r="D144" s="109"/>
      <c r="E144" s="109"/>
      <c r="F144">
        <v>0</v>
      </c>
      <c r="L144" s="110">
        <f t="shared" si="5"/>
        <v>0</v>
      </c>
      <c r="M144" s="111">
        <f>_xlfn.IFNA(_xlfn.XLOOKUP(A144,'00_SKU_Master'!$B$2:$B$378,'00_SKU_Master'!$C$2:$C$378,0),"")</f>
        <v>61074</v>
      </c>
      <c r="N144" s="112" t="e">
        <f>_xlfn.IFNA(_xlfn.XLOOKUP(A144,'00_SKU_Master'!$B$2:$B$378,'00_SKU_Master'!$F$2:$F$378,0)*F144/_xlfn.XLOOKUP(A144,'00_SKU_Master'!$B$2:$B$378,'00_SKU_Master'!$O:$O,0),"")</f>
        <v>#VALUE!</v>
      </c>
      <c r="O144" s="112" t="e">
        <f ca="1">_xludf.IFNA(_xlfn.XLOOKUP($A146,'00_SKU_Master'!$B$2:$B$378,'00_SKU_Master'!$F$2:$F$378,0)*G146/_xlfn.XLOOKUP($A146,'00_SKU_Master'!$B$2:$B$378,'00_SKU_Master'!$O:$O,0),"")</f>
        <v>#NAME?</v>
      </c>
      <c r="P144" s="112" t="e">
        <f ca="1">_xludf.IFNA(_xlfn.XLOOKUP($A146,'00_SKU_Master'!$B$2:$B$378,'00_SKU_Master'!$F$2:$F$378,0)*H146/_xlfn.XLOOKUP($A146,'00_SKU_Master'!$B$2:$B$378,'00_SKU_Master'!$O:$O,0),"")</f>
        <v>#NAME?</v>
      </c>
      <c r="Q144" s="112" t="e">
        <f ca="1">_xludf.IFNA(_xlfn.XLOOKUP($A146,'00_SKU_Master'!$B$2:$B$378,'00_SKU_Master'!$F$2:$F$378,0)*I146/_xlfn.XLOOKUP($A146,'00_SKU_Master'!$B$2:$B$378,'00_SKU_Master'!$O:$O,0),"")</f>
        <v>#NAME?</v>
      </c>
      <c r="R144" s="112" t="e">
        <f ca="1">_xludf.IFNA(_xlfn.XLOOKUP($A146,'00_SKU_Master'!$B$2:$B$378,'00_SKU_Master'!$F$2:$F$378,0)*J146/_xlfn.XLOOKUP($A146,'00_SKU_Master'!$B$2:$B$378,'00_SKU_Master'!$O:$O,0),"")</f>
        <v>#NAME?</v>
      </c>
      <c r="S144" s="112" t="e">
        <f ca="1">_xludf.IFNA(_xlfn.XLOOKUP($A146,'00_SKU_Master'!$B$2:$B$378,'00_SKU_Master'!$F$2:$F$378,0)*K146/_xlfn.XLOOKUP($A146,'00_SKU_Master'!$B$2:$B$378,'00_SKU_Master'!$O:$O,0),"")</f>
        <v>#NAME?</v>
      </c>
      <c r="T144" s="113" t="e">
        <f t="shared" si="4"/>
        <v>#VALUE!</v>
      </c>
      <c r="U144" s="114" t="str">
        <f>'05_Daily_Orders'!L144</f>
        <v>RWA</v>
      </c>
    </row>
    <row r="145" spans="1:21">
      <c r="A145" s="108">
        <f>'05_Daily_Orders'!B145</f>
        <v>7251</v>
      </c>
      <c r="B145" s="50">
        <v>0</v>
      </c>
      <c r="C145" s="50">
        <v>0</v>
      </c>
      <c r="D145" s="109"/>
      <c r="E145" s="109"/>
      <c r="F145">
        <v>0</v>
      </c>
      <c r="L145" s="110">
        <f t="shared" si="5"/>
        <v>0</v>
      </c>
      <c r="M145" s="111">
        <f>_xlfn.IFNA(_xlfn.XLOOKUP(A145,'00_SKU_Master'!$B$2:$B$378,'00_SKU_Master'!$C$2:$C$378,0),"")</f>
        <v>61079</v>
      </c>
      <c r="N145" s="112" t="e">
        <f>_xlfn.IFNA(_xlfn.XLOOKUP(A145,'00_SKU_Master'!$B$2:$B$378,'00_SKU_Master'!$F$2:$F$378,0)*F145/_xlfn.XLOOKUP(A145,'00_SKU_Master'!$B$2:$B$378,'00_SKU_Master'!$O:$O,0),"")</f>
        <v>#VALUE!</v>
      </c>
      <c r="O145" s="112" t="e">
        <f ca="1">_xludf.IFNA(_xlfn.XLOOKUP($A147,'00_SKU_Master'!$B$2:$B$378,'00_SKU_Master'!$F$2:$F$378,0)*G147/_xlfn.XLOOKUP($A147,'00_SKU_Master'!$B$2:$B$378,'00_SKU_Master'!$O:$O,0),"")</f>
        <v>#NAME?</v>
      </c>
      <c r="P145" s="112" t="e">
        <f ca="1">_xludf.IFNA(_xlfn.XLOOKUP($A147,'00_SKU_Master'!$B$2:$B$378,'00_SKU_Master'!$F$2:$F$378,0)*H147/_xlfn.XLOOKUP($A147,'00_SKU_Master'!$B$2:$B$378,'00_SKU_Master'!$O:$O,0),"")</f>
        <v>#NAME?</v>
      </c>
      <c r="Q145" s="112" t="e">
        <f ca="1">_xludf.IFNA(_xlfn.XLOOKUP($A147,'00_SKU_Master'!$B$2:$B$378,'00_SKU_Master'!$F$2:$F$378,0)*I147/_xlfn.XLOOKUP($A147,'00_SKU_Master'!$B$2:$B$378,'00_SKU_Master'!$O:$O,0),"")</f>
        <v>#NAME?</v>
      </c>
      <c r="R145" s="112" t="e">
        <f ca="1">_xludf.IFNA(_xlfn.XLOOKUP($A147,'00_SKU_Master'!$B$2:$B$378,'00_SKU_Master'!$F$2:$F$378,0)*J147/_xlfn.XLOOKUP($A147,'00_SKU_Master'!$B$2:$B$378,'00_SKU_Master'!$O:$O,0),"")</f>
        <v>#NAME?</v>
      </c>
      <c r="S145" s="112" t="e">
        <f ca="1">_xludf.IFNA(_xlfn.XLOOKUP($A147,'00_SKU_Master'!$B$2:$B$378,'00_SKU_Master'!$F$2:$F$378,0)*K147/_xlfn.XLOOKUP($A147,'00_SKU_Master'!$B$2:$B$378,'00_SKU_Master'!$O:$O,0),"")</f>
        <v>#NAME?</v>
      </c>
      <c r="T145" s="113" t="e">
        <f t="shared" si="4"/>
        <v>#VALUE!</v>
      </c>
      <c r="U145" s="114" t="str">
        <f>'05_Daily_Orders'!L145</f>
        <v>RWA</v>
      </c>
    </row>
    <row r="146" spans="1:21">
      <c r="A146" s="108">
        <f>'05_Daily_Orders'!B146</f>
        <v>7252</v>
      </c>
      <c r="B146" s="50">
        <v>0</v>
      </c>
      <c r="C146" s="50">
        <v>0</v>
      </c>
      <c r="D146" s="109"/>
      <c r="E146" s="109"/>
      <c r="F146">
        <v>0</v>
      </c>
      <c r="L146" s="110">
        <f t="shared" si="5"/>
        <v>0</v>
      </c>
      <c r="M146" s="111">
        <f>_xlfn.IFNA(_xlfn.XLOOKUP(A146,'00_SKU_Master'!$B$2:$B$378,'00_SKU_Master'!$C$2:$C$378,0),"")</f>
        <v>61051</v>
      </c>
      <c r="N146" s="112" t="e">
        <f>_xlfn.IFNA(_xlfn.XLOOKUP(A146,'00_SKU_Master'!$B$2:$B$378,'00_SKU_Master'!$F$2:$F$378,0)*F146/_xlfn.XLOOKUP(A146,'00_SKU_Master'!$B$2:$B$378,'00_SKU_Master'!$O:$O,0),"")</f>
        <v>#VALUE!</v>
      </c>
      <c r="O146" s="112" t="e">
        <f ca="1">_xludf.IFNA(_xlfn.XLOOKUP($A148,'00_SKU_Master'!$B$2:$B$378,'00_SKU_Master'!$F$2:$F$378,0)*G148/_xlfn.XLOOKUP($A148,'00_SKU_Master'!$B$2:$B$378,'00_SKU_Master'!$O:$O,0),"")</f>
        <v>#NAME?</v>
      </c>
      <c r="P146" s="112" t="e">
        <f ca="1">_xludf.IFNA(_xlfn.XLOOKUP($A148,'00_SKU_Master'!$B$2:$B$378,'00_SKU_Master'!$F$2:$F$378,0)*H148/_xlfn.XLOOKUP($A148,'00_SKU_Master'!$B$2:$B$378,'00_SKU_Master'!$O:$O,0),"")</f>
        <v>#NAME?</v>
      </c>
      <c r="Q146" s="112" t="e">
        <f ca="1">_xludf.IFNA(_xlfn.XLOOKUP($A148,'00_SKU_Master'!$B$2:$B$378,'00_SKU_Master'!$F$2:$F$378,0)*I148/_xlfn.XLOOKUP($A148,'00_SKU_Master'!$B$2:$B$378,'00_SKU_Master'!$O:$O,0),"")</f>
        <v>#NAME?</v>
      </c>
      <c r="R146" s="112" t="e">
        <f ca="1">_xludf.IFNA(_xlfn.XLOOKUP($A148,'00_SKU_Master'!$B$2:$B$378,'00_SKU_Master'!$F$2:$F$378,0)*J148/_xlfn.XLOOKUP($A148,'00_SKU_Master'!$B$2:$B$378,'00_SKU_Master'!$O:$O,0),"")</f>
        <v>#NAME?</v>
      </c>
      <c r="S146" s="112" t="e">
        <f ca="1">_xludf.IFNA(_xlfn.XLOOKUP($A148,'00_SKU_Master'!$B$2:$B$378,'00_SKU_Master'!$F$2:$F$378,0)*K148/_xlfn.XLOOKUP($A148,'00_SKU_Master'!$B$2:$B$378,'00_SKU_Master'!$O:$O,0),"")</f>
        <v>#NAME?</v>
      </c>
      <c r="T146" s="113" t="e">
        <f t="shared" si="4"/>
        <v>#VALUE!</v>
      </c>
      <c r="U146" s="114" t="str">
        <f>'05_Daily_Orders'!L146</f>
        <v>RWA</v>
      </c>
    </row>
    <row r="147" spans="1:21">
      <c r="A147" s="108">
        <f>'05_Daily_Orders'!B147</f>
        <v>7253</v>
      </c>
      <c r="B147" s="50">
        <v>0</v>
      </c>
      <c r="C147" s="50">
        <v>0</v>
      </c>
      <c r="D147" s="109"/>
      <c r="E147" s="109"/>
      <c r="F147">
        <v>0</v>
      </c>
      <c r="L147" s="110">
        <f t="shared" si="5"/>
        <v>0</v>
      </c>
      <c r="M147" s="111">
        <f>_xlfn.IFNA(_xlfn.XLOOKUP(A147,'00_SKU_Master'!$B$2:$B$378,'00_SKU_Master'!$C$2:$C$378,0),"")</f>
        <v>61079</v>
      </c>
      <c r="N147" s="112" t="e">
        <f>_xlfn.IFNA(_xlfn.XLOOKUP(A147,'00_SKU_Master'!$B$2:$B$378,'00_SKU_Master'!$F$2:$F$378,0)*F147/_xlfn.XLOOKUP(A147,'00_SKU_Master'!$B$2:$B$378,'00_SKU_Master'!$O:$O,0),"")</f>
        <v>#VALUE!</v>
      </c>
      <c r="O147" s="112" t="e">
        <f ca="1">_xludf.IFNA(_xlfn.XLOOKUP($A149,'00_SKU_Master'!$B$2:$B$378,'00_SKU_Master'!$F$2:$F$378,0)*G149/_xlfn.XLOOKUP($A149,'00_SKU_Master'!$B$2:$B$378,'00_SKU_Master'!$O:$O,0),"")</f>
        <v>#NAME?</v>
      </c>
      <c r="P147" s="112" t="e">
        <f ca="1">_xludf.IFNA(_xlfn.XLOOKUP($A149,'00_SKU_Master'!$B$2:$B$378,'00_SKU_Master'!$F$2:$F$378,0)*H149/_xlfn.XLOOKUP($A149,'00_SKU_Master'!$B$2:$B$378,'00_SKU_Master'!$O:$O,0),"")</f>
        <v>#NAME?</v>
      </c>
      <c r="Q147" s="112" t="e">
        <f ca="1">_xludf.IFNA(_xlfn.XLOOKUP($A149,'00_SKU_Master'!$B$2:$B$378,'00_SKU_Master'!$F$2:$F$378,0)*I149/_xlfn.XLOOKUP($A149,'00_SKU_Master'!$B$2:$B$378,'00_SKU_Master'!$O:$O,0),"")</f>
        <v>#NAME?</v>
      </c>
      <c r="R147" s="112" t="e">
        <f ca="1">_xludf.IFNA(_xlfn.XLOOKUP($A149,'00_SKU_Master'!$B$2:$B$378,'00_SKU_Master'!$F$2:$F$378,0)*J149/_xlfn.XLOOKUP($A149,'00_SKU_Master'!$B$2:$B$378,'00_SKU_Master'!$O:$O,0),"")</f>
        <v>#NAME?</v>
      </c>
      <c r="S147" s="112" t="e">
        <f ca="1">_xludf.IFNA(_xlfn.XLOOKUP($A149,'00_SKU_Master'!$B$2:$B$378,'00_SKU_Master'!$F$2:$F$378,0)*K149/_xlfn.XLOOKUP($A149,'00_SKU_Master'!$B$2:$B$378,'00_SKU_Master'!$O:$O,0),"")</f>
        <v>#NAME?</v>
      </c>
      <c r="T147" s="113" t="e">
        <f t="shared" si="4"/>
        <v>#VALUE!</v>
      </c>
      <c r="U147" s="114" t="str">
        <f>'05_Daily_Orders'!L147</f>
        <v>RWA</v>
      </c>
    </row>
    <row r="148" spans="1:21">
      <c r="A148" s="108">
        <f>'05_Daily_Orders'!B148</f>
        <v>7254</v>
      </c>
      <c r="B148" s="50">
        <v>0</v>
      </c>
      <c r="C148" s="50">
        <v>0</v>
      </c>
      <c r="D148" s="109"/>
      <c r="E148" s="109"/>
      <c r="F148">
        <v>0</v>
      </c>
      <c r="L148" s="110">
        <f t="shared" si="5"/>
        <v>0</v>
      </c>
      <c r="M148" s="111">
        <f>_xlfn.IFNA(_xlfn.XLOOKUP(A148,'00_SKU_Master'!$B$2:$B$378,'00_SKU_Master'!$C$2:$C$378,0),"")</f>
        <v>61074</v>
      </c>
      <c r="N148" s="112" t="e">
        <f>_xlfn.IFNA(_xlfn.XLOOKUP(A148,'00_SKU_Master'!$B$2:$B$378,'00_SKU_Master'!$F$2:$F$378,0)*F148/_xlfn.XLOOKUP(A148,'00_SKU_Master'!$B$2:$B$378,'00_SKU_Master'!$O:$O,0),"")</f>
        <v>#VALUE!</v>
      </c>
      <c r="O148" s="112" t="e">
        <f ca="1">_xludf.IFNA(_xlfn.XLOOKUP($A150,'00_SKU_Master'!$B$2:$B$378,'00_SKU_Master'!$F$2:$F$378,0)*G150/_xlfn.XLOOKUP($A150,'00_SKU_Master'!$B$2:$B$378,'00_SKU_Master'!$O:$O,0),"")</f>
        <v>#NAME?</v>
      </c>
      <c r="P148" s="112" t="e">
        <f ca="1">_xludf.IFNA(_xlfn.XLOOKUP($A150,'00_SKU_Master'!$B$2:$B$378,'00_SKU_Master'!$F$2:$F$378,0)*H150/_xlfn.XLOOKUP($A150,'00_SKU_Master'!$B$2:$B$378,'00_SKU_Master'!$O:$O,0),"")</f>
        <v>#NAME?</v>
      </c>
      <c r="Q148" s="112" t="e">
        <f ca="1">_xludf.IFNA(_xlfn.XLOOKUP($A150,'00_SKU_Master'!$B$2:$B$378,'00_SKU_Master'!$F$2:$F$378,0)*I150/_xlfn.XLOOKUP($A150,'00_SKU_Master'!$B$2:$B$378,'00_SKU_Master'!$O:$O,0),"")</f>
        <v>#NAME?</v>
      </c>
      <c r="R148" s="112" t="e">
        <f ca="1">_xludf.IFNA(_xlfn.XLOOKUP($A150,'00_SKU_Master'!$B$2:$B$378,'00_SKU_Master'!$F$2:$F$378,0)*J150/_xlfn.XLOOKUP($A150,'00_SKU_Master'!$B$2:$B$378,'00_SKU_Master'!$O:$O,0),"")</f>
        <v>#NAME?</v>
      </c>
      <c r="S148" s="112" t="e">
        <f ca="1">_xludf.IFNA(_xlfn.XLOOKUP($A150,'00_SKU_Master'!$B$2:$B$378,'00_SKU_Master'!$F$2:$F$378,0)*K150/_xlfn.XLOOKUP($A150,'00_SKU_Master'!$B$2:$B$378,'00_SKU_Master'!$O:$O,0),"")</f>
        <v>#NAME?</v>
      </c>
      <c r="T148" s="113" t="e">
        <f t="shared" si="4"/>
        <v>#VALUE!</v>
      </c>
      <c r="U148" s="114" t="str">
        <f>'05_Daily_Orders'!L148</f>
        <v>RWA</v>
      </c>
    </row>
    <row r="149" spans="1:21">
      <c r="A149" s="108">
        <f>'05_Daily_Orders'!B149</f>
        <v>7260</v>
      </c>
      <c r="B149" s="50">
        <v>0</v>
      </c>
      <c r="C149" s="50">
        <v>0</v>
      </c>
      <c r="D149" s="109"/>
      <c r="E149" s="109"/>
      <c r="F149">
        <v>0</v>
      </c>
      <c r="L149" s="110">
        <f t="shared" si="5"/>
        <v>0</v>
      </c>
      <c r="M149" s="111" t="str">
        <f>_xlfn.IFNA(_xlfn.XLOOKUP(A149,'00_SKU_Master'!$B$2:$B$378,'00_SKU_Master'!$C$2:$C$378,0),"")</f>
        <v>61050#2</v>
      </c>
      <c r="N149" s="112" t="e">
        <f>_xlfn.IFNA(_xlfn.XLOOKUP(A149,'00_SKU_Master'!$B$2:$B$378,'00_SKU_Master'!$F$2:$F$378,0)*F149/_xlfn.XLOOKUP(A149,'00_SKU_Master'!$B$2:$B$378,'00_SKU_Master'!$O:$O,0),"")</f>
        <v>#VALUE!</v>
      </c>
      <c r="O149" s="112" t="e">
        <f ca="1">_xludf.IFNA(_xlfn.XLOOKUP($A151,'00_SKU_Master'!$B$2:$B$378,'00_SKU_Master'!$F$2:$F$378,0)*G151/_xlfn.XLOOKUP($A151,'00_SKU_Master'!$B$2:$B$378,'00_SKU_Master'!$O:$O,0),"")</f>
        <v>#NAME?</v>
      </c>
      <c r="P149" s="112" t="e">
        <f ca="1">_xludf.IFNA(_xlfn.XLOOKUP($A151,'00_SKU_Master'!$B$2:$B$378,'00_SKU_Master'!$F$2:$F$378,0)*H151/_xlfn.XLOOKUP($A151,'00_SKU_Master'!$B$2:$B$378,'00_SKU_Master'!$O:$O,0),"")</f>
        <v>#NAME?</v>
      </c>
      <c r="Q149" s="112" t="e">
        <f ca="1">_xludf.IFNA(_xlfn.XLOOKUP($A151,'00_SKU_Master'!$B$2:$B$378,'00_SKU_Master'!$F$2:$F$378,0)*I151/_xlfn.XLOOKUP($A151,'00_SKU_Master'!$B$2:$B$378,'00_SKU_Master'!$O:$O,0),"")</f>
        <v>#NAME?</v>
      </c>
      <c r="R149" s="112" t="e">
        <f ca="1">_xludf.IFNA(_xlfn.XLOOKUP($A151,'00_SKU_Master'!$B$2:$B$378,'00_SKU_Master'!$F$2:$F$378,0)*J151/_xlfn.XLOOKUP($A151,'00_SKU_Master'!$B$2:$B$378,'00_SKU_Master'!$O:$O,0),"")</f>
        <v>#NAME?</v>
      </c>
      <c r="S149" s="112" t="e">
        <f ca="1">_xludf.IFNA(_xlfn.XLOOKUP($A151,'00_SKU_Master'!$B$2:$B$378,'00_SKU_Master'!$F$2:$F$378,0)*K151/_xlfn.XLOOKUP($A151,'00_SKU_Master'!$B$2:$B$378,'00_SKU_Master'!$O:$O,0),"")</f>
        <v>#NAME?</v>
      </c>
      <c r="T149" s="113" t="e">
        <f t="shared" si="4"/>
        <v>#VALUE!</v>
      </c>
      <c r="U149" s="114" t="str">
        <f>'05_Daily_Orders'!L149</f>
        <v>LCL</v>
      </c>
    </row>
    <row r="150" spans="1:21">
      <c r="A150" s="108">
        <f>'05_Daily_Orders'!B150</f>
        <v>7268</v>
      </c>
      <c r="B150" s="50">
        <v>0</v>
      </c>
      <c r="C150" s="50">
        <v>0</v>
      </c>
      <c r="D150" s="109"/>
      <c r="E150" s="109"/>
      <c r="F150">
        <v>0</v>
      </c>
      <c r="L150" s="110">
        <f t="shared" si="5"/>
        <v>0</v>
      </c>
      <c r="M150" s="111">
        <f>_xlfn.IFNA(_xlfn.XLOOKUP(A150,'00_SKU_Master'!$B$2:$B$378,'00_SKU_Master'!$C$2:$C$378,0),"")</f>
        <v>203136</v>
      </c>
      <c r="N150" s="112" t="e">
        <f>_xlfn.IFNA(_xlfn.XLOOKUP(A150,'00_SKU_Master'!$B$2:$B$378,'00_SKU_Master'!$F$2:$F$378,0)*F150/_xlfn.XLOOKUP(A150,'00_SKU_Master'!$B$2:$B$378,'00_SKU_Master'!$O:$O,0),"")</f>
        <v>#VALUE!</v>
      </c>
      <c r="O150" s="112" t="e">
        <f ca="1">_xludf.IFNA(_xlfn.XLOOKUP($A152,'00_SKU_Master'!$B$2:$B$378,'00_SKU_Master'!$F$2:$F$378,0)*G152/_xlfn.XLOOKUP($A152,'00_SKU_Master'!$B$2:$B$378,'00_SKU_Master'!$O:$O,0),"")</f>
        <v>#NAME?</v>
      </c>
      <c r="P150" s="112" t="e">
        <f ca="1">_xludf.IFNA(_xlfn.XLOOKUP($A152,'00_SKU_Master'!$B$2:$B$378,'00_SKU_Master'!$F$2:$F$378,0)*H152/_xlfn.XLOOKUP($A152,'00_SKU_Master'!$B$2:$B$378,'00_SKU_Master'!$O:$O,0),"")</f>
        <v>#NAME?</v>
      </c>
      <c r="Q150" s="112" t="e">
        <f ca="1">_xludf.IFNA(_xlfn.XLOOKUP($A152,'00_SKU_Master'!$B$2:$B$378,'00_SKU_Master'!$F$2:$F$378,0)*I152/_xlfn.XLOOKUP($A152,'00_SKU_Master'!$B$2:$B$378,'00_SKU_Master'!$O:$O,0),"")</f>
        <v>#NAME?</v>
      </c>
      <c r="R150" s="112" t="e">
        <f ca="1">_xludf.IFNA(_xlfn.XLOOKUP($A152,'00_SKU_Master'!$B$2:$B$378,'00_SKU_Master'!$F$2:$F$378,0)*J152/_xlfn.XLOOKUP($A152,'00_SKU_Master'!$B$2:$B$378,'00_SKU_Master'!$O:$O,0),"")</f>
        <v>#NAME?</v>
      </c>
      <c r="S150" s="112" t="e">
        <f ca="1">_xludf.IFNA(_xlfn.XLOOKUP($A152,'00_SKU_Master'!$B$2:$B$378,'00_SKU_Master'!$F$2:$F$378,0)*K152/_xlfn.XLOOKUP($A152,'00_SKU_Master'!$B$2:$B$378,'00_SKU_Master'!$O:$O,0),"")</f>
        <v>#NAME?</v>
      </c>
      <c r="T150" s="113" t="e">
        <f t="shared" si="4"/>
        <v>#VALUE!</v>
      </c>
      <c r="U150" s="114" t="str">
        <f>'05_Daily_Orders'!L150</f>
        <v>LCL</v>
      </c>
    </row>
    <row r="151" spans="1:21">
      <c r="A151" s="108">
        <f>'05_Daily_Orders'!B151</f>
        <v>7269</v>
      </c>
      <c r="B151" s="50">
        <v>0</v>
      </c>
      <c r="C151" s="50">
        <v>0</v>
      </c>
      <c r="D151" s="109"/>
      <c r="E151" s="109"/>
      <c r="F151">
        <v>0</v>
      </c>
      <c r="L151" s="110">
        <f t="shared" si="5"/>
        <v>0</v>
      </c>
      <c r="M151" s="111">
        <f>_xlfn.IFNA(_xlfn.XLOOKUP(A151,'00_SKU_Master'!$B$2:$B$378,'00_SKU_Master'!$C$2:$C$378,0),"")</f>
        <v>61014</v>
      </c>
      <c r="N151" s="112" t="e">
        <f>_xlfn.IFNA(_xlfn.XLOOKUP(A151,'00_SKU_Master'!$B$2:$B$378,'00_SKU_Master'!$F$2:$F$378,0)*F151/_xlfn.XLOOKUP(A151,'00_SKU_Master'!$B$2:$B$378,'00_SKU_Master'!$O:$O,0),"")</f>
        <v>#VALUE!</v>
      </c>
      <c r="O151" s="112" t="e">
        <f ca="1">_xludf.IFNA(_xlfn.XLOOKUP($A153,'00_SKU_Master'!$B$2:$B$378,'00_SKU_Master'!$F$2:$F$378,0)*G153/_xlfn.XLOOKUP($A153,'00_SKU_Master'!$B$2:$B$378,'00_SKU_Master'!$O:$O,0),"")</f>
        <v>#NAME?</v>
      </c>
      <c r="P151" s="112" t="e">
        <f ca="1">_xludf.IFNA(_xlfn.XLOOKUP($A153,'00_SKU_Master'!$B$2:$B$378,'00_SKU_Master'!$F$2:$F$378,0)*H153/_xlfn.XLOOKUP($A153,'00_SKU_Master'!$B$2:$B$378,'00_SKU_Master'!$O:$O,0),"")</f>
        <v>#NAME?</v>
      </c>
      <c r="Q151" s="112" t="e">
        <f ca="1">_xludf.IFNA(_xlfn.XLOOKUP($A153,'00_SKU_Master'!$B$2:$B$378,'00_SKU_Master'!$F$2:$F$378,0)*I153/_xlfn.XLOOKUP($A153,'00_SKU_Master'!$B$2:$B$378,'00_SKU_Master'!$O:$O,0),"")</f>
        <v>#NAME?</v>
      </c>
      <c r="R151" s="112" t="e">
        <f ca="1">_xludf.IFNA(_xlfn.XLOOKUP($A153,'00_SKU_Master'!$B$2:$B$378,'00_SKU_Master'!$F$2:$F$378,0)*J153/_xlfn.XLOOKUP($A153,'00_SKU_Master'!$B$2:$B$378,'00_SKU_Master'!$O:$O,0),"")</f>
        <v>#NAME?</v>
      </c>
      <c r="S151" s="112" t="e">
        <f ca="1">_xludf.IFNA(_xlfn.XLOOKUP($A153,'00_SKU_Master'!$B$2:$B$378,'00_SKU_Master'!$F$2:$F$378,0)*K153/_xlfn.XLOOKUP($A153,'00_SKU_Master'!$B$2:$B$378,'00_SKU_Master'!$O:$O,0),"")</f>
        <v>#NAME?</v>
      </c>
      <c r="T151" s="113" t="e">
        <f t="shared" si="4"/>
        <v>#VALUE!</v>
      </c>
      <c r="U151" s="114" t="str">
        <f>'05_Daily_Orders'!L151</f>
        <v>LCL</v>
      </c>
    </row>
    <row r="152" spans="1:21">
      <c r="A152" s="108">
        <f>'05_Daily_Orders'!B152</f>
        <v>7275</v>
      </c>
      <c r="B152" s="50">
        <v>0</v>
      </c>
      <c r="C152" s="50">
        <v>0</v>
      </c>
      <c r="D152" s="109"/>
      <c r="E152" s="109"/>
      <c r="F152">
        <v>0</v>
      </c>
      <c r="L152" s="110">
        <f t="shared" si="5"/>
        <v>0</v>
      </c>
      <c r="M152" s="111">
        <f>_xlfn.IFNA(_xlfn.XLOOKUP(A152,'00_SKU_Master'!$B$2:$B$378,'00_SKU_Master'!$C$2:$C$378,0),"")</f>
        <v>61048</v>
      </c>
      <c r="N152" s="112" t="e">
        <f>_xlfn.IFNA(_xlfn.XLOOKUP(A152,'00_SKU_Master'!$B$2:$B$378,'00_SKU_Master'!$F$2:$F$378,0)*F152/_xlfn.XLOOKUP(A152,'00_SKU_Master'!$B$2:$B$378,'00_SKU_Master'!$O:$O,0),"")</f>
        <v>#VALUE!</v>
      </c>
      <c r="O152" s="112" t="e">
        <f ca="1">_xludf.IFNA(_xlfn.XLOOKUP($A154,'00_SKU_Master'!$B$2:$B$378,'00_SKU_Master'!$F$2:$F$378,0)*G154/_xlfn.XLOOKUP($A154,'00_SKU_Master'!$B$2:$B$378,'00_SKU_Master'!$O:$O,0),"")</f>
        <v>#NAME?</v>
      </c>
      <c r="P152" s="112" t="e">
        <f ca="1">_xludf.IFNA(_xlfn.XLOOKUP($A154,'00_SKU_Master'!$B$2:$B$378,'00_SKU_Master'!$F$2:$F$378,0)*H154/_xlfn.XLOOKUP($A154,'00_SKU_Master'!$B$2:$B$378,'00_SKU_Master'!$O:$O,0),"")</f>
        <v>#NAME?</v>
      </c>
      <c r="Q152" s="112" t="e">
        <f ca="1">_xludf.IFNA(_xlfn.XLOOKUP($A154,'00_SKU_Master'!$B$2:$B$378,'00_SKU_Master'!$F$2:$F$378,0)*I154/_xlfn.XLOOKUP($A154,'00_SKU_Master'!$B$2:$B$378,'00_SKU_Master'!$O:$O,0),"")</f>
        <v>#NAME?</v>
      </c>
      <c r="R152" s="112" t="e">
        <f ca="1">_xludf.IFNA(_xlfn.XLOOKUP($A154,'00_SKU_Master'!$B$2:$B$378,'00_SKU_Master'!$F$2:$F$378,0)*J154/_xlfn.XLOOKUP($A154,'00_SKU_Master'!$B$2:$B$378,'00_SKU_Master'!$O:$O,0),"")</f>
        <v>#NAME?</v>
      </c>
      <c r="S152" s="112" t="e">
        <f ca="1">_xludf.IFNA(_xlfn.XLOOKUP($A154,'00_SKU_Master'!$B$2:$B$378,'00_SKU_Master'!$F$2:$F$378,0)*K154/_xlfn.XLOOKUP($A154,'00_SKU_Master'!$B$2:$B$378,'00_SKU_Master'!$O:$O,0),"")</f>
        <v>#NAME?</v>
      </c>
      <c r="T152" s="113" t="e">
        <f t="shared" si="4"/>
        <v>#VALUE!</v>
      </c>
      <c r="U152" s="114" t="str">
        <f>'05_Daily_Orders'!L152</f>
        <v>LCL</v>
      </c>
    </row>
    <row r="153" spans="1:21">
      <c r="A153" s="108">
        <f>'05_Daily_Orders'!B153</f>
        <v>7278</v>
      </c>
      <c r="B153" s="50">
        <v>0</v>
      </c>
      <c r="C153" s="50">
        <v>0</v>
      </c>
      <c r="D153" s="109"/>
      <c r="E153" s="109"/>
      <c r="F153">
        <v>0</v>
      </c>
      <c r="L153" s="110">
        <f t="shared" si="5"/>
        <v>0</v>
      </c>
      <c r="M153" s="111" t="str">
        <f>_xlfn.IFNA(_xlfn.XLOOKUP(A153,'00_SKU_Master'!$B$2:$B$378,'00_SKU_Master'!$C$2:$C$378,0),"")</f>
        <v>61086#2</v>
      </c>
      <c r="N153" s="112" t="e">
        <f>_xlfn.IFNA(_xlfn.XLOOKUP(A153,'00_SKU_Master'!$B$2:$B$378,'00_SKU_Master'!$F$2:$F$378,0)*F153/_xlfn.XLOOKUP(A153,'00_SKU_Master'!$B$2:$B$378,'00_SKU_Master'!$O:$O,0),"")</f>
        <v>#VALUE!</v>
      </c>
      <c r="O153" s="112" t="e">
        <f ca="1">_xludf.IFNA(_xlfn.XLOOKUP($A155,'00_SKU_Master'!$B$2:$B$378,'00_SKU_Master'!$F$2:$F$378,0)*G155/_xlfn.XLOOKUP($A155,'00_SKU_Master'!$B$2:$B$378,'00_SKU_Master'!$O:$O,0),"")</f>
        <v>#NAME?</v>
      </c>
      <c r="P153" s="112" t="e">
        <f ca="1">_xludf.IFNA(_xlfn.XLOOKUP($A155,'00_SKU_Master'!$B$2:$B$378,'00_SKU_Master'!$F$2:$F$378,0)*H155/_xlfn.XLOOKUP($A155,'00_SKU_Master'!$B$2:$B$378,'00_SKU_Master'!$O:$O,0),"")</f>
        <v>#NAME?</v>
      </c>
      <c r="Q153" s="112" t="e">
        <f ca="1">_xludf.IFNA(_xlfn.XLOOKUP($A155,'00_SKU_Master'!$B$2:$B$378,'00_SKU_Master'!$F$2:$F$378,0)*I155/_xlfn.XLOOKUP($A155,'00_SKU_Master'!$B$2:$B$378,'00_SKU_Master'!$O:$O,0),"")</f>
        <v>#NAME?</v>
      </c>
      <c r="R153" s="112" t="e">
        <f ca="1">_xludf.IFNA(_xlfn.XLOOKUP($A155,'00_SKU_Master'!$B$2:$B$378,'00_SKU_Master'!$F$2:$F$378,0)*J155/_xlfn.XLOOKUP($A155,'00_SKU_Master'!$B$2:$B$378,'00_SKU_Master'!$O:$O,0),"")</f>
        <v>#NAME?</v>
      </c>
      <c r="S153" s="112" t="e">
        <f ca="1">_xludf.IFNA(_xlfn.XLOOKUP($A155,'00_SKU_Master'!$B$2:$B$378,'00_SKU_Master'!$F$2:$F$378,0)*K155/_xlfn.XLOOKUP($A155,'00_SKU_Master'!$B$2:$B$378,'00_SKU_Master'!$O:$O,0),"")</f>
        <v>#NAME?</v>
      </c>
      <c r="T153" s="113" t="e">
        <f t="shared" si="4"/>
        <v>#VALUE!</v>
      </c>
      <c r="U153" s="114" t="str">
        <f>'05_Daily_Orders'!L153</f>
        <v>LCL</v>
      </c>
    </row>
    <row r="154" spans="1:21">
      <c r="A154" s="108">
        <f>'05_Daily_Orders'!B154</f>
        <v>7287</v>
      </c>
      <c r="B154" s="50">
        <v>0</v>
      </c>
      <c r="C154" s="50">
        <v>0</v>
      </c>
      <c r="D154" s="109"/>
      <c r="E154" s="109"/>
      <c r="F154">
        <v>0</v>
      </c>
      <c r="L154" s="110">
        <f t="shared" si="5"/>
        <v>0</v>
      </c>
      <c r="M154" s="111" t="str">
        <f>_xlfn.IFNA(_xlfn.XLOOKUP(A154,'00_SKU_Master'!$B$2:$B$378,'00_SKU_Master'!$C$2:$C$378,0),"")</f>
        <v>61014#2</v>
      </c>
      <c r="N154" s="112" t="e">
        <f>_xlfn.IFNA(_xlfn.XLOOKUP(A154,'00_SKU_Master'!$B$2:$B$378,'00_SKU_Master'!$F$2:$F$378,0)*F154/_xlfn.XLOOKUP(A154,'00_SKU_Master'!$B$2:$B$378,'00_SKU_Master'!$O:$O,0),"")</f>
        <v>#VALUE!</v>
      </c>
      <c r="O154" s="112" t="e">
        <f ca="1">_xludf.IFNA(_xlfn.XLOOKUP($A156,'00_SKU_Master'!$B$2:$B$378,'00_SKU_Master'!$F$2:$F$378,0)*G156/_xlfn.XLOOKUP($A156,'00_SKU_Master'!$B$2:$B$378,'00_SKU_Master'!$O:$O,0),"")</f>
        <v>#NAME?</v>
      </c>
      <c r="P154" s="112" t="e">
        <f ca="1">_xludf.IFNA(_xlfn.XLOOKUP($A156,'00_SKU_Master'!$B$2:$B$378,'00_SKU_Master'!$F$2:$F$378,0)*H156/_xlfn.XLOOKUP($A156,'00_SKU_Master'!$B$2:$B$378,'00_SKU_Master'!$O:$O,0),"")</f>
        <v>#NAME?</v>
      </c>
      <c r="Q154" s="112" t="e">
        <f ca="1">_xludf.IFNA(_xlfn.XLOOKUP($A156,'00_SKU_Master'!$B$2:$B$378,'00_SKU_Master'!$F$2:$F$378,0)*I156/_xlfn.XLOOKUP($A156,'00_SKU_Master'!$B$2:$B$378,'00_SKU_Master'!$O:$O,0),"")</f>
        <v>#NAME?</v>
      </c>
      <c r="R154" s="112" t="e">
        <f ca="1">_xludf.IFNA(_xlfn.XLOOKUP($A156,'00_SKU_Master'!$B$2:$B$378,'00_SKU_Master'!$F$2:$F$378,0)*J156/_xlfn.XLOOKUP($A156,'00_SKU_Master'!$B$2:$B$378,'00_SKU_Master'!$O:$O,0),"")</f>
        <v>#NAME?</v>
      </c>
      <c r="S154" s="112" t="e">
        <f ca="1">_xludf.IFNA(_xlfn.XLOOKUP($A156,'00_SKU_Master'!$B$2:$B$378,'00_SKU_Master'!$F$2:$F$378,0)*K156/_xlfn.XLOOKUP($A156,'00_SKU_Master'!$B$2:$B$378,'00_SKU_Master'!$O:$O,0),"")</f>
        <v>#NAME?</v>
      </c>
      <c r="T154" s="113" t="e">
        <f t="shared" si="4"/>
        <v>#VALUE!</v>
      </c>
      <c r="U154" s="114" t="str">
        <f>'05_Daily_Orders'!L154</f>
        <v>LCL</v>
      </c>
    </row>
    <row r="155" spans="1:21">
      <c r="A155" s="108">
        <f>'05_Daily_Orders'!B155</f>
        <v>7289</v>
      </c>
      <c r="B155" s="50">
        <v>0</v>
      </c>
      <c r="C155" s="50">
        <v>0</v>
      </c>
      <c r="D155" s="109"/>
      <c r="E155" s="109"/>
      <c r="F155">
        <v>0</v>
      </c>
      <c r="L155" s="110">
        <f t="shared" si="5"/>
        <v>0</v>
      </c>
      <c r="M155" s="111">
        <f>_xlfn.IFNA(_xlfn.XLOOKUP(A155,'00_SKU_Master'!$B$2:$B$378,'00_SKU_Master'!$C$2:$C$378,0),"")</f>
        <v>61014</v>
      </c>
      <c r="N155" s="112" t="e">
        <f>_xlfn.IFNA(_xlfn.XLOOKUP(A155,'00_SKU_Master'!$B$2:$B$378,'00_SKU_Master'!$F$2:$F$378,0)*F155/_xlfn.XLOOKUP(A155,'00_SKU_Master'!$B$2:$B$378,'00_SKU_Master'!$O:$O,0),"")</f>
        <v>#VALUE!</v>
      </c>
      <c r="O155" s="112" t="e">
        <f ca="1">_xludf.IFNA(_xlfn.XLOOKUP($A157,'00_SKU_Master'!$B$2:$B$378,'00_SKU_Master'!$F$2:$F$378,0)*G157/_xlfn.XLOOKUP($A157,'00_SKU_Master'!$B$2:$B$378,'00_SKU_Master'!$O:$O,0),"")</f>
        <v>#NAME?</v>
      </c>
      <c r="P155" s="112" t="e">
        <f ca="1">_xludf.IFNA(_xlfn.XLOOKUP($A157,'00_SKU_Master'!$B$2:$B$378,'00_SKU_Master'!$F$2:$F$378,0)*H157/_xlfn.XLOOKUP($A157,'00_SKU_Master'!$B$2:$B$378,'00_SKU_Master'!$O:$O,0),"")</f>
        <v>#NAME?</v>
      </c>
      <c r="Q155" s="112" t="e">
        <f ca="1">_xludf.IFNA(_xlfn.XLOOKUP($A157,'00_SKU_Master'!$B$2:$B$378,'00_SKU_Master'!$F$2:$F$378,0)*I157/_xlfn.XLOOKUP($A157,'00_SKU_Master'!$B$2:$B$378,'00_SKU_Master'!$O:$O,0),"")</f>
        <v>#NAME?</v>
      </c>
      <c r="R155" s="112" t="e">
        <f ca="1">_xludf.IFNA(_xlfn.XLOOKUP($A157,'00_SKU_Master'!$B$2:$B$378,'00_SKU_Master'!$F$2:$F$378,0)*J157/_xlfn.XLOOKUP($A157,'00_SKU_Master'!$B$2:$B$378,'00_SKU_Master'!$O:$O,0),"")</f>
        <v>#NAME?</v>
      </c>
      <c r="S155" s="112" t="e">
        <f ca="1">_xludf.IFNA(_xlfn.XLOOKUP($A157,'00_SKU_Master'!$B$2:$B$378,'00_SKU_Master'!$F$2:$F$378,0)*K157/_xlfn.XLOOKUP($A157,'00_SKU_Master'!$B$2:$B$378,'00_SKU_Master'!$O:$O,0),"")</f>
        <v>#NAME?</v>
      </c>
      <c r="T155" s="113" t="e">
        <f t="shared" si="4"/>
        <v>#VALUE!</v>
      </c>
      <c r="U155" s="114" t="str">
        <f>'05_Daily_Orders'!L155</f>
        <v>LCL</v>
      </c>
    </row>
    <row r="156" spans="1:21">
      <c r="A156" s="108">
        <f>'05_Daily_Orders'!B156</f>
        <v>7300</v>
      </c>
      <c r="B156" s="50">
        <v>0</v>
      </c>
      <c r="C156" s="50">
        <v>0</v>
      </c>
      <c r="D156" s="109"/>
      <c r="E156" s="109"/>
      <c r="F156">
        <v>0</v>
      </c>
      <c r="L156" s="110">
        <f t="shared" si="5"/>
        <v>0</v>
      </c>
      <c r="M156" s="111">
        <f>_xlfn.IFNA(_xlfn.XLOOKUP(A156,'00_SKU_Master'!$B$2:$B$378,'00_SKU_Master'!$C$2:$C$378,0),"")</f>
        <v>61054</v>
      </c>
      <c r="N156" s="112" t="e">
        <f>_xlfn.IFNA(_xlfn.XLOOKUP(A156,'00_SKU_Master'!$B$2:$B$378,'00_SKU_Master'!$F$2:$F$378,0)*F156/_xlfn.XLOOKUP(A156,'00_SKU_Master'!$B$2:$B$378,'00_SKU_Master'!$O:$O,0),"")</f>
        <v>#VALUE!</v>
      </c>
      <c r="O156" s="112" t="e">
        <f ca="1">_xludf.IFNA(_xlfn.XLOOKUP($A158,'00_SKU_Master'!$B$2:$B$378,'00_SKU_Master'!$F$2:$F$378,0)*G158/_xlfn.XLOOKUP($A158,'00_SKU_Master'!$B$2:$B$378,'00_SKU_Master'!$O:$O,0),"")</f>
        <v>#NAME?</v>
      </c>
      <c r="P156" s="112" t="e">
        <f ca="1">_xludf.IFNA(_xlfn.XLOOKUP($A158,'00_SKU_Master'!$B$2:$B$378,'00_SKU_Master'!$F$2:$F$378,0)*H158/_xlfn.XLOOKUP($A158,'00_SKU_Master'!$B$2:$B$378,'00_SKU_Master'!$O:$O,0),"")</f>
        <v>#NAME?</v>
      </c>
      <c r="Q156" s="112" t="e">
        <f ca="1">_xludf.IFNA(_xlfn.XLOOKUP($A158,'00_SKU_Master'!$B$2:$B$378,'00_SKU_Master'!$F$2:$F$378,0)*I158/_xlfn.XLOOKUP($A158,'00_SKU_Master'!$B$2:$B$378,'00_SKU_Master'!$O:$O,0),"")</f>
        <v>#NAME?</v>
      </c>
      <c r="R156" s="112" t="e">
        <f ca="1">_xludf.IFNA(_xlfn.XLOOKUP($A158,'00_SKU_Master'!$B$2:$B$378,'00_SKU_Master'!$F$2:$F$378,0)*J158/_xlfn.XLOOKUP($A158,'00_SKU_Master'!$B$2:$B$378,'00_SKU_Master'!$O:$O,0),"")</f>
        <v>#NAME?</v>
      </c>
      <c r="S156" s="112" t="e">
        <f ca="1">_xludf.IFNA(_xlfn.XLOOKUP($A158,'00_SKU_Master'!$B$2:$B$378,'00_SKU_Master'!$F$2:$F$378,0)*K158/_xlfn.XLOOKUP($A158,'00_SKU_Master'!$B$2:$B$378,'00_SKU_Master'!$O:$O,0),"")</f>
        <v>#NAME?</v>
      </c>
      <c r="T156" s="113" t="e">
        <f t="shared" si="4"/>
        <v>#VALUE!</v>
      </c>
      <c r="U156" s="114" t="str">
        <f>'05_Daily_Orders'!L156</f>
        <v>LCL</v>
      </c>
    </row>
    <row r="157" spans="1:21">
      <c r="A157" s="108">
        <f>'05_Daily_Orders'!B157</f>
        <v>7303</v>
      </c>
      <c r="B157" s="50">
        <v>0</v>
      </c>
      <c r="C157" s="50">
        <v>0</v>
      </c>
      <c r="D157" s="109"/>
      <c r="E157" s="109"/>
      <c r="F157">
        <v>0</v>
      </c>
      <c r="L157" s="110">
        <f t="shared" si="5"/>
        <v>0</v>
      </c>
      <c r="M157" s="111">
        <f>_xlfn.IFNA(_xlfn.XLOOKUP(A157,'00_SKU_Master'!$B$2:$B$378,'00_SKU_Master'!$C$2:$C$378,0),"")</f>
        <v>61054</v>
      </c>
      <c r="N157" s="112" t="e">
        <f>_xlfn.IFNA(_xlfn.XLOOKUP(A157,'00_SKU_Master'!$B$2:$B$378,'00_SKU_Master'!$F$2:$F$378,0)*F157/_xlfn.XLOOKUP(A157,'00_SKU_Master'!$B$2:$B$378,'00_SKU_Master'!$O:$O,0),"")</f>
        <v>#VALUE!</v>
      </c>
      <c r="O157" s="112" t="e">
        <f ca="1">_xludf.IFNA(_xlfn.XLOOKUP($A159,'00_SKU_Master'!$B$2:$B$378,'00_SKU_Master'!$F$2:$F$378,0)*G159/_xlfn.XLOOKUP($A159,'00_SKU_Master'!$B$2:$B$378,'00_SKU_Master'!$O:$O,0),"")</f>
        <v>#NAME?</v>
      </c>
      <c r="P157" s="112" t="e">
        <f ca="1">_xludf.IFNA(_xlfn.XLOOKUP($A159,'00_SKU_Master'!$B$2:$B$378,'00_SKU_Master'!$F$2:$F$378,0)*H159/_xlfn.XLOOKUP($A159,'00_SKU_Master'!$B$2:$B$378,'00_SKU_Master'!$O:$O,0),"")</f>
        <v>#NAME?</v>
      </c>
      <c r="Q157" s="112" t="e">
        <f ca="1">_xludf.IFNA(_xlfn.XLOOKUP($A159,'00_SKU_Master'!$B$2:$B$378,'00_SKU_Master'!$F$2:$F$378,0)*I159/_xlfn.XLOOKUP($A159,'00_SKU_Master'!$B$2:$B$378,'00_SKU_Master'!$O:$O,0),"")</f>
        <v>#NAME?</v>
      </c>
      <c r="R157" s="112" t="e">
        <f ca="1">_xludf.IFNA(_xlfn.XLOOKUP($A159,'00_SKU_Master'!$B$2:$B$378,'00_SKU_Master'!$F$2:$F$378,0)*J159/_xlfn.XLOOKUP($A159,'00_SKU_Master'!$B$2:$B$378,'00_SKU_Master'!$O:$O,0),"")</f>
        <v>#NAME?</v>
      </c>
      <c r="S157" s="112" t="e">
        <f ca="1">_xludf.IFNA(_xlfn.XLOOKUP($A159,'00_SKU_Master'!$B$2:$B$378,'00_SKU_Master'!$F$2:$F$378,0)*K159/_xlfn.XLOOKUP($A159,'00_SKU_Master'!$B$2:$B$378,'00_SKU_Master'!$O:$O,0),"")</f>
        <v>#NAME?</v>
      </c>
      <c r="T157" s="113" t="e">
        <f t="shared" si="4"/>
        <v>#VALUE!</v>
      </c>
      <c r="U157" s="114" t="str">
        <f>'05_Daily_Orders'!L157</f>
        <v>LCL</v>
      </c>
    </row>
    <row r="158" spans="1:21">
      <c r="A158" s="108">
        <f>'05_Daily_Orders'!B158</f>
        <v>7304</v>
      </c>
      <c r="B158" s="50">
        <v>0</v>
      </c>
      <c r="C158" s="50">
        <v>0</v>
      </c>
      <c r="D158" s="109"/>
      <c r="E158" s="109"/>
      <c r="F158">
        <v>0</v>
      </c>
      <c r="L158" s="110">
        <f t="shared" si="5"/>
        <v>0</v>
      </c>
      <c r="M158" s="111">
        <f>_xlfn.IFNA(_xlfn.XLOOKUP(A158,'00_SKU_Master'!$B$2:$B$378,'00_SKU_Master'!$C$2:$C$378,0),"")</f>
        <v>61054</v>
      </c>
      <c r="N158" s="112" t="e">
        <f>_xlfn.IFNA(_xlfn.XLOOKUP(A158,'00_SKU_Master'!$B$2:$B$378,'00_SKU_Master'!$F$2:$F$378,0)*F158/_xlfn.XLOOKUP(A158,'00_SKU_Master'!$B$2:$B$378,'00_SKU_Master'!$O:$O,0),"")</f>
        <v>#VALUE!</v>
      </c>
      <c r="O158" s="112" t="e">
        <f ca="1">_xludf.IFNA(_xlfn.XLOOKUP($A160,'00_SKU_Master'!$B$2:$B$378,'00_SKU_Master'!$F$2:$F$378,0)*G160/_xlfn.XLOOKUP($A160,'00_SKU_Master'!$B$2:$B$378,'00_SKU_Master'!$O:$O,0),"")</f>
        <v>#NAME?</v>
      </c>
      <c r="P158" s="112" t="e">
        <f ca="1">_xludf.IFNA(_xlfn.XLOOKUP($A160,'00_SKU_Master'!$B$2:$B$378,'00_SKU_Master'!$F$2:$F$378,0)*H160/_xlfn.XLOOKUP($A160,'00_SKU_Master'!$B$2:$B$378,'00_SKU_Master'!$O:$O,0),"")</f>
        <v>#NAME?</v>
      </c>
      <c r="Q158" s="112" t="e">
        <f ca="1">_xludf.IFNA(_xlfn.XLOOKUP($A160,'00_SKU_Master'!$B$2:$B$378,'00_SKU_Master'!$F$2:$F$378,0)*I160/_xlfn.XLOOKUP($A160,'00_SKU_Master'!$B$2:$B$378,'00_SKU_Master'!$O:$O,0),"")</f>
        <v>#NAME?</v>
      </c>
      <c r="R158" s="112" t="e">
        <f ca="1">_xludf.IFNA(_xlfn.XLOOKUP($A160,'00_SKU_Master'!$B$2:$B$378,'00_SKU_Master'!$F$2:$F$378,0)*J160/_xlfn.XLOOKUP($A160,'00_SKU_Master'!$B$2:$B$378,'00_SKU_Master'!$O:$O,0),"")</f>
        <v>#NAME?</v>
      </c>
      <c r="S158" s="112" t="e">
        <f ca="1">_xludf.IFNA(_xlfn.XLOOKUP($A160,'00_SKU_Master'!$B$2:$B$378,'00_SKU_Master'!$F$2:$F$378,0)*K160/_xlfn.XLOOKUP($A160,'00_SKU_Master'!$B$2:$B$378,'00_SKU_Master'!$O:$O,0),"")</f>
        <v>#NAME?</v>
      </c>
      <c r="T158" s="113" t="e">
        <f t="shared" si="4"/>
        <v>#VALUE!</v>
      </c>
      <c r="U158" s="114" t="str">
        <f>'05_Daily_Orders'!L158</f>
        <v>LCL</v>
      </c>
    </row>
    <row r="159" spans="1:21">
      <c r="A159" s="108">
        <f>'05_Daily_Orders'!B159</f>
        <v>7310</v>
      </c>
      <c r="B159" s="50">
        <v>0</v>
      </c>
      <c r="C159" s="50">
        <v>0</v>
      </c>
      <c r="D159" s="109"/>
      <c r="E159" s="109"/>
      <c r="F159">
        <v>0</v>
      </c>
      <c r="L159" s="110">
        <f t="shared" si="5"/>
        <v>0</v>
      </c>
      <c r="M159" s="111">
        <f>_xlfn.IFNA(_xlfn.XLOOKUP(A159,'00_SKU_Master'!$B$2:$B$378,'00_SKU_Master'!$C$2:$C$378,0),"")</f>
        <v>61104</v>
      </c>
      <c r="N159" s="112" t="e">
        <f>_xlfn.IFNA(_xlfn.XLOOKUP(A159,'00_SKU_Master'!$B$2:$B$378,'00_SKU_Master'!$F$2:$F$378,0)*F159/_xlfn.XLOOKUP(A159,'00_SKU_Master'!$B$2:$B$378,'00_SKU_Master'!$O:$O,0),"")</f>
        <v>#VALUE!</v>
      </c>
      <c r="O159" s="112" t="e">
        <f ca="1">_xludf.IFNA(_xlfn.XLOOKUP($A161,'00_SKU_Master'!$B$2:$B$378,'00_SKU_Master'!$F$2:$F$378,0)*G161/_xlfn.XLOOKUP($A161,'00_SKU_Master'!$B$2:$B$378,'00_SKU_Master'!$O:$O,0),"")</f>
        <v>#NAME?</v>
      </c>
      <c r="P159" s="112" t="e">
        <f ca="1">_xludf.IFNA(_xlfn.XLOOKUP($A161,'00_SKU_Master'!$B$2:$B$378,'00_SKU_Master'!$F$2:$F$378,0)*H161/_xlfn.XLOOKUP($A161,'00_SKU_Master'!$B$2:$B$378,'00_SKU_Master'!$O:$O,0),"")</f>
        <v>#NAME?</v>
      </c>
      <c r="Q159" s="112" t="e">
        <f ca="1">_xludf.IFNA(_xlfn.XLOOKUP($A161,'00_SKU_Master'!$B$2:$B$378,'00_SKU_Master'!$F$2:$F$378,0)*I161/_xlfn.XLOOKUP($A161,'00_SKU_Master'!$B$2:$B$378,'00_SKU_Master'!$O:$O,0),"")</f>
        <v>#NAME?</v>
      </c>
      <c r="R159" s="112" t="e">
        <f ca="1">_xludf.IFNA(_xlfn.XLOOKUP($A161,'00_SKU_Master'!$B$2:$B$378,'00_SKU_Master'!$F$2:$F$378,0)*J161/_xlfn.XLOOKUP($A161,'00_SKU_Master'!$B$2:$B$378,'00_SKU_Master'!$O:$O,0),"")</f>
        <v>#NAME?</v>
      </c>
      <c r="S159" s="112" t="e">
        <f ca="1">_xludf.IFNA(_xlfn.XLOOKUP($A161,'00_SKU_Master'!$B$2:$B$378,'00_SKU_Master'!$F$2:$F$378,0)*K161/_xlfn.XLOOKUP($A161,'00_SKU_Master'!$B$2:$B$378,'00_SKU_Master'!$O:$O,0),"")</f>
        <v>#NAME?</v>
      </c>
      <c r="T159" s="113" t="e">
        <f t="shared" si="4"/>
        <v>#VALUE!</v>
      </c>
      <c r="U159" s="114" t="str">
        <f>'05_Daily_Orders'!L159</f>
        <v>LCL</v>
      </c>
    </row>
    <row r="160" spans="1:21">
      <c r="A160" s="108">
        <f>'05_Daily_Orders'!B160</f>
        <v>7340</v>
      </c>
      <c r="B160" s="50">
        <v>0</v>
      </c>
      <c r="C160" s="50">
        <v>0</v>
      </c>
      <c r="D160" s="109"/>
      <c r="E160" s="109"/>
      <c r="F160">
        <v>0</v>
      </c>
      <c r="L160" s="110">
        <f t="shared" si="5"/>
        <v>0</v>
      </c>
      <c r="M160" s="111">
        <f>_xlfn.IFNA(_xlfn.XLOOKUP(A160,'00_SKU_Master'!$B$2:$B$378,'00_SKU_Master'!$C$2:$C$378,0),"")</f>
        <v>203891</v>
      </c>
      <c r="N160" s="112" t="e">
        <f>_xlfn.IFNA(_xlfn.XLOOKUP(A160,'00_SKU_Master'!$B$2:$B$378,'00_SKU_Master'!$F$2:$F$378,0)*F160/_xlfn.XLOOKUP(A160,'00_SKU_Master'!$B$2:$B$378,'00_SKU_Master'!$O:$O,0),"")</f>
        <v>#VALUE!</v>
      </c>
      <c r="O160" s="112" t="e">
        <f ca="1">_xludf.IFNA(_xlfn.XLOOKUP($A162,'00_SKU_Master'!$B$2:$B$378,'00_SKU_Master'!$F$2:$F$378,0)*G162/_xlfn.XLOOKUP($A162,'00_SKU_Master'!$B$2:$B$378,'00_SKU_Master'!$O:$O,0),"")</f>
        <v>#NAME?</v>
      </c>
      <c r="P160" s="112" t="e">
        <f ca="1">_xludf.IFNA(_xlfn.XLOOKUP($A162,'00_SKU_Master'!$B$2:$B$378,'00_SKU_Master'!$F$2:$F$378,0)*H162/_xlfn.XLOOKUP($A162,'00_SKU_Master'!$B$2:$B$378,'00_SKU_Master'!$O:$O,0),"")</f>
        <v>#NAME?</v>
      </c>
      <c r="Q160" s="112" t="e">
        <f ca="1">_xludf.IFNA(_xlfn.XLOOKUP($A162,'00_SKU_Master'!$B$2:$B$378,'00_SKU_Master'!$F$2:$F$378,0)*I162/_xlfn.XLOOKUP($A162,'00_SKU_Master'!$B$2:$B$378,'00_SKU_Master'!$O:$O,0),"")</f>
        <v>#NAME?</v>
      </c>
      <c r="R160" s="112" t="e">
        <f ca="1">_xludf.IFNA(_xlfn.XLOOKUP($A162,'00_SKU_Master'!$B$2:$B$378,'00_SKU_Master'!$F$2:$F$378,0)*J162/_xlfn.XLOOKUP($A162,'00_SKU_Master'!$B$2:$B$378,'00_SKU_Master'!$O:$O,0),"")</f>
        <v>#NAME?</v>
      </c>
      <c r="S160" s="112" t="e">
        <f ca="1">_xludf.IFNA(_xlfn.XLOOKUP($A162,'00_SKU_Master'!$B$2:$B$378,'00_SKU_Master'!$F$2:$F$378,0)*K162/_xlfn.XLOOKUP($A162,'00_SKU_Master'!$B$2:$B$378,'00_SKU_Master'!$O:$O,0),"")</f>
        <v>#NAME?</v>
      </c>
      <c r="T160" s="113" t="e">
        <f t="shared" si="4"/>
        <v>#VALUE!</v>
      </c>
      <c r="U160" s="114" t="str">
        <f>'05_Daily_Orders'!L160</f>
        <v>LCL</v>
      </c>
    </row>
    <row r="161" spans="1:21">
      <c r="A161" s="108">
        <f>'05_Daily_Orders'!B161</f>
        <v>7341</v>
      </c>
      <c r="B161" s="50">
        <v>0</v>
      </c>
      <c r="C161" s="50">
        <v>0</v>
      </c>
      <c r="D161" s="109"/>
      <c r="E161" s="109"/>
      <c r="F161">
        <v>0</v>
      </c>
      <c r="L161" s="110">
        <f t="shared" si="5"/>
        <v>0</v>
      </c>
      <c r="M161" s="111">
        <f>_xlfn.IFNA(_xlfn.XLOOKUP(A161,'00_SKU_Master'!$B$2:$B$378,'00_SKU_Master'!$C$2:$C$378,0),"")</f>
        <v>203891</v>
      </c>
      <c r="N161" s="112" t="e">
        <f>_xlfn.IFNA(_xlfn.XLOOKUP(A161,'00_SKU_Master'!$B$2:$B$378,'00_SKU_Master'!$F$2:$F$378,0)*F161/_xlfn.XLOOKUP(A161,'00_SKU_Master'!$B$2:$B$378,'00_SKU_Master'!$O:$O,0),"")</f>
        <v>#VALUE!</v>
      </c>
      <c r="O161" s="112" t="e">
        <f ca="1">_xludf.IFNA(_xlfn.XLOOKUP($A163,'00_SKU_Master'!$B$2:$B$378,'00_SKU_Master'!$F$2:$F$378,0)*G163/_xlfn.XLOOKUP($A163,'00_SKU_Master'!$B$2:$B$378,'00_SKU_Master'!$O:$O,0),"")</f>
        <v>#NAME?</v>
      </c>
      <c r="P161" s="112" t="e">
        <f ca="1">_xludf.IFNA(_xlfn.XLOOKUP($A163,'00_SKU_Master'!$B$2:$B$378,'00_SKU_Master'!$F$2:$F$378,0)*H163/_xlfn.XLOOKUP($A163,'00_SKU_Master'!$B$2:$B$378,'00_SKU_Master'!$O:$O,0),"")</f>
        <v>#NAME?</v>
      </c>
      <c r="Q161" s="112" t="e">
        <f ca="1">_xludf.IFNA(_xlfn.XLOOKUP($A163,'00_SKU_Master'!$B$2:$B$378,'00_SKU_Master'!$F$2:$F$378,0)*I163/_xlfn.XLOOKUP($A163,'00_SKU_Master'!$B$2:$B$378,'00_SKU_Master'!$O:$O,0),"")</f>
        <v>#NAME?</v>
      </c>
      <c r="R161" s="112" t="e">
        <f ca="1">_xludf.IFNA(_xlfn.XLOOKUP($A163,'00_SKU_Master'!$B$2:$B$378,'00_SKU_Master'!$F$2:$F$378,0)*J163/_xlfn.XLOOKUP($A163,'00_SKU_Master'!$B$2:$B$378,'00_SKU_Master'!$O:$O,0),"")</f>
        <v>#NAME?</v>
      </c>
      <c r="S161" s="112" t="e">
        <f ca="1">_xludf.IFNA(_xlfn.XLOOKUP($A163,'00_SKU_Master'!$B$2:$B$378,'00_SKU_Master'!$F$2:$F$378,0)*K163/_xlfn.XLOOKUP($A163,'00_SKU_Master'!$B$2:$B$378,'00_SKU_Master'!$O:$O,0),"")</f>
        <v>#NAME?</v>
      </c>
      <c r="T161" s="113" t="e">
        <f t="shared" si="4"/>
        <v>#VALUE!</v>
      </c>
      <c r="U161" s="114" t="str">
        <f>'05_Daily_Orders'!L161</f>
        <v>LCL</v>
      </c>
    </row>
    <row r="162" spans="1:21">
      <c r="A162" s="108">
        <f>'05_Daily_Orders'!B162</f>
        <v>7342</v>
      </c>
      <c r="B162" s="50">
        <v>0</v>
      </c>
      <c r="C162" s="50">
        <v>0</v>
      </c>
      <c r="D162" s="109"/>
      <c r="E162" s="109"/>
      <c r="F162">
        <v>0</v>
      </c>
      <c r="L162" s="110">
        <f t="shared" si="5"/>
        <v>0</v>
      </c>
      <c r="M162" s="111">
        <f>_xlfn.IFNA(_xlfn.XLOOKUP(A162,'00_SKU_Master'!$B$2:$B$378,'00_SKU_Master'!$C$2:$C$378,0),"")</f>
        <v>61061</v>
      </c>
      <c r="N162" s="112" t="e">
        <f>_xlfn.IFNA(_xlfn.XLOOKUP(A162,'00_SKU_Master'!$B$2:$B$378,'00_SKU_Master'!$F$2:$F$378,0)*F162/_xlfn.XLOOKUP(A162,'00_SKU_Master'!$B$2:$B$378,'00_SKU_Master'!$O:$O,0),"")</f>
        <v>#VALUE!</v>
      </c>
      <c r="O162" s="112" t="e">
        <f ca="1">_xludf.IFNA(_xlfn.XLOOKUP($A164,'00_SKU_Master'!$B$2:$B$378,'00_SKU_Master'!$F$2:$F$378,0)*G164/_xlfn.XLOOKUP($A164,'00_SKU_Master'!$B$2:$B$378,'00_SKU_Master'!$O:$O,0),"")</f>
        <v>#NAME?</v>
      </c>
      <c r="P162" s="112" t="e">
        <f ca="1">_xludf.IFNA(_xlfn.XLOOKUP($A164,'00_SKU_Master'!$B$2:$B$378,'00_SKU_Master'!$F$2:$F$378,0)*H164/_xlfn.XLOOKUP($A164,'00_SKU_Master'!$B$2:$B$378,'00_SKU_Master'!$O:$O,0),"")</f>
        <v>#NAME?</v>
      </c>
      <c r="Q162" s="112" t="e">
        <f ca="1">_xludf.IFNA(_xlfn.XLOOKUP($A164,'00_SKU_Master'!$B$2:$B$378,'00_SKU_Master'!$F$2:$F$378,0)*I164/_xlfn.XLOOKUP($A164,'00_SKU_Master'!$B$2:$B$378,'00_SKU_Master'!$O:$O,0),"")</f>
        <v>#NAME?</v>
      </c>
      <c r="R162" s="112" t="e">
        <f ca="1">_xludf.IFNA(_xlfn.XLOOKUP($A164,'00_SKU_Master'!$B$2:$B$378,'00_SKU_Master'!$F$2:$F$378,0)*J164/_xlfn.XLOOKUP($A164,'00_SKU_Master'!$B$2:$B$378,'00_SKU_Master'!$O:$O,0),"")</f>
        <v>#NAME?</v>
      </c>
      <c r="S162" s="112" t="e">
        <f ca="1">_xludf.IFNA(_xlfn.XLOOKUP($A164,'00_SKU_Master'!$B$2:$B$378,'00_SKU_Master'!$F$2:$F$378,0)*K164/_xlfn.XLOOKUP($A164,'00_SKU_Master'!$B$2:$B$378,'00_SKU_Master'!$O:$O,0),"")</f>
        <v>#NAME?</v>
      </c>
      <c r="T162" s="113" t="e">
        <f t="shared" si="4"/>
        <v>#VALUE!</v>
      </c>
      <c r="U162" s="114" t="str">
        <f>'05_Daily_Orders'!L162</f>
        <v>LCL</v>
      </c>
    </row>
    <row r="163" spans="1:21">
      <c r="A163" s="108">
        <f>'05_Daily_Orders'!B163</f>
        <v>7343</v>
      </c>
      <c r="B163" s="50">
        <v>0</v>
      </c>
      <c r="C163" s="50">
        <v>0</v>
      </c>
      <c r="D163" s="109"/>
      <c r="E163" s="109"/>
      <c r="F163">
        <v>0</v>
      </c>
      <c r="L163" s="110">
        <f t="shared" si="5"/>
        <v>0</v>
      </c>
      <c r="M163" s="111" t="str">
        <f>_xlfn.IFNA(_xlfn.XLOOKUP(A163,'00_SKU_Master'!$B$2:$B$378,'00_SKU_Master'!$C$2:$C$378,0),"")</f>
        <v>61050#2</v>
      </c>
      <c r="N163" s="112" t="e">
        <f>_xlfn.IFNA(_xlfn.XLOOKUP(A163,'00_SKU_Master'!$B$2:$B$378,'00_SKU_Master'!$F$2:$F$378,0)*F163/_xlfn.XLOOKUP(A163,'00_SKU_Master'!$B$2:$B$378,'00_SKU_Master'!$O:$O,0),"")</f>
        <v>#VALUE!</v>
      </c>
      <c r="O163" s="112" t="e">
        <f ca="1">_xludf.IFNA(_xlfn.XLOOKUP($A165,'00_SKU_Master'!$B$2:$B$378,'00_SKU_Master'!$F$2:$F$378,0)*G165/_xlfn.XLOOKUP($A165,'00_SKU_Master'!$B$2:$B$378,'00_SKU_Master'!$O:$O,0),"")</f>
        <v>#NAME?</v>
      </c>
      <c r="P163" s="112" t="e">
        <f ca="1">_xludf.IFNA(_xlfn.XLOOKUP($A165,'00_SKU_Master'!$B$2:$B$378,'00_SKU_Master'!$F$2:$F$378,0)*H165/_xlfn.XLOOKUP($A165,'00_SKU_Master'!$B$2:$B$378,'00_SKU_Master'!$O:$O,0),"")</f>
        <v>#NAME?</v>
      </c>
      <c r="Q163" s="112" t="e">
        <f ca="1">_xludf.IFNA(_xlfn.XLOOKUP($A165,'00_SKU_Master'!$B$2:$B$378,'00_SKU_Master'!$F$2:$F$378,0)*I165/_xlfn.XLOOKUP($A165,'00_SKU_Master'!$B$2:$B$378,'00_SKU_Master'!$O:$O,0),"")</f>
        <v>#NAME?</v>
      </c>
      <c r="R163" s="112" t="e">
        <f ca="1">_xludf.IFNA(_xlfn.XLOOKUP($A165,'00_SKU_Master'!$B$2:$B$378,'00_SKU_Master'!$F$2:$F$378,0)*J165/_xlfn.XLOOKUP($A165,'00_SKU_Master'!$B$2:$B$378,'00_SKU_Master'!$O:$O,0),"")</f>
        <v>#NAME?</v>
      </c>
      <c r="S163" s="112" t="e">
        <f ca="1">_xludf.IFNA(_xlfn.XLOOKUP($A165,'00_SKU_Master'!$B$2:$B$378,'00_SKU_Master'!$F$2:$F$378,0)*K165/_xlfn.XLOOKUP($A165,'00_SKU_Master'!$B$2:$B$378,'00_SKU_Master'!$O:$O,0),"")</f>
        <v>#NAME?</v>
      </c>
      <c r="T163" s="113" t="e">
        <f t="shared" si="4"/>
        <v>#VALUE!</v>
      </c>
      <c r="U163" s="114" t="str">
        <f>'05_Daily_Orders'!L163</f>
        <v>LCL</v>
      </c>
    </row>
    <row r="164" spans="1:21">
      <c r="A164" s="108">
        <f>'05_Daily_Orders'!B164</f>
        <v>7378</v>
      </c>
      <c r="B164" s="50">
        <v>0</v>
      </c>
      <c r="C164" s="50">
        <v>0</v>
      </c>
      <c r="D164" s="109"/>
      <c r="E164" s="109"/>
      <c r="F164">
        <v>0</v>
      </c>
      <c r="L164" s="110">
        <f t="shared" si="5"/>
        <v>0</v>
      </c>
      <c r="M164" s="111">
        <f>_xlfn.IFNA(_xlfn.XLOOKUP(A164,'00_SKU_Master'!$B$2:$B$378,'00_SKU_Master'!$C$2:$C$378,0),"")</f>
        <v>61061</v>
      </c>
      <c r="N164" s="112" t="e">
        <f>_xlfn.IFNA(_xlfn.XLOOKUP(A164,'00_SKU_Master'!$B$2:$B$378,'00_SKU_Master'!$F$2:$F$378,0)*F164/_xlfn.XLOOKUP(A164,'00_SKU_Master'!$B$2:$B$378,'00_SKU_Master'!$O:$O,0),"")</f>
        <v>#VALUE!</v>
      </c>
      <c r="O164" s="112" t="e">
        <f ca="1">_xludf.IFNA(_xlfn.XLOOKUP($A166,'00_SKU_Master'!$B$2:$B$378,'00_SKU_Master'!$F$2:$F$378,0)*G166/_xlfn.XLOOKUP($A166,'00_SKU_Master'!$B$2:$B$378,'00_SKU_Master'!$O:$O,0),"")</f>
        <v>#NAME?</v>
      </c>
      <c r="P164" s="112" t="e">
        <f ca="1">_xludf.IFNA(_xlfn.XLOOKUP($A166,'00_SKU_Master'!$B$2:$B$378,'00_SKU_Master'!$F$2:$F$378,0)*H166/_xlfn.XLOOKUP($A166,'00_SKU_Master'!$B$2:$B$378,'00_SKU_Master'!$O:$O,0),"")</f>
        <v>#NAME?</v>
      </c>
      <c r="Q164" s="112" t="e">
        <f ca="1">_xludf.IFNA(_xlfn.XLOOKUP($A166,'00_SKU_Master'!$B$2:$B$378,'00_SKU_Master'!$F$2:$F$378,0)*I166/_xlfn.XLOOKUP($A166,'00_SKU_Master'!$B$2:$B$378,'00_SKU_Master'!$O:$O,0),"")</f>
        <v>#NAME?</v>
      </c>
      <c r="R164" s="112" t="e">
        <f ca="1">_xludf.IFNA(_xlfn.XLOOKUP($A166,'00_SKU_Master'!$B$2:$B$378,'00_SKU_Master'!$F$2:$F$378,0)*J166/_xlfn.XLOOKUP($A166,'00_SKU_Master'!$B$2:$B$378,'00_SKU_Master'!$O:$O,0),"")</f>
        <v>#NAME?</v>
      </c>
      <c r="S164" s="112" t="e">
        <f ca="1">_xludf.IFNA(_xlfn.XLOOKUP($A166,'00_SKU_Master'!$B$2:$B$378,'00_SKU_Master'!$F$2:$F$378,0)*K166/_xlfn.XLOOKUP($A166,'00_SKU_Master'!$B$2:$B$378,'00_SKU_Master'!$O:$O,0),"")</f>
        <v>#NAME?</v>
      </c>
      <c r="T164" s="113" t="e">
        <f t="shared" si="4"/>
        <v>#VALUE!</v>
      </c>
      <c r="U164" s="114" t="str">
        <f>'05_Daily_Orders'!L164</f>
        <v>LCL</v>
      </c>
    </row>
    <row r="165" spans="1:21">
      <c r="A165" s="108">
        <f>'05_Daily_Orders'!B165</f>
        <v>7396</v>
      </c>
      <c r="B165" s="50">
        <v>0</v>
      </c>
      <c r="C165" s="50">
        <v>0</v>
      </c>
      <c r="D165" s="109"/>
      <c r="E165" s="109"/>
      <c r="F165">
        <v>0</v>
      </c>
      <c r="L165" s="110">
        <f t="shared" si="5"/>
        <v>0</v>
      </c>
      <c r="M165" s="111" t="str">
        <f>_xlfn.IFNA(_xlfn.XLOOKUP(A165,'00_SKU_Master'!$B$2:$B$378,'00_SKU_Master'!$C$2:$C$378,0),"")</f>
        <v>61072#2</v>
      </c>
      <c r="N165" s="112" t="e">
        <f>_xlfn.IFNA(_xlfn.XLOOKUP(A165,'00_SKU_Master'!$B$2:$B$378,'00_SKU_Master'!$F$2:$F$378,0)*F165/_xlfn.XLOOKUP(A165,'00_SKU_Master'!$B$2:$B$378,'00_SKU_Master'!$O:$O,0),"")</f>
        <v>#VALUE!</v>
      </c>
      <c r="O165" s="112" t="e">
        <f ca="1">_xludf.IFNA(_xlfn.XLOOKUP($A167,'00_SKU_Master'!$B$2:$B$378,'00_SKU_Master'!$F$2:$F$378,0)*G167/_xlfn.XLOOKUP($A167,'00_SKU_Master'!$B$2:$B$378,'00_SKU_Master'!$O:$O,0),"")</f>
        <v>#NAME?</v>
      </c>
      <c r="P165" s="112" t="e">
        <f ca="1">_xludf.IFNA(_xlfn.XLOOKUP($A167,'00_SKU_Master'!$B$2:$B$378,'00_SKU_Master'!$F$2:$F$378,0)*H167/_xlfn.XLOOKUP($A167,'00_SKU_Master'!$B$2:$B$378,'00_SKU_Master'!$O:$O,0),"")</f>
        <v>#NAME?</v>
      </c>
      <c r="Q165" s="112" t="e">
        <f ca="1">_xludf.IFNA(_xlfn.XLOOKUP($A167,'00_SKU_Master'!$B$2:$B$378,'00_SKU_Master'!$F$2:$F$378,0)*I167/_xlfn.XLOOKUP($A167,'00_SKU_Master'!$B$2:$B$378,'00_SKU_Master'!$O:$O,0),"")</f>
        <v>#NAME?</v>
      </c>
      <c r="R165" s="112" t="e">
        <f ca="1">_xludf.IFNA(_xlfn.XLOOKUP($A167,'00_SKU_Master'!$B$2:$B$378,'00_SKU_Master'!$F$2:$F$378,0)*J167/_xlfn.XLOOKUP($A167,'00_SKU_Master'!$B$2:$B$378,'00_SKU_Master'!$O:$O,0),"")</f>
        <v>#NAME?</v>
      </c>
      <c r="S165" s="112" t="e">
        <f ca="1">_xludf.IFNA(_xlfn.XLOOKUP($A167,'00_SKU_Master'!$B$2:$B$378,'00_SKU_Master'!$F$2:$F$378,0)*K167/_xlfn.XLOOKUP($A167,'00_SKU_Master'!$B$2:$B$378,'00_SKU_Master'!$O:$O,0),"")</f>
        <v>#NAME?</v>
      </c>
      <c r="T165" s="113" t="e">
        <f t="shared" si="4"/>
        <v>#VALUE!</v>
      </c>
      <c r="U165" s="114" t="str">
        <f>'05_Daily_Orders'!L165</f>
        <v>FB</v>
      </c>
    </row>
    <row r="166" spans="1:21">
      <c r="A166" s="108">
        <f>'05_Daily_Orders'!B166</f>
        <v>7397</v>
      </c>
      <c r="B166" s="50">
        <v>0</v>
      </c>
      <c r="C166" s="50">
        <v>0</v>
      </c>
      <c r="D166" s="109"/>
      <c r="E166" s="109"/>
      <c r="F166">
        <v>0</v>
      </c>
      <c r="L166" s="110">
        <f t="shared" si="5"/>
        <v>0</v>
      </c>
      <c r="M166" s="111">
        <f>_xlfn.IFNA(_xlfn.XLOOKUP(A166,'00_SKU_Master'!$B$2:$B$378,'00_SKU_Master'!$C$2:$C$378,0),"")</f>
        <v>61082</v>
      </c>
      <c r="N166" s="112" t="e">
        <f>_xlfn.IFNA(_xlfn.XLOOKUP(A166,'00_SKU_Master'!$B$2:$B$378,'00_SKU_Master'!$F$2:$F$378,0)*F166/_xlfn.XLOOKUP(A166,'00_SKU_Master'!$B$2:$B$378,'00_SKU_Master'!$O:$O,0),"")</f>
        <v>#VALUE!</v>
      </c>
      <c r="O166" s="112" t="e">
        <f ca="1">_xludf.IFNA(_xlfn.XLOOKUP($A168,'00_SKU_Master'!$B$2:$B$378,'00_SKU_Master'!$F$2:$F$378,0)*G168/_xlfn.XLOOKUP($A168,'00_SKU_Master'!$B$2:$B$378,'00_SKU_Master'!$O:$O,0),"")</f>
        <v>#NAME?</v>
      </c>
      <c r="P166" s="112" t="e">
        <f ca="1">_xludf.IFNA(_xlfn.XLOOKUP($A168,'00_SKU_Master'!$B$2:$B$378,'00_SKU_Master'!$F$2:$F$378,0)*H168/_xlfn.XLOOKUP($A168,'00_SKU_Master'!$B$2:$B$378,'00_SKU_Master'!$O:$O,0),"")</f>
        <v>#NAME?</v>
      </c>
      <c r="Q166" s="112" t="e">
        <f ca="1">_xludf.IFNA(_xlfn.XLOOKUP($A168,'00_SKU_Master'!$B$2:$B$378,'00_SKU_Master'!$F$2:$F$378,0)*I168/_xlfn.XLOOKUP($A168,'00_SKU_Master'!$B$2:$B$378,'00_SKU_Master'!$O:$O,0),"")</f>
        <v>#NAME?</v>
      </c>
      <c r="R166" s="112" t="e">
        <f ca="1">_xludf.IFNA(_xlfn.XLOOKUP($A168,'00_SKU_Master'!$B$2:$B$378,'00_SKU_Master'!$F$2:$F$378,0)*J168/_xlfn.XLOOKUP($A168,'00_SKU_Master'!$B$2:$B$378,'00_SKU_Master'!$O:$O,0),"")</f>
        <v>#NAME?</v>
      </c>
      <c r="S166" s="112" t="e">
        <f ca="1">_xludf.IFNA(_xlfn.XLOOKUP($A168,'00_SKU_Master'!$B$2:$B$378,'00_SKU_Master'!$F$2:$F$378,0)*K168/_xlfn.XLOOKUP($A168,'00_SKU_Master'!$B$2:$B$378,'00_SKU_Master'!$O:$O,0),"")</f>
        <v>#NAME?</v>
      </c>
      <c r="T166" s="113" t="e">
        <f t="shared" si="4"/>
        <v>#VALUE!</v>
      </c>
      <c r="U166" s="114" t="str">
        <f>'05_Daily_Orders'!L166</f>
        <v>FB</v>
      </c>
    </row>
    <row r="167" spans="1:21">
      <c r="A167" s="108">
        <f>'05_Daily_Orders'!B167</f>
        <v>7398</v>
      </c>
      <c r="B167" s="50">
        <v>0</v>
      </c>
      <c r="C167" s="50">
        <v>0</v>
      </c>
      <c r="D167" s="109"/>
      <c r="E167" s="109"/>
      <c r="F167">
        <v>0</v>
      </c>
      <c r="L167" s="110">
        <f t="shared" si="5"/>
        <v>0</v>
      </c>
      <c r="M167" s="111" t="str">
        <f>_xlfn.IFNA(_xlfn.XLOOKUP(A167,'00_SKU_Master'!$B$2:$B$378,'00_SKU_Master'!$C$2:$C$378,0),"")</f>
        <v>61050#2</v>
      </c>
      <c r="N167" s="112" t="e">
        <f>_xlfn.IFNA(_xlfn.XLOOKUP(A167,'00_SKU_Master'!$B$2:$B$378,'00_SKU_Master'!$F$2:$F$378,0)*F167/_xlfn.XLOOKUP(A167,'00_SKU_Master'!$B$2:$B$378,'00_SKU_Master'!$O:$O,0),"")</f>
        <v>#VALUE!</v>
      </c>
      <c r="O167" s="112" t="e">
        <f ca="1">_xludf.IFNA(_xlfn.XLOOKUP($A169,'00_SKU_Master'!$B$2:$B$378,'00_SKU_Master'!$F$2:$F$378,0)*G169/_xlfn.XLOOKUP($A169,'00_SKU_Master'!$B$2:$B$378,'00_SKU_Master'!$O:$O,0),"")</f>
        <v>#NAME?</v>
      </c>
      <c r="P167" s="112" t="e">
        <f ca="1">_xludf.IFNA(_xlfn.XLOOKUP($A169,'00_SKU_Master'!$B$2:$B$378,'00_SKU_Master'!$F$2:$F$378,0)*H169/_xlfn.XLOOKUP($A169,'00_SKU_Master'!$B$2:$B$378,'00_SKU_Master'!$O:$O,0),"")</f>
        <v>#NAME?</v>
      </c>
      <c r="Q167" s="112" t="e">
        <f ca="1">_xludf.IFNA(_xlfn.XLOOKUP($A169,'00_SKU_Master'!$B$2:$B$378,'00_SKU_Master'!$F$2:$F$378,0)*I169/_xlfn.XLOOKUP($A169,'00_SKU_Master'!$B$2:$B$378,'00_SKU_Master'!$O:$O,0),"")</f>
        <v>#NAME?</v>
      </c>
      <c r="R167" s="112" t="e">
        <f ca="1">_xludf.IFNA(_xlfn.XLOOKUP($A169,'00_SKU_Master'!$B$2:$B$378,'00_SKU_Master'!$F$2:$F$378,0)*J169/_xlfn.XLOOKUP($A169,'00_SKU_Master'!$B$2:$B$378,'00_SKU_Master'!$O:$O,0),"")</f>
        <v>#NAME?</v>
      </c>
      <c r="S167" s="112" t="e">
        <f ca="1">_xludf.IFNA(_xlfn.XLOOKUP($A169,'00_SKU_Master'!$B$2:$B$378,'00_SKU_Master'!$F$2:$F$378,0)*K169/_xlfn.XLOOKUP($A169,'00_SKU_Master'!$B$2:$B$378,'00_SKU_Master'!$O:$O,0),"")</f>
        <v>#NAME?</v>
      </c>
      <c r="T167" s="113" t="e">
        <f t="shared" si="4"/>
        <v>#VALUE!</v>
      </c>
      <c r="U167" s="114" t="str">
        <f>'05_Daily_Orders'!L167</f>
        <v>FB</v>
      </c>
    </row>
    <row r="168" spans="1:21">
      <c r="A168" s="108">
        <f>'05_Daily_Orders'!B168</f>
        <v>7416</v>
      </c>
      <c r="B168" s="50">
        <v>0</v>
      </c>
      <c r="C168" s="50">
        <v>0</v>
      </c>
      <c r="D168" s="109"/>
      <c r="E168" s="109"/>
      <c r="F168">
        <v>0</v>
      </c>
      <c r="L168" s="110">
        <f t="shared" si="5"/>
        <v>0</v>
      </c>
      <c r="M168" s="111">
        <f>_xlfn.IFNA(_xlfn.XLOOKUP(A168,'00_SKU_Master'!$B$2:$B$378,'00_SKU_Master'!$C$2:$C$378,0),"")</f>
        <v>203891</v>
      </c>
      <c r="N168" s="112" t="e">
        <f>_xlfn.IFNA(_xlfn.XLOOKUP(A168,'00_SKU_Master'!$B$2:$B$378,'00_SKU_Master'!$F$2:$F$378,0)*F168/_xlfn.XLOOKUP(A168,'00_SKU_Master'!$B$2:$B$378,'00_SKU_Master'!$O:$O,0),"")</f>
        <v>#VALUE!</v>
      </c>
      <c r="O168" s="112" t="e">
        <f ca="1">_xludf.IFNA(_xlfn.XLOOKUP($A170,'00_SKU_Master'!$B$2:$B$378,'00_SKU_Master'!$F$2:$F$378,0)*G170/_xlfn.XLOOKUP($A170,'00_SKU_Master'!$B$2:$B$378,'00_SKU_Master'!$O:$O,0),"")</f>
        <v>#NAME?</v>
      </c>
      <c r="P168" s="112" t="e">
        <f ca="1">_xludf.IFNA(_xlfn.XLOOKUP($A170,'00_SKU_Master'!$B$2:$B$378,'00_SKU_Master'!$F$2:$F$378,0)*H170/_xlfn.XLOOKUP($A170,'00_SKU_Master'!$B$2:$B$378,'00_SKU_Master'!$O:$O,0),"")</f>
        <v>#NAME?</v>
      </c>
      <c r="Q168" s="112" t="e">
        <f ca="1">_xludf.IFNA(_xlfn.XLOOKUP($A170,'00_SKU_Master'!$B$2:$B$378,'00_SKU_Master'!$F$2:$F$378,0)*I170/_xlfn.XLOOKUP($A170,'00_SKU_Master'!$B$2:$B$378,'00_SKU_Master'!$O:$O,0),"")</f>
        <v>#NAME?</v>
      </c>
      <c r="R168" s="112" t="e">
        <f ca="1">_xludf.IFNA(_xlfn.XLOOKUP($A170,'00_SKU_Master'!$B$2:$B$378,'00_SKU_Master'!$F$2:$F$378,0)*J170/_xlfn.XLOOKUP($A170,'00_SKU_Master'!$B$2:$B$378,'00_SKU_Master'!$O:$O,0),"")</f>
        <v>#NAME?</v>
      </c>
      <c r="S168" s="112" t="e">
        <f ca="1">_xludf.IFNA(_xlfn.XLOOKUP($A170,'00_SKU_Master'!$B$2:$B$378,'00_SKU_Master'!$F$2:$F$378,0)*K170/_xlfn.XLOOKUP($A170,'00_SKU_Master'!$B$2:$B$378,'00_SKU_Master'!$O:$O,0),"")</f>
        <v>#NAME?</v>
      </c>
      <c r="T168" s="113" t="e">
        <f t="shared" si="4"/>
        <v>#VALUE!</v>
      </c>
      <c r="U168" s="114" t="str">
        <f>'05_Daily_Orders'!L168</f>
        <v>FB</v>
      </c>
    </row>
    <row r="169" spans="1:21">
      <c r="A169" s="108">
        <f>'05_Daily_Orders'!B169</f>
        <v>7522</v>
      </c>
      <c r="B169" s="50">
        <v>0</v>
      </c>
      <c r="C169" s="50">
        <v>0</v>
      </c>
      <c r="D169" s="109"/>
      <c r="E169" s="109"/>
      <c r="F169">
        <v>0</v>
      </c>
      <c r="L169" s="110">
        <f t="shared" si="5"/>
        <v>0</v>
      </c>
      <c r="M169" s="111" t="str">
        <f>_xlfn.IFNA(_xlfn.XLOOKUP(A169,'00_SKU_Master'!$B$2:$B$378,'00_SKU_Master'!$C$2:$C$378,0),"")</f>
        <v>61086#2</v>
      </c>
      <c r="N169" s="112" t="e">
        <f>_xlfn.IFNA(_xlfn.XLOOKUP(A169,'00_SKU_Master'!$B$2:$B$378,'00_SKU_Master'!$F$2:$F$378,0)*F169/_xlfn.XLOOKUP(A169,'00_SKU_Master'!$B$2:$B$378,'00_SKU_Master'!$O:$O,0),"")</f>
        <v>#VALUE!</v>
      </c>
      <c r="O169" s="112" t="e">
        <f ca="1">_xludf.IFNA(_xlfn.XLOOKUP($A171,'00_SKU_Master'!$B$2:$B$378,'00_SKU_Master'!$F$2:$F$378,0)*G171/_xlfn.XLOOKUP($A171,'00_SKU_Master'!$B$2:$B$378,'00_SKU_Master'!$O:$O,0),"")</f>
        <v>#NAME?</v>
      </c>
      <c r="P169" s="112" t="e">
        <f ca="1">_xludf.IFNA(_xlfn.XLOOKUP($A171,'00_SKU_Master'!$B$2:$B$378,'00_SKU_Master'!$F$2:$F$378,0)*H171/_xlfn.XLOOKUP($A171,'00_SKU_Master'!$B$2:$B$378,'00_SKU_Master'!$O:$O,0),"")</f>
        <v>#NAME?</v>
      </c>
      <c r="Q169" s="112" t="e">
        <f ca="1">_xludf.IFNA(_xlfn.XLOOKUP($A171,'00_SKU_Master'!$B$2:$B$378,'00_SKU_Master'!$F$2:$F$378,0)*I171/_xlfn.XLOOKUP($A171,'00_SKU_Master'!$B$2:$B$378,'00_SKU_Master'!$O:$O,0),"")</f>
        <v>#NAME?</v>
      </c>
      <c r="R169" s="112" t="e">
        <f ca="1">_xludf.IFNA(_xlfn.XLOOKUP($A171,'00_SKU_Master'!$B$2:$B$378,'00_SKU_Master'!$F$2:$F$378,0)*J171/_xlfn.XLOOKUP($A171,'00_SKU_Master'!$B$2:$B$378,'00_SKU_Master'!$O:$O,0),"")</f>
        <v>#NAME?</v>
      </c>
      <c r="S169" s="112" t="e">
        <f ca="1">_xludf.IFNA(_xlfn.XLOOKUP($A171,'00_SKU_Master'!$B$2:$B$378,'00_SKU_Master'!$F$2:$F$378,0)*K171/_xlfn.XLOOKUP($A171,'00_SKU_Master'!$B$2:$B$378,'00_SKU_Master'!$O:$O,0),"")</f>
        <v>#NAME?</v>
      </c>
      <c r="T169" s="113" t="e">
        <f t="shared" si="4"/>
        <v>#VALUE!</v>
      </c>
      <c r="U169" s="114" t="str">
        <f>'05_Daily_Orders'!L169</f>
        <v>FB</v>
      </c>
    </row>
    <row r="170" spans="1:21">
      <c r="A170" s="108">
        <f>'05_Daily_Orders'!B170</f>
        <v>7553</v>
      </c>
      <c r="B170" s="50">
        <v>0</v>
      </c>
      <c r="C170" s="50">
        <v>0</v>
      </c>
      <c r="D170" s="109"/>
      <c r="E170" s="109"/>
      <c r="F170">
        <v>0</v>
      </c>
      <c r="L170" s="110">
        <f t="shared" si="5"/>
        <v>0</v>
      </c>
      <c r="M170" s="111" t="str">
        <f>_xlfn.IFNA(_xlfn.XLOOKUP(A170,'00_SKU_Master'!$B$2:$B$378,'00_SKU_Master'!$C$2:$C$378,0),"")</f>
        <v>61040#2</v>
      </c>
      <c r="N170" s="112" t="e">
        <f>_xlfn.IFNA(_xlfn.XLOOKUP(A170,'00_SKU_Master'!$B$2:$B$378,'00_SKU_Master'!$F$2:$F$378,0)*F170/_xlfn.XLOOKUP(A170,'00_SKU_Master'!$B$2:$B$378,'00_SKU_Master'!$O:$O,0),"")</f>
        <v>#VALUE!</v>
      </c>
      <c r="O170" s="112" t="e">
        <f ca="1">_xludf.IFNA(_xlfn.XLOOKUP($A172,'00_SKU_Master'!$B$2:$B$378,'00_SKU_Master'!$F$2:$F$378,0)*G172/_xlfn.XLOOKUP($A172,'00_SKU_Master'!$B$2:$B$378,'00_SKU_Master'!$O:$O,0),"")</f>
        <v>#NAME?</v>
      </c>
      <c r="P170" s="112" t="e">
        <f ca="1">_xludf.IFNA(_xlfn.XLOOKUP($A172,'00_SKU_Master'!$B$2:$B$378,'00_SKU_Master'!$F$2:$F$378,0)*H172/_xlfn.XLOOKUP($A172,'00_SKU_Master'!$B$2:$B$378,'00_SKU_Master'!$O:$O,0),"")</f>
        <v>#NAME?</v>
      </c>
      <c r="Q170" s="112" t="e">
        <f ca="1">_xludf.IFNA(_xlfn.XLOOKUP($A172,'00_SKU_Master'!$B$2:$B$378,'00_SKU_Master'!$F$2:$F$378,0)*I172/_xlfn.XLOOKUP($A172,'00_SKU_Master'!$B$2:$B$378,'00_SKU_Master'!$O:$O,0),"")</f>
        <v>#NAME?</v>
      </c>
      <c r="R170" s="112" t="e">
        <f ca="1">_xludf.IFNA(_xlfn.XLOOKUP($A172,'00_SKU_Master'!$B$2:$B$378,'00_SKU_Master'!$F$2:$F$378,0)*J172/_xlfn.XLOOKUP($A172,'00_SKU_Master'!$B$2:$B$378,'00_SKU_Master'!$O:$O,0),"")</f>
        <v>#NAME?</v>
      </c>
      <c r="S170" s="112" t="e">
        <f ca="1">_xludf.IFNA(_xlfn.XLOOKUP($A172,'00_SKU_Master'!$B$2:$B$378,'00_SKU_Master'!$F$2:$F$378,0)*K172/_xlfn.XLOOKUP($A172,'00_SKU_Master'!$B$2:$B$378,'00_SKU_Master'!$O:$O,0),"")</f>
        <v>#NAME?</v>
      </c>
      <c r="T170" s="113" t="e">
        <f t="shared" si="4"/>
        <v>#VALUE!</v>
      </c>
      <c r="U170" s="114" t="str">
        <f>'05_Daily_Orders'!L170</f>
        <v>FB</v>
      </c>
    </row>
    <row r="171" spans="1:21">
      <c r="A171" s="108">
        <f>'05_Daily_Orders'!B171</f>
        <v>7554</v>
      </c>
      <c r="B171" s="50">
        <v>0</v>
      </c>
      <c r="C171" s="50">
        <v>0</v>
      </c>
      <c r="D171" s="109"/>
      <c r="E171" s="109"/>
      <c r="F171">
        <v>0</v>
      </c>
      <c r="L171" s="110">
        <f t="shared" si="5"/>
        <v>0</v>
      </c>
      <c r="M171" s="111" t="str">
        <f>_xlfn.IFNA(_xlfn.XLOOKUP(A171,'00_SKU_Master'!$B$2:$B$378,'00_SKU_Master'!$C$2:$C$378,0),"")</f>
        <v>61048#2</v>
      </c>
      <c r="N171" s="112" t="e">
        <f>_xlfn.IFNA(_xlfn.XLOOKUP(A171,'00_SKU_Master'!$B$2:$B$378,'00_SKU_Master'!$F$2:$F$378,0)*F171/_xlfn.XLOOKUP(A171,'00_SKU_Master'!$B$2:$B$378,'00_SKU_Master'!$O:$O,0),"")</f>
        <v>#VALUE!</v>
      </c>
      <c r="O171" s="112" t="e">
        <f ca="1">_xludf.IFNA(_xlfn.XLOOKUP($A173,'00_SKU_Master'!$B$2:$B$378,'00_SKU_Master'!$F$2:$F$378,0)*G173/_xlfn.XLOOKUP($A173,'00_SKU_Master'!$B$2:$B$378,'00_SKU_Master'!$O:$O,0),"")</f>
        <v>#NAME?</v>
      </c>
      <c r="P171" s="112" t="e">
        <f ca="1">_xludf.IFNA(_xlfn.XLOOKUP($A173,'00_SKU_Master'!$B$2:$B$378,'00_SKU_Master'!$F$2:$F$378,0)*H173/_xlfn.XLOOKUP($A173,'00_SKU_Master'!$B$2:$B$378,'00_SKU_Master'!$O:$O,0),"")</f>
        <v>#NAME?</v>
      </c>
      <c r="Q171" s="112" t="e">
        <f ca="1">_xludf.IFNA(_xlfn.XLOOKUP($A173,'00_SKU_Master'!$B$2:$B$378,'00_SKU_Master'!$F$2:$F$378,0)*I173/_xlfn.XLOOKUP($A173,'00_SKU_Master'!$B$2:$B$378,'00_SKU_Master'!$O:$O,0),"")</f>
        <v>#NAME?</v>
      </c>
      <c r="R171" s="112" t="e">
        <f ca="1">_xludf.IFNA(_xlfn.XLOOKUP($A173,'00_SKU_Master'!$B$2:$B$378,'00_SKU_Master'!$F$2:$F$378,0)*J173/_xlfn.XLOOKUP($A173,'00_SKU_Master'!$B$2:$B$378,'00_SKU_Master'!$O:$O,0),"")</f>
        <v>#NAME?</v>
      </c>
      <c r="S171" s="112" t="e">
        <f ca="1">_xludf.IFNA(_xlfn.XLOOKUP($A173,'00_SKU_Master'!$B$2:$B$378,'00_SKU_Master'!$F$2:$F$378,0)*K173/_xlfn.XLOOKUP($A173,'00_SKU_Master'!$B$2:$B$378,'00_SKU_Master'!$O:$O,0),"")</f>
        <v>#NAME?</v>
      </c>
      <c r="T171" s="113" t="e">
        <f t="shared" si="4"/>
        <v>#VALUE!</v>
      </c>
      <c r="U171" s="114" t="str">
        <f>'05_Daily_Orders'!L171</f>
        <v>FB</v>
      </c>
    </row>
    <row r="172" spans="1:21">
      <c r="A172" s="108">
        <f>'05_Daily_Orders'!B172</f>
        <v>7557</v>
      </c>
      <c r="B172" s="50">
        <v>0</v>
      </c>
      <c r="C172" s="50">
        <v>0</v>
      </c>
      <c r="D172" s="109"/>
      <c r="E172" s="109"/>
      <c r="F172">
        <v>0</v>
      </c>
      <c r="L172" s="110">
        <f t="shared" si="5"/>
        <v>0</v>
      </c>
      <c r="M172" s="111" t="str">
        <f>_xlfn.IFNA(_xlfn.XLOOKUP(A172,'00_SKU_Master'!$B$2:$B$378,'00_SKU_Master'!$C$2:$C$378,0),"")</f>
        <v>61048#2</v>
      </c>
      <c r="N172" s="112" t="e">
        <f>_xlfn.IFNA(_xlfn.XLOOKUP(A172,'00_SKU_Master'!$B$2:$B$378,'00_SKU_Master'!$F$2:$F$378,0)*F172/_xlfn.XLOOKUP(A172,'00_SKU_Master'!$B$2:$B$378,'00_SKU_Master'!$O:$O,0),"")</f>
        <v>#VALUE!</v>
      </c>
      <c r="O172" s="112" t="e">
        <f ca="1">_xludf.IFNA(_xlfn.XLOOKUP($A174,'00_SKU_Master'!$B$2:$B$378,'00_SKU_Master'!$F$2:$F$378,0)*G174/_xlfn.XLOOKUP($A174,'00_SKU_Master'!$B$2:$B$378,'00_SKU_Master'!$O:$O,0),"")</f>
        <v>#NAME?</v>
      </c>
      <c r="P172" s="112" t="e">
        <f ca="1">_xludf.IFNA(_xlfn.XLOOKUP($A174,'00_SKU_Master'!$B$2:$B$378,'00_SKU_Master'!$F$2:$F$378,0)*H174/_xlfn.XLOOKUP($A174,'00_SKU_Master'!$B$2:$B$378,'00_SKU_Master'!$O:$O,0),"")</f>
        <v>#NAME?</v>
      </c>
      <c r="Q172" s="112" t="e">
        <f ca="1">_xludf.IFNA(_xlfn.XLOOKUP($A174,'00_SKU_Master'!$B$2:$B$378,'00_SKU_Master'!$F$2:$F$378,0)*I174/_xlfn.XLOOKUP($A174,'00_SKU_Master'!$B$2:$B$378,'00_SKU_Master'!$O:$O,0),"")</f>
        <v>#NAME?</v>
      </c>
      <c r="R172" s="112" t="e">
        <f ca="1">_xludf.IFNA(_xlfn.XLOOKUP($A174,'00_SKU_Master'!$B$2:$B$378,'00_SKU_Master'!$F$2:$F$378,0)*J174/_xlfn.XLOOKUP($A174,'00_SKU_Master'!$B$2:$B$378,'00_SKU_Master'!$O:$O,0),"")</f>
        <v>#NAME?</v>
      </c>
      <c r="S172" s="112" t="e">
        <f ca="1">_xludf.IFNA(_xlfn.XLOOKUP($A174,'00_SKU_Master'!$B$2:$B$378,'00_SKU_Master'!$F$2:$F$378,0)*K174/_xlfn.XLOOKUP($A174,'00_SKU_Master'!$B$2:$B$378,'00_SKU_Master'!$O:$O,0),"")</f>
        <v>#NAME?</v>
      </c>
      <c r="T172" s="113" t="e">
        <f t="shared" si="4"/>
        <v>#VALUE!</v>
      </c>
      <c r="U172" s="114" t="str">
        <f>'05_Daily_Orders'!L172</f>
        <v>FB</v>
      </c>
    </row>
    <row r="173" spans="1:21">
      <c r="A173" s="108">
        <f>'05_Daily_Orders'!B173</f>
        <v>7605</v>
      </c>
      <c r="B173" s="50">
        <v>0</v>
      </c>
      <c r="C173" s="50">
        <v>0</v>
      </c>
      <c r="D173" s="109"/>
      <c r="E173" s="109"/>
      <c r="F173">
        <v>0</v>
      </c>
      <c r="L173" s="110">
        <f t="shared" si="5"/>
        <v>0</v>
      </c>
      <c r="M173" s="111">
        <f>_xlfn.IFNA(_xlfn.XLOOKUP(A173,'00_SKU_Master'!$B$2:$B$378,'00_SKU_Master'!$C$2:$C$378,0),"")</f>
        <v>61055</v>
      </c>
      <c r="N173" s="112" t="e">
        <f>_xlfn.IFNA(_xlfn.XLOOKUP(A173,'00_SKU_Master'!$B$2:$B$378,'00_SKU_Master'!$F$2:$F$378,0)*F173/_xlfn.XLOOKUP(A173,'00_SKU_Master'!$B$2:$B$378,'00_SKU_Master'!$O:$O,0),"")</f>
        <v>#VALUE!</v>
      </c>
      <c r="O173" s="112" t="e">
        <f ca="1">_xludf.IFNA(_xlfn.XLOOKUP($A175,'00_SKU_Master'!$B$2:$B$378,'00_SKU_Master'!$F$2:$F$378,0)*G175/_xlfn.XLOOKUP($A175,'00_SKU_Master'!$B$2:$B$378,'00_SKU_Master'!$O:$O,0),"")</f>
        <v>#NAME?</v>
      </c>
      <c r="P173" s="112" t="e">
        <f ca="1">_xludf.IFNA(_xlfn.XLOOKUP($A175,'00_SKU_Master'!$B$2:$B$378,'00_SKU_Master'!$F$2:$F$378,0)*H175/_xlfn.XLOOKUP($A175,'00_SKU_Master'!$B$2:$B$378,'00_SKU_Master'!$O:$O,0),"")</f>
        <v>#NAME?</v>
      </c>
      <c r="Q173" s="112" t="e">
        <f ca="1">_xludf.IFNA(_xlfn.XLOOKUP($A175,'00_SKU_Master'!$B$2:$B$378,'00_SKU_Master'!$F$2:$F$378,0)*I175/_xlfn.XLOOKUP($A175,'00_SKU_Master'!$B$2:$B$378,'00_SKU_Master'!$O:$O,0),"")</f>
        <v>#NAME?</v>
      </c>
      <c r="R173" s="112" t="e">
        <f ca="1">_xludf.IFNA(_xlfn.XLOOKUP($A175,'00_SKU_Master'!$B$2:$B$378,'00_SKU_Master'!$F$2:$F$378,0)*J175/_xlfn.XLOOKUP($A175,'00_SKU_Master'!$B$2:$B$378,'00_SKU_Master'!$O:$O,0),"")</f>
        <v>#NAME?</v>
      </c>
      <c r="S173" s="112" t="e">
        <f ca="1">_xludf.IFNA(_xlfn.XLOOKUP($A175,'00_SKU_Master'!$B$2:$B$378,'00_SKU_Master'!$F$2:$F$378,0)*K175/_xlfn.XLOOKUP($A175,'00_SKU_Master'!$B$2:$B$378,'00_SKU_Master'!$O:$O,0),"")</f>
        <v>#NAME?</v>
      </c>
      <c r="T173" s="113" t="e">
        <f t="shared" si="4"/>
        <v>#VALUE!</v>
      </c>
      <c r="U173" s="114" t="str">
        <f>'05_Daily_Orders'!L173</f>
        <v>LCL</v>
      </c>
    </row>
    <row r="174" spans="1:21">
      <c r="A174" s="108">
        <f>'05_Daily_Orders'!B174</f>
        <v>7606</v>
      </c>
      <c r="B174" s="50">
        <v>0</v>
      </c>
      <c r="C174" s="50">
        <v>0</v>
      </c>
      <c r="D174" s="109"/>
      <c r="E174" s="109"/>
      <c r="F174">
        <v>0</v>
      </c>
      <c r="L174" s="110">
        <f t="shared" si="5"/>
        <v>0</v>
      </c>
      <c r="M174" s="111">
        <f>_xlfn.IFNA(_xlfn.XLOOKUP(A174,'00_SKU_Master'!$B$2:$B$378,'00_SKU_Master'!$C$2:$C$378,0),"")</f>
        <v>61055</v>
      </c>
      <c r="N174" s="112" t="e">
        <f>_xlfn.IFNA(_xlfn.XLOOKUP(A174,'00_SKU_Master'!$B$2:$B$378,'00_SKU_Master'!$F$2:$F$378,0)*F174/_xlfn.XLOOKUP(A174,'00_SKU_Master'!$B$2:$B$378,'00_SKU_Master'!$O:$O,0),"")</f>
        <v>#VALUE!</v>
      </c>
      <c r="O174" s="112" t="e">
        <f ca="1">_xludf.IFNA(_xlfn.XLOOKUP($A176,'00_SKU_Master'!$B$2:$B$378,'00_SKU_Master'!$F$2:$F$378,0)*G176/_xlfn.XLOOKUP($A176,'00_SKU_Master'!$B$2:$B$378,'00_SKU_Master'!$O:$O,0),"")</f>
        <v>#NAME?</v>
      </c>
      <c r="P174" s="112" t="e">
        <f ca="1">_xludf.IFNA(_xlfn.XLOOKUP($A176,'00_SKU_Master'!$B$2:$B$378,'00_SKU_Master'!$F$2:$F$378,0)*H176/_xlfn.XLOOKUP($A176,'00_SKU_Master'!$B$2:$B$378,'00_SKU_Master'!$O:$O,0),"")</f>
        <v>#NAME?</v>
      </c>
      <c r="Q174" s="112" t="e">
        <f ca="1">_xludf.IFNA(_xlfn.XLOOKUP($A176,'00_SKU_Master'!$B$2:$B$378,'00_SKU_Master'!$F$2:$F$378,0)*I176/_xlfn.XLOOKUP($A176,'00_SKU_Master'!$B$2:$B$378,'00_SKU_Master'!$O:$O,0),"")</f>
        <v>#NAME?</v>
      </c>
      <c r="R174" s="112" t="e">
        <f ca="1">_xludf.IFNA(_xlfn.XLOOKUP($A176,'00_SKU_Master'!$B$2:$B$378,'00_SKU_Master'!$F$2:$F$378,0)*J176/_xlfn.XLOOKUP($A176,'00_SKU_Master'!$B$2:$B$378,'00_SKU_Master'!$O:$O,0),"")</f>
        <v>#NAME?</v>
      </c>
      <c r="S174" s="112" t="e">
        <f ca="1">_xludf.IFNA(_xlfn.XLOOKUP($A176,'00_SKU_Master'!$B$2:$B$378,'00_SKU_Master'!$F$2:$F$378,0)*K176/_xlfn.XLOOKUP($A176,'00_SKU_Master'!$B$2:$B$378,'00_SKU_Master'!$O:$O,0),"")</f>
        <v>#NAME?</v>
      </c>
      <c r="T174" s="113" t="e">
        <f t="shared" si="4"/>
        <v>#VALUE!</v>
      </c>
      <c r="U174" s="114" t="str">
        <f>'05_Daily_Orders'!L174</f>
        <v>LCL</v>
      </c>
    </row>
    <row r="175" spans="1:21">
      <c r="A175" s="108">
        <f>'05_Daily_Orders'!B175</f>
        <v>7607</v>
      </c>
      <c r="B175" s="50">
        <v>0</v>
      </c>
      <c r="C175" s="50">
        <v>0</v>
      </c>
      <c r="D175" s="109"/>
      <c r="E175" s="109"/>
      <c r="F175">
        <v>0</v>
      </c>
      <c r="L175" s="110">
        <f t="shared" si="5"/>
        <v>0</v>
      </c>
      <c r="M175" s="111">
        <f>_xlfn.IFNA(_xlfn.XLOOKUP(A175,'00_SKU_Master'!$B$2:$B$378,'00_SKU_Master'!$C$2:$C$378,0),"")</f>
        <v>61055</v>
      </c>
      <c r="N175" s="112" t="e">
        <f>_xlfn.IFNA(_xlfn.XLOOKUP(A175,'00_SKU_Master'!$B$2:$B$378,'00_SKU_Master'!$F$2:$F$378,0)*F175/_xlfn.XLOOKUP(A175,'00_SKU_Master'!$B$2:$B$378,'00_SKU_Master'!$O:$O,0),"")</f>
        <v>#VALUE!</v>
      </c>
      <c r="O175" s="112" t="e">
        <f ca="1">_xludf.IFNA(_xlfn.XLOOKUP($A177,'00_SKU_Master'!$B$2:$B$378,'00_SKU_Master'!$F$2:$F$378,0)*G177/_xlfn.XLOOKUP($A177,'00_SKU_Master'!$B$2:$B$378,'00_SKU_Master'!$O:$O,0),"")</f>
        <v>#NAME?</v>
      </c>
      <c r="P175" s="112" t="e">
        <f ca="1">_xludf.IFNA(_xlfn.XLOOKUP($A177,'00_SKU_Master'!$B$2:$B$378,'00_SKU_Master'!$F$2:$F$378,0)*H177/_xlfn.XLOOKUP($A177,'00_SKU_Master'!$B$2:$B$378,'00_SKU_Master'!$O:$O,0),"")</f>
        <v>#NAME?</v>
      </c>
      <c r="Q175" s="112" t="e">
        <f ca="1">_xludf.IFNA(_xlfn.XLOOKUP($A177,'00_SKU_Master'!$B$2:$B$378,'00_SKU_Master'!$F$2:$F$378,0)*I177/_xlfn.XLOOKUP($A177,'00_SKU_Master'!$B$2:$B$378,'00_SKU_Master'!$O:$O,0),"")</f>
        <v>#NAME?</v>
      </c>
      <c r="R175" s="112" t="e">
        <f ca="1">_xludf.IFNA(_xlfn.XLOOKUP($A177,'00_SKU_Master'!$B$2:$B$378,'00_SKU_Master'!$F$2:$F$378,0)*J177/_xlfn.XLOOKUP($A177,'00_SKU_Master'!$B$2:$B$378,'00_SKU_Master'!$O:$O,0),"")</f>
        <v>#NAME?</v>
      </c>
      <c r="S175" s="112" t="e">
        <f ca="1">_xludf.IFNA(_xlfn.XLOOKUP($A177,'00_SKU_Master'!$B$2:$B$378,'00_SKU_Master'!$F$2:$F$378,0)*K177/_xlfn.XLOOKUP($A177,'00_SKU_Master'!$B$2:$B$378,'00_SKU_Master'!$O:$O,0),"")</f>
        <v>#NAME?</v>
      </c>
      <c r="T175" s="113" t="e">
        <f t="shared" si="4"/>
        <v>#VALUE!</v>
      </c>
      <c r="U175" s="114" t="str">
        <f>'05_Daily_Orders'!L175</f>
        <v>LCL</v>
      </c>
    </row>
    <row r="176" spans="1:21">
      <c r="A176" s="108">
        <f>'05_Daily_Orders'!B176</f>
        <v>7608</v>
      </c>
      <c r="B176" s="50">
        <v>0</v>
      </c>
      <c r="C176" s="50">
        <v>0</v>
      </c>
      <c r="D176" s="109"/>
      <c r="E176" s="109"/>
      <c r="F176">
        <v>0</v>
      </c>
      <c r="L176" s="110">
        <f t="shared" si="5"/>
        <v>0</v>
      </c>
      <c r="M176" s="111">
        <f>_xlfn.IFNA(_xlfn.XLOOKUP(A176,'00_SKU_Master'!$B$2:$B$378,'00_SKU_Master'!$C$2:$C$378,0),"")</f>
        <v>61055</v>
      </c>
      <c r="N176" s="112" t="e">
        <f>_xlfn.IFNA(_xlfn.XLOOKUP(A176,'00_SKU_Master'!$B$2:$B$378,'00_SKU_Master'!$F$2:$F$378,0)*F176/_xlfn.XLOOKUP(A176,'00_SKU_Master'!$B$2:$B$378,'00_SKU_Master'!$O:$O,0),"")</f>
        <v>#VALUE!</v>
      </c>
      <c r="O176" s="112" t="e">
        <f ca="1">_xludf.IFNA(_xlfn.XLOOKUP($A178,'00_SKU_Master'!$B$2:$B$378,'00_SKU_Master'!$F$2:$F$378,0)*G178/_xlfn.XLOOKUP($A178,'00_SKU_Master'!$B$2:$B$378,'00_SKU_Master'!$O:$O,0),"")</f>
        <v>#NAME?</v>
      </c>
      <c r="P176" s="112" t="e">
        <f ca="1">_xludf.IFNA(_xlfn.XLOOKUP($A178,'00_SKU_Master'!$B$2:$B$378,'00_SKU_Master'!$F$2:$F$378,0)*H178/_xlfn.XLOOKUP($A178,'00_SKU_Master'!$B$2:$B$378,'00_SKU_Master'!$O:$O,0),"")</f>
        <v>#NAME?</v>
      </c>
      <c r="Q176" s="112" t="e">
        <f ca="1">_xludf.IFNA(_xlfn.XLOOKUP($A178,'00_SKU_Master'!$B$2:$B$378,'00_SKU_Master'!$F$2:$F$378,0)*I178/_xlfn.XLOOKUP($A178,'00_SKU_Master'!$B$2:$B$378,'00_SKU_Master'!$O:$O,0),"")</f>
        <v>#NAME?</v>
      </c>
      <c r="R176" s="112" t="e">
        <f ca="1">_xludf.IFNA(_xlfn.XLOOKUP($A178,'00_SKU_Master'!$B$2:$B$378,'00_SKU_Master'!$F$2:$F$378,0)*J178/_xlfn.XLOOKUP($A178,'00_SKU_Master'!$B$2:$B$378,'00_SKU_Master'!$O:$O,0),"")</f>
        <v>#NAME?</v>
      </c>
      <c r="S176" s="112" t="e">
        <f ca="1">_xludf.IFNA(_xlfn.XLOOKUP($A178,'00_SKU_Master'!$B$2:$B$378,'00_SKU_Master'!$F$2:$F$378,0)*K178/_xlfn.XLOOKUP($A178,'00_SKU_Master'!$B$2:$B$378,'00_SKU_Master'!$O:$O,0),"")</f>
        <v>#NAME?</v>
      </c>
      <c r="T176" s="113" t="e">
        <f t="shared" si="4"/>
        <v>#VALUE!</v>
      </c>
      <c r="U176" s="114" t="str">
        <f>'05_Daily_Orders'!L176</f>
        <v>LCL</v>
      </c>
    </row>
    <row r="177" spans="1:21">
      <c r="A177" s="108">
        <f>'05_Daily_Orders'!B177</f>
        <v>7811</v>
      </c>
      <c r="B177" s="50">
        <v>0</v>
      </c>
      <c r="C177" s="50">
        <v>0</v>
      </c>
      <c r="D177" s="109"/>
      <c r="E177" s="109"/>
      <c r="F177">
        <v>0</v>
      </c>
      <c r="L177" s="110">
        <f t="shared" si="5"/>
        <v>0</v>
      </c>
      <c r="M177" s="111">
        <f>_xlfn.IFNA(_xlfn.XLOOKUP(A177,'00_SKU_Master'!$B$2:$B$378,'00_SKU_Master'!$C$2:$C$378,0),"")</f>
        <v>61050</v>
      </c>
      <c r="N177" s="112" t="e">
        <f>_xlfn.IFNA(_xlfn.XLOOKUP(A177,'00_SKU_Master'!$B$2:$B$378,'00_SKU_Master'!$F$2:$F$378,0)*F177/_xlfn.XLOOKUP(A177,'00_SKU_Master'!$B$2:$B$378,'00_SKU_Master'!$O:$O,0),"")</f>
        <v>#VALUE!</v>
      </c>
      <c r="O177" s="112" t="e">
        <f ca="1">_xludf.IFNA(_xlfn.XLOOKUP($A179,'00_SKU_Master'!$B$2:$B$378,'00_SKU_Master'!$F$2:$F$378,0)*G179/_xlfn.XLOOKUP($A179,'00_SKU_Master'!$B$2:$B$378,'00_SKU_Master'!$O:$O,0),"")</f>
        <v>#NAME?</v>
      </c>
      <c r="P177" s="112" t="e">
        <f ca="1">_xludf.IFNA(_xlfn.XLOOKUP($A179,'00_SKU_Master'!$B$2:$B$378,'00_SKU_Master'!$F$2:$F$378,0)*H179/_xlfn.XLOOKUP($A179,'00_SKU_Master'!$B$2:$B$378,'00_SKU_Master'!$O:$O,0),"")</f>
        <v>#NAME?</v>
      </c>
      <c r="Q177" s="112" t="e">
        <f ca="1">_xludf.IFNA(_xlfn.XLOOKUP($A179,'00_SKU_Master'!$B$2:$B$378,'00_SKU_Master'!$F$2:$F$378,0)*I179/_xlfn.XLOOKUP($A179,'00_SKU_Master'!$B$2:$B$378,'00_SKU_Master'!$O:$O,0),"")</f>
        <v>#NAME?</v>
      </c>
      <c r="R177" s="112" t="e">
        <f ca="1">_xludf.IFNA(_xlfn.XLOOKUP($A179,'00_SKU_Master'!$B$2:$B$378,'00_SKU_Master'!$F$2:$F$378,0)*J179/_xlfn.XLOOKUP($A179,'00_SKU_Master'!$B$2:$B$378,'00_SKU_Master'!$O:$O,0),"")</f>
        <v>#NAME?</v>
      </c>
      <c r="S177" s="112" t="e">
        <f ca="1">_xludf.IFNA(_xlfn.XLOOKUP($A179,'00_SKU_Master'!$B$2:$B$378,'00_SKU_Master'!$F$2:$F$378,0)*K179/_xlfn.XLOOKUP($A179,'00_SKU_Master'!$B$2:$B$378,'00_SKU_Master'!$O:$O,0),"")</f>
        <v>#NAME?</v>
      </c>
      <c r="T177" s="113" t="e">
        <f t="shared" si="4"/>
        <v>#VALUE!</v>
      </c>
      <c r="U177" s="114" t="str">
        <f>'05_Daily_Orders'!L177</f>
        <v>LCL</v>
      </c>
    </row>
    <row r="178" spans="1:21">
      <c r="A178" s="108">
        <f>'05_Daily_Orders'!B178</f>
        <v>7812</v>
      </c>
      <c r="B178" s="50">
        <v>0</v>
      </c>
      <c r="C178" s="50">
        <v>0</v>
      </c>
      <c r="D178" s="109"/>
      <c r="E178" s="109"/>
      <c r="F178">
        <v>0</v>
      </c>
      <c r="L178" s="110">
        <f t="shared" si="5"/>
        <v>0</v>
      </c>
      <c r="M178" s="111">
        <f>_xlfn.IFNA(_xlfn.XLOOKUP(A178,'00_SKU_Master'!$B$2:$B$378,'00_SKU_Master'!$C$2:$C$378,0),"")</f>
        <v>61050</v>
      </c>
      <c r="N178" s="112" t="e">
        <f>_xlfn.IFNA(_xlfn.XLOOKUP(A178,'00_SKU_Master'!$B$2:$B$378,'00_SKU_Master'!$F$2:$F$378,0)*F178/_xlfn.XLOOKUP(A178,'00_SKU_Master'!$B$2:$B$378,'00_SKU_Master'!$O:$O,0),"")</f>
        <v>#VALUE!</v>
      </c>
      <c r="O178" s="112" t="e">
        <f ca="1">_xludf.IFNA(_xlfn.XLOOKUP($A180,'00_SKU_Master'!$B$2:$B$378,'00_SKU_Master'!$F$2:$F$378,0)*G180/_xlfn.XLOOKUP($A180,'00_SKU_Master'!$B$2:$B$378,'00_SKU_Master'!$O:$O,0),"")</f>
        <v>#NAME?</v>
      </c>
      <c r="P178" s="112" t="e">
        <f ca="1">_xludf.IFNA(_xlfn.XLOOKUP($A180,'00_SKU_Master'!$B$2:$B$378,'00_SKU_Master'!$F$2:$F$378,0)*H180/_xlfn.XLOOKUP($A180,'00_SKU_Master'!$B$2:$B$378,'00_SKU_Master'!$O:$O,0),"")</f>
        <v>#NAME?</v>
      </c>
      <c r="Q178" s="112" t="e">
        <f ca="1">_xludf.IFNA(_xlfn.XLOOKUP($A180,'00_SKU_Master'!$B$2:$B$378,'00_SKU_Master'!$F$2:$F$378,0)*I180/_xlfn.XLOOKUP($A180,'00_SKU_Master'!$B$2:$B$378,'00_SKU_Master'!$O:$O,0),"")</f>
        <v>#NAME?</v>
      </c>
      <c r="R178" s="112" t="e">
        <f ca="1">_xludf.IFNA(_xlfn.XLOOKUP($A180,'00_SKU_Master'!$B$2:$B$378,'00_SKU_Master'!$F$2:$F$378,0)*J180/_xlfn.XLOOKUP($A180,'00_SKU_Master'!$B$2:$B$378,'00_SKU_Master'!$O:$O,0),"")</f>
        <v>#NAME?</v>
      </c>
      <c r="S178" s="112" t="e">
        <f ca="1">_xludf.IFNA(_xlfn.XLOOKUP($A180,'00_SKU_Master'!$B$2:$B$378,'00_SKU_Master'!$F$2:$F$378,0)*K180/_xlfn.XLOOKUP($A180,'00_SKU_Master'!$B$2:$B$378,'00_SKU_Master'!$O:$O,0),"")</f>
        <v>#NAME?</v>
      </c>
      <c r="T178" s="113" t="e">
        <f t="shared" si="4"/>
        <v>#VALUE!</v>
      </c>
      <c r="U178" s="114" t="str">
        <f>'05_Daily_Orders'!L178</f>
        <v>LCL</v>
      </c>
    </row>
    <row r="179" spans="1:21">
      <c r="A179" s="108">
        <f>'05_Daily_Orders'!B179</f>
        <v>7813</v>
      </c>
      <c r="B179" s="50">
        <v>0</v>
      </c>
      <c r="C179" s="50">
        <v>0</v>
      </c>
      <c r="D179" s="109"/>
      <c r="E179" s="109"/>
      <c r="F179">
        <v>0</v>
      </c>
      <c r="L179" s="110">
        <f t="shared" si="5"/>
        <v>0</v>
      </c>
      <c r="M179" s="111">
        <f>_xlfn.IFNA(_xlfn.XLOOKUP(A179,'00_SKU_Master'!$B$2:$B$378,'00_SKU_Master'!$C$2:$C$378,0),"")</f>
        <v>61050</v>
      </c>
      <c r="N179" s="112" t="e">
        <f>_xlfn.IFNA(_xlfn.XLOOKUP(A179,'00_SKU_Master'!$B$2:$B$378,'00_SKU_Master'!$F$2:$F$378,0)*F179/_xlfn.XLOOKUP(A179,'00_SKU_Master'!$B$2:$B$378,'00_SKU_Master'!$O:$O,0),"")</f>
        <v>#VALUE!</v>
      </c>
      <c r="O179" s="112" t="e">
        <f ca="1">_xludf.IFNA(_xlfn.XLOOKUP($A181,'00_SKU_Master'!$B$2:$B$378,'00_SKU_Master'!$F$2:$F$378,0)*G181/_xlfn.XLOOKUP($A181,'00_SKU_Master'!$B$2:$B$378,'00_SKU_Master'!$O:$O,0),"")</f>
        <v>#NAME?</v>
      </c>
      <c r="P179" s="112" t="e">
        <f ca="1">_xludf.IFNA(_xlfn.XLOOKUP($A181,'00_SKU_Master'!$B$2:$B$378,'00_SKU_Master'!$F$2:$F$378,0)*H181/_xlfn.XLOOKUP($A181,'00_SKU_Master'!$B$2:$B$378,'00_SKU_Master'!$O:$O,0),"")</f>
        <v>#NAME?</v>
      </c>
      <c r="Q179" s="112" t="e">
        <f ca="1">_xludf.IFNA(_xlfn.XLOOKUP($A181,'00_SKU_Master'!$B$2:$B$378,'00_SKU_Master'!$F$2:$F$378,0)*I181/_xlfn.XLOOKUP($A181,'00_SKU_Master'!$B$2:$B$378,'00_SKU_Master'!$O:$O,0),"")</f>
        <v>#NAME?</v>
      </c>
      <c r="R179" s="112" t="e">
        <f ca="1">_xludf.IFNA(_xlfn.XLOOKUP($A181,'00_SKU_Master'!$B$2:$B$378,'00_SKU_Master'!$F$2:$F$378,0)*J181/_xlfn.XLOOKUP($A181,'00_SKU_Master'!$B$2:$B$378,'00_SKU_Master'!$O:$O,0),"")</f>
        <v>#NAME?</v>
      </c>
      <c r="S179" s="112" t="e">
        <f ca="1">_xludf.IFNA(_xlfn.XLOOKUP($A181,'00_SKU_Master'!$B$2:$B$378,'00_SKU_Master'!$F$2:$F$378,0)*K181/_xlfn.XLOOKUP($A181,'00_SKU_Master'!$B$2:$B$378,'00_SKU_Master'!$O:$O,0),"")</f>
        <v>#NAME?</v>
      </c>
      <c r="T179" s="113" t="e">
        <f t="shared" si="4"/>
        <v>#VALUE!</v>
      </c>
      <c r="U179" s="114" t="str">
        <f>'05_Daily_Orders'!L179</f>
        <v>LCL</v>
      </c>
    </row>
    <row r="180" spans="1:21">
      <c r="A180" s="108">
        <f>'05_Daily_Orders'!B180</f>
        <v>7814</v>
      </c>
      <c r="B180" s="50">
        <v>0</v>
      </c>
      <c r="C180" s="50">
        <v>0</v>
      </c>
      <c r="D180" s="109"/>
      <c r="E180" s="109"/>
      <c r="F180">
        <v>0</v>
      </c>
      <c r="L180" s="110">
        <f t="shared" si="5"/>
        <v>0</v>
      </c>
      <c r="M180" s="111">
        <f>_xlfn.IFNA(_xlfn.XLOOKUP(A180,'00_SKU_Master'!$B$2:$B$378,'00_SKU_Master'!$C$2:$C$378,0),"")</f>
        <v>61069</v>
      </c>
      <c r="N180" s="112" t="e">
        <f>_xlfn.IFNA(_xlfn.XLOOKUP(A180,'00_SKU_Master'!$B$2:$B$378,'00_SKU_Master'!$F$2:$F$378,0)*F180/_xlfn.XLOOKUP(A180,'00_SKU_Master'!$B$2:$B$378,'00_SKU_Master'!$O:$O,0),"")</f>
        <v>#VALUE!</v>
      </c>
      <c r="O180" s="112" t="e">
        <f ca="1">_xludf.IFNA(_xlfn.XLOOKUP($A182,'00_SKU_Master'!$B$2:$B$378,'00_SKU_Master'!$F$2:$F$378,0)*G182/_xlfn.XLOOKUP($A182,'00_SKU_Master'!$B$2:$B$378,'00_SKU_Master'!$O:$O,0),"")</f>
        <v>#NAME?</v>
      </c>
      <c r="P180" s="112" t="e">
        <f ca="1">_xludf.IFNA(_xlfn.XLOOKUP($A182,'00_SKU_Master'!$B$2:$B$378,'00_SKU_Master'!$F$2:$F$378,0)*H182/_xlfn.XLOOKUP($A182,'00_SKU_Master'!$B$2:$B$378,'00_SKU_Master'!$O:$O,0),"")</f>
        <v>#NAME?</v>
      </c>
      <c r="Q180" s="112" t="e">
        <f ca="1">_xludf.IFNA(_xlfn.XLOOKUP($A182,'00_SKU_Master'!$B$2:$B$378,'00_SKU_Master'!$F$2:$F$378,0)*I182/_xlfn.XLOOKUP($A182,'00_SKU_Master'!$B$2:$B$378,'00_SKU_Master'!$O:$O,0),"")</f>
        <v>#NAME?</v>
      </c>
      <c r="R180" s="112" t="e">
        <f ca="1">_xludf.IFNA(_xlfn.XLOOKUP($A182,'00_SKU_Master'!$B$2:$B$378,'00_SKU_Master'!$F$2:$F$378,0)*J182/_xlfn.XLOOKUP($A182,'00_SKU_Master'!$B$2:$B$378,'00_SKU_Master'!$O:$O,0),"")</f>
        <v>#NAME?</v>
      </c>
      <c r="S180" s="112" t="e">
        <f ca="1">_xludf.IFNA(_xlfn.XLOOKUP($A182,'00_SKU_Master'!$B$2:$B$378,'00_SKU_Master'!$F$2:$F$378,0)*K182/_xlfn.XLOOKUP($A182,'00_SKU_Master'!$B$2:$B$378,'00_SKU_Master'!$O:$O,0),"")</f>
        <v>#NAME?</v>
      </c>
      <c r="T180" s="113" t="e">
        <f t="shared" si="4"/>
        <v>#VALUE!</v>
      </c>
      <c r="U180" s="114" t="str">
        <f>'05_Daily_Orders'!L180</f>
        <v>LCL</v>
      </c>
    </row>
    <row r="181" spans="1:21">
      <c r="A181" s="108">
        <f>'05_Daily_Orders'!B181</f>
        <v>7815</v>
      </c>
      <c r="B181" s="50">
        <v>0</v>
      </c>
      <c r="C181" s="50">
        <v>0</v>
      </c>
      <c r="D181" s="109"/>
      <c r="E181" s="109"/>
      <c r="F181">
        <v>0</v>
      </c>
      <c r="L181" s="110">
        <f t="shared" si="5"/>
        <v>0</v>
      </c>
      <c r="M181" s="111">
        <f>_xlfn.IFNA(_xlfn.XLOOKUP(A181,'00_SKU_Master'!$B$2:$B$378,'00_SKU_Master'!$C$2:$C$378,0),"")</f>
        <v>61054</v>
      </c>
      <c r="N181" s="112" t="e">
        <f>_xlfn.IFNA(_xlfn.XLOOKUP(A181,'00_SKU_Master'!$B$2:$B$378,'00_SKU_Master'!$F$2:$F$378,0)*F181/_xlfn.XLOOKUP(A181,'00_SKU_Master'!$B$2:$B$378,'00_SKU_Master'!$O:$O,0),"")</f>
        <v>#VALUE!</v>
      </c>
      <c r="O181" s="112" t="e">
        <f ca="1">_xludf.IFNA(_xlfn.XLOOKUP($A183,'00_SKU_Master'!$B$2:$B$378,'00_SKU_Master'!$F$2:$F$378,0)*G183/_xlfn.XLOOKUP($A183,'00_SKU_Master'!$B$2:$B$378,'00_SKU_Master'!$O:$O,0),"")</f>
        <v>#NAME?</v>
      </c>
      <c r="P181" s="112" t="e">
        <f ca="1">_xludf.IFNA(_xlfn.XLOOKUP($A183,'00_SKU_Master'!$B$2:$B$378,'00_SKU_Master'!$F$2:$F$378,0)*H183/_xlfn.XLOOKUP($A183,'00_SKU_Master'!$B$2:$B$378,'00_SKU_Master'!$O:$O,0),"")</f>
        <v>#NAME?</v>
      </c>
      <c r="Q181" s="112" t="e">
        <f ca="1">_xludf.IFNA(_xlfn.XLOOKUP($A183,'00_SKU_Master'!$B$2:$B$378,'00_SKU_Master'!$F$2:$F$378,0)*I183/_xlfn.XLOOKUP($A183,'00_SKU_Master'!$B$2:$B$378,'00_SKU_Master'!$O:$O,0),"")</f>
        <v>#NAME?</v>
      </c>
      <c r="R181" s="112" t="e">
        <f ca="1">_xludf.IFNA(_xlfn.XLOOKUP($A183,'00_SKU_Master'!$B$2:$B$378,'00_SKU_Master'!$F$2:$F$378,0)*J183/_xlfn.XLOOKUP($A183,'00_SKU_Master'!$B$2:$B$378,'00_SKU_Master'!$O:$O,0),"")</f>
        <v>#NAME?</v>
      </c>
      <c r="S181" s="112" t="e">
        <f ca="1">_xludf.IFNA(_xlfn.XLOOKUP($A183,'00_SKU_Master'!$B$2:$B$378,'00_SKU_Master'!$F$2:$F$378,0)*K183/_xlfn.XLOOKUP($A183,'00_SKU_Master'!$B$2:$B$378,'00_SKU_Master'!$O:$O,0),"")</f>
        <v>#NAME?</v>
      </c>
      <c r="T181" s="113" t="e">
        <f t="shared" si="4"/>
        <v>#VALUE!</v>
      </c>
      <c r="U181" s="114" t="str">
        <f>'05_Daily_Orders'!L181</f>
        <v>LCL</v>
      </c>
    </row>
    <row r="182" spans="1:21">
      <c r="A182" s="108">
        <f>'05_Daily_Orders'!B182</f>
        <v>7816</v>
      </c>
      <c r="B182" s="50">
        <v>0</v>
      </c>
      <c r="C182" s="50">
        <v>0</v>
      </c>
      <c r="D182" s="109"/>
      <c r="E182" s="109"/>
      <c r="F182">
        <v>0</v>
      </c>
      <c r="L182" s="110">
        <f t="shared" si="5"/>
        <v>0</v>
      </c>
      <c r="M182" s="111">
        <f>_xlfn.IFNA(_xlfn.XLOOKUP(A182,'00_SKU_Master'!$B$2:$B$378,'00_SKU_Master'!$C$2:$C$378,0),"")</f>
        <v>61086</v>
      </c>
      <c r="N182" s="112" t="e">
        <f>_xlfn.IFNA(_xlfn.XLOOKUP(A182,'00_SKU_Master'!$B$2:$B$378,'00_SKU_Master'!$F$2:$F$378,0)*F182/_xlfn.XLOOKUP(A182,'00_SKU_Master'!$B$2:$B$378,'00_SKU_Master'!$O:$O,0),"")</f>
        <v>#VALUE!</v>
      </c>
      <c r="O182" s="112" t="e">
        <f ca="1">_xludf.IFNA(_xlfn.XLOOKUP($A184,'00_SKU_Master'!$B$2:$B$378,'00_SKU_Master'!$F$2:$F$378,0)*G184/_xlfn.XLOOKUP($A184,'00_SKU_Master'!$B$2:$B$378,'00_SKU_Master'!$O:$O,0),"")</f>
        <v>#NAME?</v>
      </c>
      <c r="P182" s="112" t="e">
        <f ca="1">_xludf.IFNA(_xlfn.XLOOKUP($A184,'00_SKU_Master'!$B$2:$B$378,'00_SKU_Master'!$F$2:$F$378,0)*H184/_xlfn.XLOOKUP($A184,'00_SKU_Master'!$B$2:$B$378,'00_SKU_Master'!$O:$O,0),"")</f>
        <v>#NAME?</v>
      </c>
      <c r="Q182" s="112" t="e">
        <f ca="1">_xludf.IFNA(_xlfn.XLOOKUP($A184,'00_SKU_Master'!$B$2:$B$378,'00_SKU_Master'!$F$2:$F$378,0)*I184/_xlfn.XLOOKUP($A184,'00_SKU_Master'!$B$2:$B$378,'00_SKU_Master'!$O:$O,0),"")</f>
        <v>#NAME?</v>
      </c>
      <c r="R182" s="112" t="e">
        <f ca="1">_xludf.IFNA(_xlfn.XLOOKUP($A184,'00_SKU_Master'!$B$2:$B$378,'00_SKU_Master'!$F$2:$F$378,0)*J184/_xlfn.XLOOKUP($A184,'00_SKU_Master'!$B$2:$B$378,'00_SKU_Master'!$O:$O,0),"")</f>
        <v>#NAME?</v>
      </c>
      <c r="S182" s="112" t="e">
        <f ca="1">_xludf.IFNA(_xlfn.XLOOKUP($A184,'00_SKU_Master'!$B$2:$B$378,'00_SKU_Master'!$F$2:$F$378,0)*K184/_xlfn.XLOOKUP($A184,'00_SKU_Master'!$B$2:$B$378,'00_SKU_Master'!$O:$O,0),"")</f>
        <v>#NAME?</v>
      </c>
      <c r="T182" s="113" t="e">
        <f t="shared" si="4"/>
        <v>#VALUE!</v>
      </c>
      <c r="U182" s="114" t="str">
        <f>'05_Daily_Orders'!L182</f>
        <v>LCL</v>
      </c>
    </row>
    <row r="183" spans="1:21">
      <c r="A183" s="108">
        <f>'05_Daily_Orders'!B183</f>
        <v>7817</v>
      </c>
      <c r="B183" s="50">
        <v>0</v>
      </c>
      <c r="C183" s="50">
        <v>0</v>
      </c>
      <c r="D183" s="109"/>
      <c r="E183" s="109"/>
      <c r="F183">
        <v>0</v>
      </c>
      <c r="L183" s="110">
        <f t="shared" si="5"/>
        <v>0</v>
      </c>
      <c r="M183" s="111">
        <f>_xlfn.IFNA(_xlfn.XLOOKUP(A183,'00_SKU_Master'!$B$2:$B$378,'00_SKU_Master'!$C$2:$C$378,0),"")</f>
        <v>61077</v>
      </c>
      <c r="N183" s="112" t="e">
        <f>_xlfn.IFNA(_xlfn.XLOOKUP(A183,'00_SKU_Master'!$B$2:$B$378,'00_SKU_Master'!$F$2:$F$378,0)*F183/_xlfn.XLOOKUP(A183,'00_SKU_Master'!$B$2:$B$378,'00_SKU_Master'!$O:$O,0),"")</f>
        <v>#VALUE!</v>
      </c>
      <c r="O183" s="112" t="e">
        <f ca="1">_xludf.IFNA(_xlfn.XLOOKUP($A185,'00_SKU_Master'!$B$2:$B$378,'00_SKU_Master'!$F$2:$F$378,0)*G185/_xlfn.XLOOKUP($A185,'00_SKU_Master'!$B$2:$B$378,'00_SKU_Master'!$O:$O,0),"")</f>
        <v>#NAME?</v>
      </c>
      <c r="P183" s="112" t="e">
        <f ca="1">_xludf.IFNA(_xlfn.XLOOKUP($A185,'00_SKU_Master'!$B$2:$B$378,'00_SKU_Master'!$F$2:$F$378,0)*H185/_xlfn.XLOOKUP($A185,'00_SKU_Master'!$B$2:$B$378,'00_SKU_Master'!$O:$O,0),"")</f>
        <v>#NAME?</v>
      </c>
      <c r="Q183" s="112" t="e">
        <f ca="1">_xludf.IFNA(_xlfn.XLOOKUP($A185,'00_SKU_Master'!$B$2:$B$378,'00_SKU_Master'!$F$2:$F$378,0)*I185/_xlfn.XLOOKUP($A185,'00_SKU_Master'!$B$2:$B$378,'00_SKU_Master'!$O:$O,0),"")</f>
        <v>#NAME?</v>
      </c>
      <c r="R183" s="112" t="e">
        <f ca="1">_xludf.IFNA(_xlfn.XLOOKUP($A185,'00_SKU_Master'!$B$2:$B$378,'00_SKU_Master'!$F$2:$F$378,0)*J185/_xlfn.XLOOKUP($A185,'00_SKU_Master'!$B$2:$B$378,'00_SKU_Master'!$O:$O,0),"")</f>
        <v>#NAME?</v>
      </c>
      <c r="S183" s="112" t="e">
        <f ca="1">_xludf.IFNA(_xlfn.XLOOKUP($A185,'00_SKU_Master'!$B$2:$B$378,'00_SKU_Master'!$F$2:$F$378,0)*K185/_xlfn.XLOOKUP($A185,'00_SKU_Master'!$B$2:$B$378,'00_SKU_Master'!$O:$O,0),"")</f>
        <v>#NAME?</v>
      </c>
      <c r="T183" s="113" t="e">
        <f t="shared" si="4"/>
        <v>#VALUE!</v>
      </c>
      <c r="U183" s="114" t="str">
        <f>'05_Daily_Orders'!L183</f>
        <v>LCL</v>
      </c>
    </row>
    <row r="184" spans="1:21">
      <c r="A184" s="108">
        <f>'05_Daily_Orders'!B184</f>
        <v>7818</v>
      </c>
      <c r="B184" s="50">
        <v>0</v>
      </c>
      <c r="C184" s="50">
        <v>0</v>
      </c>
      <c r="D184" s="109"/>
      <c r="E184" s="109"/>
      <c r="F184">
        <v>0</v>
      </c>
      <c r="L184" s="110">
        <f t="shared" si="5"/>
        <v>0</v>
      </c>
      <c r="M184" s="111" t="str">
        <f>_xlfn.IFNA(_xlfn.XLOOKUP(A184,'00_SKU_Master'!$B$2:$B$378,'00_SKU_Master'!$C$2:$C$378,0),"")</f>
        <v>61072F</v>
      </c>
      <c r="N184" s="112" t="e">
        <f>_xlfn.IFNA(_xlfn.XLOOKUP(A184,'00_SKU_Master'!$B$2:$B$378,'00_SKU_Master'!$F$2:$F$378,0)*F184/_xlfn.XLOOKUP(A184,'00_SKU_Master'!$B$2:$B$378,'00_SKU_Master'!$O:$O,0),"")</f>
        <v>#VALUE!</v>
      </c>
      <c r="O184" s="112" t="e">
        <f ca="1">_xludf.IFNA(_xlfn.XLOOKUP($A186,'00_SKU_Master'!$B$2:$B$378,'00_SKU_Master'!$F$2:$F$378,0)*G186/_xlfn.XLOOKUP($A186,'00_SKU_Master'!$B$2:$B$378,'00_SKU_Master'!$O:$O,0),"")</f>
        <v>#NAME?</v>
      </c>
      <c r="P184" s="112" t="e">
        <f ca="1">_xludf.IFNA(_xlfn.XLOOKUP($A186,'00_SKU_Master'!$B$2:$B$378,'00_SKU_Master'!$F$2:$F$378,0)*H186/_xlfn.XLOOKUP($A186,'00_SKU_Master'!$B$2:$B$378,'00_SKU_Master'!$O:$O,0),"")</f>
        <v>#NAME?</v>
      </c>
      <c r="Q184" s="112" t="e">
        <f ca="1">_xludf.IFNA(_xlfn.XLOOKUP($A186,'00_SKU_Master'!$B$2:$B$378,'00_SKU_Master'!$F$2:$F$378,0)*I186/_xlfn.XLOOKUP($A186,'00_SKU_Master'!$B$2:$B$378,'00_SKU_Master'!$O:$O,0),"")</f>
        <v>#NAME?</v>
      </c>
      <c r="R184" s="112" t="e">
        <f ca="1">_xludf.IFNA(_xlfn.XLOOKUP($A186,'00_SKU_Master'!$B$2:$B$378,'00_SKU_Master'!$F$2:$F$378,0)*J186/_xlfn.XLOOKUP($A186,'00_SKU_Master'!$B$2:$B$378,'00_SKU_Master'!$O:$O,0),"")</f>
        <v>#NAME?</v>
      </c>
      <c r="S184" s="112" t="e">
        <f ca="1">_xludf.IFNA(_xlfn.XLOOKUP($A186,'00_SKU_Master'!$B$2:$B$378,'00_SKU_Master'!$F$2:$F$378,0)*K186/_xlfn.XLOOKUP($A186,'00_SKU_Master'!$B$2:$B$378,'00_SKU_Master'!$O:$O,0),"")</f>
        <v>#NAME?</v>
      </c>
      <c r="T184" s="113" t="e">
        <f t="shared" si="4"/>
        <v>#VALUE!</v>
      </c>
      <c r="U184" s="114" t="str">
        <f>'05_Daily_Orders'!L184</f>
        <v>LCL</v>
      </c>
    </row>
    <row r="185" spans="1:21">
      <c r="A185" s="108">
        <f>'05_Daily_Orders'!B185</f>
        <v>7819</v>
      </c>
      <c r="B185" s="50">
        <v>0</v>
      </c>
      <c r="C185" s="50">
        <v>0</v>
      </c>
      <c r="D185" s="109"/>
      <c r="E185" s="109"/>
      <c r="F185">
        <v>0</v>
      </c>
      <c r="L185" s="110">
        <f t="shared" si="5"/>
        <v>0</v>
      </c>
      <c r="M185" s="111" t="str">
        <f>_xlfn.IFNA(_xlfn.XLOOKUP(A185,'00_SKU_Master'!$B$2:$B$378,'00_SKU_Master'!$C$2:$C$378,0),"")</f>
        <v>61014F</v>
      </c>
      <c r="N185" s="112" t="e">
        <f>_xlfn.IFNA(_xlfn.XLOOKUP(A185,'00_SKU_Master'!$B$2:$B$378,'00_SKU_Master'!$F$2:$F$378,0)*F185/_xlfn.XLOOKUP(A185,'00_SKU_Master'!$B$2:$B$378,'00_SKU_Master'!$O:$O,0),"")</f>
        <v>#VALUE!</v>
      </c>
      <c r="O185" s="112" t="e">
        <f ca="1">_xludf.IFNA(_xlfn.XLOOKUP($A187,'00_SKU_Master'!$B$2:$B$378,'00_SKU_Master'!$F$2:$F$378,0)*G187/_xlfn.XLOOKUP($A187,'00_SKU_Master'!$B$2:$B$378,'00_SKU_Master'!$O:$O,0),"")</f>
        <v>#NAME?</v>
      </c>
      <c r="P185" s="112" t="e">
        <f ca="1">_xludf.IFNA(_xlfn.XLOOKUP($A187,'00_SKU_Master'!$B$2:$B$378,'00_SKU_Master'!$F$2:$F$378,0)*H187/_xlfn.XLOOKUP($A187,'00_SKU_Master'!$B$2:$B$378,'00_SKU_Master'!$O:$O,0),"")</f>
        <v>#NAME?</v>
      </c>
      <c r="Q185" s="112" t="e">
        <f ca="1">_xludf.IFNA(_xlfn.XLOOKUP($A187,'00_SKU_Master'!$B$2:$B$378,'00_SKU_Master'!$F$2:$F$378,0)*I187/_xlfn.XLOOKUP($A187,'00_SKU_Master'!$B$2:$B$378,'00_SKU_Master'!$O:$O,0),"")</f>
        <v>#NAME?</v>
      </c>
      <c r="R185" s="112" t="e">
        <f ca="1">_xludf.IFNA(_xlfn.XLOOKUP($A187,'00_SKU_Master'!$B$2:$B$378,'00_SKU_Master'!$F$2:$F$378,0)*J187/_xlfn.XLOOKUP($A187,'00_SKU_Master'!$B$2:$B$378,'00_SKU_Master'!$O:$O,0),"")</f>
        <v>#NAME?</v>
      </c>
      <c r="S185" s="112" t="e">
        <f ca="1">_xludf.IFNA(_xlfn.XLOOKUP($A187,'00_SKU_Master'!$B$2:$B$378,'00_SKU_Master'!$F$2:$F$378,0)*K187/_xlfn.XLOOKUP($A187,'00_SKU_Master'!$B$2:$B$378,'00_SKU_Master'!$O:$O,0),"")</f>
        <v>#NAME?</v>
      </c>
      <c r="T185" s="113" t="e">
        <f t="shared" si="4"/>
        <v>#VALUE!</v>
      </c>
      <c r="U185" s="114" t="str">
        <f>'05_Daily_Orders'!L185</f>
        <v>LCL</v>
      </c>
    </row>
    <row r="186" spans="1:21">
      <c r="A186" s="108">
        <f>'05_Daily_Orders'!B186</f>
        <v>7821</v>
      </c>
      <c r="B186" s="50">
        <v>0</v>
      </c>
      <c r="C186" s="50">
        <v>0</v>
      </c>
      <c r="D186" s="109"/>
      <c r="E186" s="109"/>
      <c r="F186">
        <v>0</v>
      </c>
      <c r="L186" s="110">
        <f t="shared" si="5"/>
        <v>0</v>
      </c>
      <c r="M186" s="111">
        <f>_xlfn.IFNA(_xlfn.XLOOKUP(A186,'00_SKU_Master'!$B$2:$B$378,'00_SKU_Master'!$C$2:$C$378,0),"")</f>
        <v>61050</v>
      </c>
      <c r="N186" s="112" t="e">
        <f>_xlfn.IFNA(_xlfn.XLOOKUP(A186,'00_SKU_Master'!$B$2:$B$378,'00_SKU_Master'!$F$2:$F$378,0)*F186/_xlfn.XLOOKUP(A186,'00_SKU_Master'!$B$2:$B$378,'00_SKU_Master'!$O:$O,0),"")</f>
        <v>#VALUE!</v>
      </c>
      <c r="O186" s="112" t="e">
        <f ca="1">_xludf.IFNA(_xlfn.XLOOKUP($A188,'00_SKU_Master'!$B$2:$B$378,'00_SKU_Master'!$F$2:$F$378,0)*G188/_xlfn.XLOOKUP($A188,'00_SKU_Master'!$B$2:$B$378,'00_SKU_Master'!$O:$O,0),"")</f>
        <v>#NAME?</v>
      </c>
      <c r="P186" s="112" t="e">
        <f ca="1">_xludf.IFNA(_xlfn.XLOOKUP($A188,'00_SKU_Master'!$B$2:$B$378,'00_SKU_Master'!$F$2:$F$378,0)*H188/_xlfn.XLOOKUP($A188,'00_SKU_Master'!$B$2:$B$378,'00_SKU_Master'!$O:$O,0),"")</f>
        <v>#NAME?</v>
      </c>
      <c r="Q186" s="112" t="e">
        <f ca="1">_xludf.IFNA(_xlfn.XLOOKUP($A188,'00_SKU_Master'!$B$2:$B$378,'00_SKU_Master'!$F$2:$F$378,0)*I188/_xlfn.XLOOKUP($A188,'00_SKU_Master'!$B$2:$B$378,'00_SKU_Master'!$O:$O,0),"")</f>
        <v>#NAME?</v>
      </c>
      <c r="R186" s="112" t="e">
        <f ca="1">_xludf.IFNA(_xlfn.XLOOKUP($A188,'00_SKU_Master'!$B$2:$B$378,'00_SKU_Master'!$F$2:$F$378,0)*J188/_xlfn.XLOOKUP($A188,'00_SKU_Master'!$B$2:$B$378,'00_SKU_Master'!$O:$O,0),"")</f>
        <v>#NAME?</v>
      </c>
      <c r="S186" s="112" t="e">
        <f ca="1">_xludf.IFNA(_xlfn.XLOOKUP($A188,'00_SKU_Master'!$B$2:$B$378,'00_SKU_Master'!$F$2:$F$378,0)*K188/_xlfn.XLOOKUP($A188,'00_SKU_Master'!$B$2:$B$378,'00_SKU_Master'!$O:$O,0),"")</f>
        <v>#NAME?</v>
      </c>
      <c r="T186" s="113" t="e">
        <f t="shared" si="4"/>
        <v>#VALUE!</v>
      </c>
      <c r="U186" s="114" t="str">
        <f>'05_Daily_Orders'!L186</f>
        <v>LCL</v>
      </c>
    </row>
    <row r="187" spans="1:21">
      <c r="A187" s="108">
        <f>'05_Daily_Orders'!B187</f>
        <v>7823</v>
      </c>
      <c r="B187" s="50">
        <v>0</v>
      </c>
      <c r="C187" s="50">
        <v>201</v>
      </c>
      <c r="D187" s="109"/>
      <c r="E187" s="109"/>
      <c r="F187">
        <v>73</v>
      </c>
      <c r="L187" s="110">
        <f t="shared" si="5"/>
        <v>0</v>
      </c>
      <c r="M187" s="111">
        <f>_xlfn.IFNA(_xlfn.XLOOKUP(A187,'00_SKU_Master'!$B$2:$B$378,'00_SKU_Master'!$C$2:$C$378,0),"")</f>
        <v>61077</v>
      </c>
      <c r="N187" s="112" t="e">
        <f>_xlfn.IFNA(_xlfn.XLOOKUP(A187,'00_SKU_Master'!$B$2:$B$378,'00_SKU_Master'!$F$2:$F$378,0)*F187/_xlfn.XLOOKUP(A187,'00_SKU_Master'!$B$2:$B$378,'00_SKU_Master'!$O:$O,0),"")</f>
        <v>#VALUE!</v>
      </c>
      <c r="O187" s="112" t="e">
        <f ca="1">_xludf.IFNA(_xlfn.XLOOKUP($A189,'00_SKU_Master'!$B$2:$B$378,'00_SKU_Master'!$F$2:$F$378,0)*G189/_xlfn.XLOOKUP($A189,'00_SKU_Master'!$B$2:$B$378,'00_SKU_Master'!$O:$O,0),"")</f>
        <v>#NAME?</v>
      </c>
      <c r="P187" s="112" t="e">
        <f ca="1">_xludf.IFNA(_xlfn.XLOOKUP($A189,'00_SKU_Master'!$B$2:$B$378,'00_SKU_Master'!$F$2:$F$378,0)*H189/_xlfn.XLOOKUP($A189,'00_SKU_Master'!$B$2:$B$378,'00_SKU_Master'!$O:$O,0),"")</f>
        <v>#NAME?</v>
      </c>
      <c r="Q187" s="112" t="e">
        <f ca="1">_xludf.IFNA(_xlfn.XLOOKUP($A189,'00_SKU_Master'!$B$2:$B$378,'00_SKU_Master'!$F$2:$F$378,0)*I189/_xlfn.XLOOKUP($A189,'00_SKU_Master'!$B$2:$B$378,'00_SKU_Master'!$O:$O,0),"")</f>
        <v>#NAME?</v>
      </c>
      <c r="R187" s="112" t="e">
        <f ca="1">_xludf.IFNA(_xlfn.XLOOKUP($A189,'00_SKU_Master'!$B$2:$B$378,'00_SKU_Master'!$F$2:$F$378,0)*J189/_xlfn.XLOOKUP($A189,'00_SKU_Master'!$B$2:$B$378,'00_SKU_Master'!$O:$O,0),"")</f>
        <v>#NAME?</v>
      </c>
      <c r="S187" s="112" t="e">
        <f ca="1">_xludf.IFNA(_xlfn.XLOOKUP($A189,'00_SKU_Master'!$B$2:$B$378,'00_SKU_Master'!$F$2:$F$378,0)*K189/_xlfn.XLOOKUP($A189,'00_SKU_Master'!$B$2:$B$378,'00_SKU_Master'!$O:$O,0),"")</f>
        <v>#NAME?</v>
      </c>
      <c r="T187" s="113" t="e">
        <f t="shared" si="4"/>
        <v>#VALUE!</v>
      </c>
      <c r="U187" s="114" t="str">
        <f>'05_Daily_Orders'!L187</f>
        <v>LCL</v>
      </c>
    </row>
    <row r="188" spans="1:21">
      <c r="A188" s="108">
        <f>'05_Daily_Orders'!B188</f>
        <v>7824</v>
      </c>
      <c r="B188" s="50">
        <v>0</v>
      </c>
      <c r="C188" s="50">
        <v>158</v>
      </c>
      <c r="D188" s="109"/>
      <c r="E188" s="109"/>
      <c r="F188">
        <v>56</v>
      </c>
      <c r="L188" s="110">
        <f t="shared" si="5"/>
        <v>0</v>
      </c>
      <c r="M188" s="111" t="str">
        <f>_xlfn.IFNA(_xlfn.XLOOKUP(A188,'00_SKU_Master'!$B$2:$B$378,'00_SKU_Master'!$C$2:$C$378,0),"")</f>
        <v>61072F</v>
      </c>
      <c r="N188" s="112" t="e">
        <f>_xlfn.IFNA(_xlfn.XLOOKUP(A188,'00_SKU_Master'!$B$2:$B$378,'00_SKU_Master'!$F$2:$F$378,0)*F188/_xlfn.XLOOKUP(A188,'00_SKU_Master'!$B$2:$B$378,'00_SKU_Master'!$O:$O,0),"")</f>
        <v>#VALUE!</v>
      </c>
      <c r="O188" s="112" t="e">
        <f ca="1">_xludf.IFNA(_xlfn.XLOOKUP($A190,'00_SKU_Master'!$B$2:$B$378,'00_SKU_Master'!$F$2:$F$378,0)*G190/_xlfn.XLOOKUP($A190,'00_SKU_Master'!$B$2:$B$378,'00_SKU_Master'!$O:$O,0),"")</f>
        <v>#NAME?</v>
      </c>
      <c r="P188" s="112" t="e">
        <f ca="1">_xludf.IFNA(_xlfn.XLOOKUP($A190,'00_SKU_Master'!$B$2:$B$378,'00_SKU_Master'!$F$2:$F$378,0)*H190/_xlfn.XLOOKUP($A190,'00_SKU_Master'!$B$2:$B$378,'00_SKU_Master'!$O:$O,0),"")</f>
        <v>#NAME?</v>
      </c>
      <c r="Q188" s="112" t="e">
        <f ca="1">_xludf.IFNA(_xlfn.XLOOKUP($A190,'00_SKU_Master'!$B$2:$B$378,'00_SKU_Master'!$F$2:$F$378,0)*I190/_xlfn.XLOOKUP($A190,'00_SKU_Master'!$B$2:$B$378,'00_SKU_Master'!$O:$O,0),"")</f>
        <v>#NAME?</v>
      </c>
      <c r="R188" s="112" t="e">
        <f ca="1">_xludf.IFNA(_xlfn.XLOOKUP($A190,'00_SKU_Master'!$B$2:$B$378,'00_SKU_Master'!$F$2:$F$378,0)*J190/_xlfn.XLOOKUP($A190,'00_SKU_Master'!$B$2:$B$378,'00_SKU_Master'!$O:$O,0),"")</f>
        <v>#NAME?</v>
      </c>
      <c r="S188" s="112" t="e">
        <f ca="1">_xludf.IFNA(_xlfn.XLOOKUP($A190,'00_SKU_Master'!$B$2:$B$378,'00_SKU_Master'!$F$2:$F$378,0)*K190/_xlfn.XLOOKUP($A190,'00_SKU_Master'!$B$2:$B$378,'00_SKU_Master'!$O:$O,0),"")</f>
        <v>#NAME?</v>
      </c>
      <c r="T188" s="113" t="e">
        <f t="shared" si="4"/>
        <v>#VALUE!</v>
      </c>
      <c r="U188" s="114" t="str">
        <f>'05_Daily_Orders'!L188</f>
        <v>LCL</v>
      </c>
    </row>
    <row r="189" spans="1:21">
      <c r="A189" s="108">
        <f>'05_Daily_Orders'!B189</f>
        <v>7825</v>
      </c>
      <c r="B189" s="50">
        <v>0</v>
      </c>
      <c r="C189" s="50">
        <v>286</v>
      </c>
      <c r="D189" s="109"/>
      <c r="E189" s="109"/>
      <c r="F189">
        <v>87</v>
      </c>
      <c r="L189" s="110">
        <f t="shared" si="5"/>
        <v>0</v>
      </c>
      <c r="M189" s="111" t="str">
        <f>_xlfn.IFNA(_xlfn.XLOOKUP(A189,'00_SKU_Master'!$B$2:$B$378,'00_SKU_Master'!$C$2:$C$378,0),"")</f>
        <v>61014F</v>
      </c>
      <c r="N189" s="112" t="e">
        <f>_xlfn.IFNA(_xlfn.XLOOKUP(A189,'00_SKU_Master'!$B$2:$B$378,'00_SKU_Master'!$F$2:$F$378,0)*F189/_xlfn.XLOOKUP(A189,'00_SKU_Master'!$B$2:$B$378,'00_SKU_Master'!$O:$O,0),"")</f>
        <v>#VALUE!</v>
      </c>
      <c r="O189" s="112" t="e">
        <f ca="1">_xludf.IFNA(_xlfn.XLOOKUP($A191,'00_SKU_Master'!$B$2:$B$378,'00_SKU_Master'!$F$2:$F$378,0)*G191/_xlfn.XLOOKUP($A191,'00_SKU_Master'!$B$2:$B$378,'00_SKU_Master'!$O:$O,0),"")</f>
        <v>#NAME?</v>
      </c>
      <c r="P189" s="112" t="e">
        <f ca="1">_xludf.IFNA(_xlfn.XLOOKUP($A191,'00_SKU_Master'!$B$2:$B$378,'00_SKU_Master'!$F$2:$F$378,0)*H191/_xlfn.XLOOKUP($A191,'00_SKU_Master'!$B$2:$B$378,'00_SKU_Master'!$O:$O,0),"")</f>
        <v>#NAME?</v>
      </c>
      <c r="Q189" s="112" t="e">
        <f ca="1">_xludf.IFNA(_xlfn.XLOOKUP($A191,'00_SKU_Master'!$B$2:$B$378,'00_SKU_Master'!$F$2:$F$378,0)*I191/_xlfn.XLOOKUP($A191,'00_SKU_Master'!$B$2:$B$378,'00_SKU_Master'!$O:$O,0),"")</f>
        <v>#NAME?</v>
      </c>
      <c r="R189" s="112" t="e">
        <f ca="1">_xludf.IFNA(_xlfn.XLOOKUP($A191,'00_SKU_Master'!$B$2:$B$378,'00_SKU_Master'!$F$2:$F$378,0)*J191/_xlfn.XLOOKUP($A191,'00_SKU_Master'!$B$2:$B$378,'00_SKU_Master'!$O:$O,0),"")</f>
        <v>#NAME?</v>
      </c>
      <c r="S189" s="112" t="e">
        <f ca="1">_xludf.IFNA(_xlfn.XLOOKUP($A191,'00_SKU_Master'!$B$2:$B$378,'00_SKU_Master'!$F$2:$F$378,0)*K191/_xlfn.XLOOKUP($A191,'00_SKU_Master'!$B$2:$B$378,'00_SKU_Master'!$O:$O,0),"")</f>
        <v>#NAME?</v>
      </c>
      <c r="T189" s="113" t="e">
        <f t="shared" si="4"/>
        <v>#VALUE!</v>
      </c>
      <c r="U189" s="114" t="str">
        <f>'05_Daily_Orders'!L189</f>
        <v>LCL</v>
      </c>
    </row>
    <row r="190" spans="1:21">
      <c r="A190" s="108">
        <f>'05_Daily_Orders'!B190</f>
        <v>7826</v>
      </c>
      <c r="B190" s="50">
        <v>0</v>
      </c>
      <c r="C190" s="50">
        <v>851</v>
      </c>
      <c r="D190" s="109"/>
      <c r="E190" s="109"/>
      <c r="F190">
        <v>337</v>
      </c>
      <c r="L190" s="110">
        <f t="shared" si="5"/>
        <v>0</v>
      </c>
      <c r="M190" s="111" t="str">
        <f>_xlfn.IFNA(_xlfn.XLOOKUP(A190,'00_SKU_Master'!$B$2:$B$378,'00_SKU_Master'!$C$2:$C$378,0),"")</f>
        <v>61050F</v>
      </c>
      <c r="N190" s="112" t="e">
        <f>_xlfn.IFNA(_xlfn.XLOOKUP(A190,'00_SKU_Master'!$B$2:$B$378,'00_SKU_Master'!$F$2:$F$378,0)*F190/_xlfn.XLOOKUP(A190,'00_SKU_Master'!$B$2:$B$378,'00_SKU_Master'!$O:$O,0),"")</f>
        <v>#VALUE!</v>
      </c>
      <c r="O190" s="112" t="e">
        <f ca="1">_xludf.IFNA(_xlfn.XLOOKUP($A192,'00_SKU_Master'!$B$2:$B$378,'00_SKU_Master'!$F$2:$F$378,0)*G192/_xlfn.XLOOKUP($A192,'00_SKU_Master'!$B$2:$B$378,'00_SKU_Master'!$O:$O,0),"")</f>
        <v>#NAME?</v>
      </c>
      <c r="P190" s="112" t="e">
        <f ca="1">_xludf.IFNA(_xlfn.XLOOKUP($A192,'00_SKU_Master'!$B$2:$B$378,'00_SKU_Master'!$F$2:$F$378,0)*H192/_xlfn.XLOOKUP($A192,'00_SKU_Master'!$B$2:$B$378,'00_SKU_Master'!$O:$O,0),"")</f>
        <v>#NAME?</v>
      </c>
      <c r="Q190" s="112" t="e">
        <f ca="1">_xludf.IFNA(_xlfn.XLOOKUP($A192,'00_SKU_Master'!$B$2:$B$378,'00_SKU_Master'!$F$2:$F$378,0)*I192/_xlfn.XLOOKUP($A192,'00_SKU_Master'!$B$2:$B$378,'00_SKU_Master'!$O:$O,0),"")</f>
        <v>#NAME?</v>
      </c>
      <c r="R190" s="112" t="e">
        <f ca="1">_xludf.IFNA(_xlfn.XLOOKUP($A192,'00_SKU_Master'!$B$2:$B$378,'00_SKU_Master'!$F$2:$F$378,0)*J192/_xlfn.XLOOKUP($A192,'00_SKU_Master'!$B$2:$B$378,'00_SKU_Master'!$O:$O,0),"")</f>
        <v>#NAME?</v>
      </c>
      <c r="S190" s="112" t="e">
        <f ca="1">_xludf.IFNA(_xlfn.XLOOKUP($A192,'00_SKU_Master'!$B$2:$B$378,'00_SKU_Master'!$F$2:$F$378,0)*K192/_xlfn.XLOOKUP($A192,'00_SKU_Master'!$B$2:$B$378,'00_SKU_Master'!$O:$O,0),"")</f>
        <v>#NAME?</v>
      </c>
      <c r="T190" s="113" t="e">
        <f t="shared" si="4"/>
        <v>#VALUE!</v>
      </c>
      <c r="U190" s="114" t="str">
        <f>'05_Daily_Orders'!L190</f>
        <v>LCL</v>
      </c>
    </row>
    <row r="191" spans="1:21">
      <c r="A191" s="108">
        <f>'05_Daily_Orders'!B191</f>
        <v>7827</v>
      </c>
      <c r="B191" s="50">
        <v>0</v>
      </c>
      <c r="C191" s="50">
        <v>140</v>
      </c>
      <c r="D191" s="109"/>
      <c r="E191" s="109"/>
      <c r="F191">
        <v>81</v>
      </c>
      <c r="L191" s="110">
        <f t="shared" si="5"/>
        <v>0</v>
      </c>
      <c r="M191" s="111">
        <f>_xlfn.IFNA(_xlfn.XLOOKUP(A191,'00_SKU_Master'!$B$2:$B$378,'00_SKU_Master'!$C$2:$C$378,0),"")</f>
        <v>61050</v>
      </c>
      <c r="N191" s="112" t="e">
        <f>_xlfn.IFNA(_xlfn.XLOOKUP(A191,'00_SKU_Master'!$B$2:$B$378,'00_SKU_Master'!$F$2:$F$378,0)*F191/_xlfn.XLOOKUP(A191,'00_SKU_Master'!$B$2:$B$378,'00_SKU_Master'!$O:$O,0),"")</f>
        <v>#VALUE!</v>
      </c>
      <c r="O191" s="112" t="e">
        <f ca="1">_xludf.IFNA(_xlfn.XLOOKUP($A193,'00_SKU_Master'!$B$2:$B$378,'00_SKU_Master'!$F$2:$F$378,0)*G193/_xlfn.XLOOKUP($A193,'00_SKU_Master'!$B$2:$B$378,'00_SKU_Master'!$O:$O,0),"")</f>
        <v>#NAME?</v>
      </c>
      <c r="P191" s="112" t="e">
        <f ca="1">_xludf.IFNA(_xlfn.XLOOKUP($A193,'00_SKU_Master'!$B$2:$B$378,'00_SKU_Master'!$F$2:$F$378,0)*H193/_xlfn.XLOOKUP($A193,'00_SKU_Master'!$B$2:$B$378,'00_SKU_Master'!$O:$O,0),"")</f>
        <v>#NAME?</v>
      </c>
      <c r="Q191" s="112" t="e">
        <f ca="1">_xludf.IFNA(_xlfn.XLOOKUP($A193,'00_SKU_Master'!$B$2:$B$378,'00_SKU_Master'!$F$2:$F$378,0)*I193/_xlfn.XLOOKUP($A193,'00_SKU_Master'!$B$2:$B$378,'00_SKU_Master'!$O:$O,0),"")</f>
        <v>#NAME?</v>
      </c>
      <c r="R191" s="112" t="e">
        <f ca="1">_xludf.IFNA(_xlfn.XLOOKUP($A193,'00_SKU_Master'!$B$2:$B$378,'00_SKU_Master'!$F$2:$F$378,0)*J193/_xlfn.XLOOKUP($A193,'00_SKU_Master'!$B$2:$B$378,'00_SKU_Master'!$O:$O,0),"")</f>
        <v>#NAME?</v>
      </c>
      <c r="S191" s="112" t="e">
        <f ca="1">_xludf.IFNA(_xlfn.XLOOKUP($A193,'00_SKU_Master'!$B$2:$B$378,'00_SKU_Master'!$F$2:$F$378,0)*K193/_xlfn.XLOOKUP($A193,'00_SKU_Master'!$B$2:$B$378,'00_SKU_Master'!$O:$O,0),"")</f>
        <v>#NAME?</v>
      </c>
      <c r="T191" s="113" t="e">
        <f t="shared" si="4"/>
        <v>#VALUE!</v>
      </c>
      <c r="U191" s="114" t="str">
        <f>'05_Daily_Orders'!L191</f>
        <v>LCL</v>
      </c>
    </row>
    <row r="192" spans="1:21">
      <c r="A192" s="108">
        <f>'05_Daily_Orders'!B192</f>
        <v>7828</v>
      </c>
      <c r="B192" s="50">
        <v>0</v>
      </c>
      <c r="C192" s="50">
        <v>0</v>
      </c>
      <c r="D192" s="109"/>
      <c r="E192" s="109"/>
      <c r="F192">
        <v>0</v>
      </c>
      <c r="L192" s="110">
        <f t="shared" si="5"/>
        <v>0</v>
      </c>
      <c r="M192" s="111">
        <f>_xlfn.IFNA(_xlfn.XLOOKUP(A192,'00_SKU_Master'!$B$2:$B$378,'00_SKU_Master'!$C$2:$C$378,0),"")</f>
        <v>61052</v>
      </c>
      <c r="N192" s="112" t="e">
        <f>_xlfn.IFNA(_xlfn.XLOOKUP(A192,'00_SKU_Master'!$B$2:$B$378,'00_SKU_Master'!$F$2:$F$378,0)*F192/_xlfn.XLOOKUP(A192,'00_SKU_Master'!$B$2:$B$378,'00_SKU_Master'!$O:$O,0),"")</f>
        <v>#VALUE!</v>
      </c>
      <c r="O192" s="112" t="e">
        <f ca="1">_xludf.IFNA(_xlfn.XLOOKUP($A194,'00_SKU_Master'!$B$2:$B$378,'00_SKU_Master'!$F$2:$F$378,0)*G194/_xlfn.XLOOKUP($A194,'00_SKU_Master'!$B$2:$B$378,'00_SKU_Master'!$O:$O,0),"")</f>
        <v>#NAME?</v>
      </c>
      <c r="P192" s="112" t="e">
        <f ca="1">_xludf.IFNA(_xlfn.XLOOKUP($A194,'00_SKU_Master'!$B$2:$B$378,'00_SKU_Master'!$F$2:$F$378,0)*H194/_xlfn.XLOOKUP($A194,'00_SKU_Master'!$B$2:$B$378,'00_SKU_Master'!$O:$O,0),"")</f>
        <v>#NAME?</v>
      </c>
      <c r="Q192" s="112" t="e">
        <f ca="1">_xludf.IFNA(_xlfn.XLOOKUP($A194,'00_SKU_Master'!$B$2:$B$378,'00_SKU_Master'!$F$2:$F$378,0)*I194/_xlfn.XLOOKUP($A194,'00_SKU_Master'!$B$2:$B$378,'00_SKU_Master'!$O:$O,0),"")</f>
        <v>#NAME?</v>
      </c>
      <c r="R192" s="112" t="e">
        <f ca="1">_xludf.IFNA(_xlfn.XLOOKUP($A194,'00_SKU_Master'!$B$2:$B$378,'00_SKU_Master'!$F$2:$F$378,0)*J194/_xlfn.XLOOKUP($A194,'00_SKU_Master'!$B$2:$B$378,'00_SKU_Master'!$O:$O,0),"")</f>
        <v>#NAME?</v>
      </c>
      <c r="S192" s="112" t="e">
        <f ca="1">_xludf.IFNA(_xlfn.XLOOKUP($A194,'00_SKU_Master'!$B$2:$B$378,'00_SKU_Master'!$F$2:$F$378,0)*K194/_xlfn.XLOOKUP($A194,'00_SKU_Master'!$B$2:$B$378,'00_SKU_Master'!$O:$O,0),"")</f>
        <v>#NAME?</v>
      </c>
      <c r="T192" s="113" t="e">
        <f t="shared" si="4"/>
        <v>#VALUE!</v>
      </c>
      <c r="U192" s="114" t="str">
        <f>'05_Daily_Orders'!L192</f>
        <v>LCL</v>
      </c>
    </row>
    <row r="193" spans="1:21">
      <c r="A193" s="108">
        <f>'05_Daily_Orders'!B193</f>
        <v>7829</v>
      </c>
      <c r="B193" s="50">
        <v>0</v>
      </c>
      <c r="C193" s="50">
        <v>58</v>
      </c>
      <c r="D193" s="109"/>
      <c r="E193" s="109"/>
      <c r="F193">
        <v>32</v>
      </c>
      <c r="L193" s="110">
        <f t="shared" si="5"/>
        <v>0</v>
      </c>
      <c r="M193" s="111">
        <f>_xlfn.IFNA(_xlfn.XLOOKUP(A193,'00_SKU_Master'!$B$2:$B$378,'00_SKU_Master'!$C$2:$C$378,0),"")</f>
        <v>61054</v>
      </c>
      <c r="N193" s="112" t="e">
        <f>_xlfn.IFNA(_xlfn.XLOOKUP(A193,'00_SKU_Master'!$B$2:$B$378,'00_SKU_Master'!$F$2:$F$378,0)*F193/_xlfn.XLOOKUP(A193,'00_SKU_Master'!$B$2:$B$378,'00_SKU_Master'!$O:$O,0),"")</f>
        <v>#VALUE!</v>
      </c>
      <c r="O193" s="112" t="e">
        <f ca="1">_xludf.IFNA(_xlfn.XLOOKUP($A195,'00_SKU_Master'!$B$2:$B$378,'00_SKU_Master'!$F$2:$F$378,0)*G195/_xlfn.XLOOKUP($A195,'00_SKU_Master'!$B$2:$B$378,'00_SKU_Master'!$O:$O,0),"")</f>
        <v>#NAME?</v>
      </c>
      <c r="P193" s="112" t="e">
        <f ca="1">_xludf.IFNA(_xlfn.XLOOKUP($A195,'00_SKU_Master'!$B$2:$B$378,'00_SKU_Master'!$F$2:$F$378,0)*H195/_xlfn.XLOOKUP($A195,'00_SKU_Master'!$B$2:$B$378,'00_SKU_Master'!$O:$O,0),"")</f>
        <v>#NAME?</v>
      </c>
      <c r="Q193" s="112" t="e">
        <f ca="1">_xludf.IFNA(_xlfn.XLOOKUP($A195,'00_SKU_Master'!$B$2:$B$378,'00_SKU_Master'!$F$2:$F$378,0)*I195/_xlfn.XLOOKUP($A195,'00_SKU_Master'!$B$2:$B$378,'00_SKU_Master'!$O:$O,0),"")</f>
        <v>#NAME?</v>
      </c>
      <c r="R193" s="112" t="e">
        <f ca="1">_xludf.IFNA(_xlfn.XLOOKUP($A195,'00_SKU_Master'!$B$2:$B$378,'00_SKU_Master'!$F$2:$F$378,0)*J195/_xlfn.XLOOKUP($A195,'00_SKU_Master'!$B$2:$B$378,'00_SKU_Master'!$O:$O,0),"")</f>
        <v>#NAME?</v>
      </c>
      <c r="S193" s="112" t="e">
        <f ca="1">_xludf.IFNA(_xlfn.XLOOKUP($A195,'00_SKU_Master'!$B$2:$B$378,'00_SKU_Master'!$F$2:$F$378,0)*K195/_xlfn.XLOOKUP($A195,'00_SKU_Master'!$B$2:$B$378,'00_SKU_Master'!$O:$O,0),"")</f>
        <v>#NAME?</v>
      </c>
      <c r="T193" s="113" t="e">
        <f t="shared" si="4"/>
        <v>#VALUE!</v>
      </c>
      <c r="U193" s="114" t="str">
        <f>'05_Daily_Orders'!L193</f>
        <v>LCL</v>
      </c>
    </row>
    <row r="194" spans="1:21">
      <c r="A194" s="108">
        <f>'05_Daily_Orders'!B194</f>
        <v>7830</v>
      </c>
      <c r="B194" s="50">
        <v>0</v>
      </c>
      <c r="C194" s="50">
        <v>604</v>
      </c>
      <c r="D194" s="109"/>
      <c r="E194" s="109"/>
      <c r="F194">
        <v>241</v>
      </c>
      <c r="L194" s="110">
        <f t="shared" si="5"/>
        <v>0</v>
      </c>
      <c r="M194" s="111" t="str">
        <f>_xlfn.IFNA(_xlfn.XLOOKUP(A194,'00_SKU_Master'!$B$2:$B$378,'00_SKU_Master'!$C$2:$C$378,0),"")</f>
        <v>61086F</v>
      </c>
      <c r="N194" s="112" t="e">
        <f>_xlfn.IFNA(_xlfn.XLOOKUP(A194,'00_SKU_Master'!$B$2:$B$378,'00_SKU_Master'!$F$2:$F$378,0)*F194/_xlfn.XLOOKUP(A194,'00_SKU_Master'!$B$2:$B$378,'00_SKU_Master'!$O:$O,0),"")</f>
        <v>#VALUE!</v>
      </c>
      <c r="O194" s="112" t="e">
        <f ca="1">_xludf.IFNA(_xlfn.XLOOKUP($A196,'00_SKU_Master'!$B$2:$B$378,'00_SKU_Master'!$F$2:$F$378,0)*G196/_xlfn.XLOOKUP($A196,'00_SKU_Master'!$B$2:$B$378,'00_SKU_Master'!$O:$O,0),"")</f>
        <v>#NAME?</v>
      </c>
      <c r="P194" s="112" t="e">
        <f ca="1">_xludf.IFNA(_xlfn.XLOOKUP($A196,'00_SKU_Master'!$B$2:$B$378,'00_SKU_Master'!$F$2:$F$378,0)*H196/_xlfn.XLOOKUP($A196,'00_SKU_Master'!$B$2:$B$378,'00_SKU_Master'!$O:$O,0),"")</f>
        <v>#NAME?</v>
      </c>
      <c r="Q194" s="112" t="e">
        <f ca="1">_xludf.IFNA(_xlfn.XLOOKUP($A196,'00_SKU_Master'!$B$2:$B$378,'00_SKU_Master'!$F$2:$F$378,0)*I196/_xlfn.XLOOKUP($A196,'00_SKU_Master'!$B$2:$B$378,'00_SKU_Master'!$O:$O,0),"")</f>
        <v>#NAME?</v>
      </c>
      <c r="R194" s="112" t="e">
        <f ca="1">_xludf.IFNA(_xlfn.XLOOKUP($A196,'00_SKU_Master'!$B$2:$B$378,'00_SKU_Master'!$F$2:$F$378,0)*J196/_xlfn.XLOOKUP($A196,'00_SKU_Master'!$B$2:$B$378,'00_SKU_Master'!$O:$O,0),"")</f>
        <v>#NAME?</v>
      </c>
      <c r="S194" s="112" t="e">
        <f ca="1">_xludf.IFNA(_xlfn.XLOOKUP($A196,'00_SKU_Master'!$B$2:$B$378,'00_SKU_Master'!$F$2:$F$378,0)*K196/_xlfn.XLOOKUP($A196,'00_SKU_Master'!$B$2:$B$378,'00_SKU_Master'!$O:$O,0),"")</f>
        <v>#NAME?</v>
      </c>
      <c r="T194" s="113" t="e">
        <f t="shared" ref="T194:T257" si="6">SUM(N196:S196)</f>
        <v>#VALUE!</v>
      </c>
      <c r="U194" s="114" t="str">
        <f>'05_Daily_Orders'!L194</f>
        <v>LCL</v>
      </c>
    </row>
    <row r="195" spans="1:21">
      <c r="A195" s="108">
        <f>'05_Daily_Orders'!B195</f>
        <v>7831</v>
      </c>
      <c r="B195" s="50">
        <v>0</v>
      </c>
      <c r="C195" s="50">
        <v>734</v>
      </c>
      <c r="D195" s="109"/>
      <c r="E195" s="109"/>
      <c r="F195">
        <v>203</v>
      </c>
      <c r="L195" s="110">
        <f t="shared" ref="L195:L258" si="7">IF($E$1="n",0,(SUM(F195:K195)-B195))</f>
        <v>0</v>
      </c>
      <c r="M195" s="111" t="str">
        <f>_xlfn.IFNA(_xlfn.XLOOKUP(A195,'00_SKU_Master'!$B$2:$B$378,'00_SKU_Master'!$C$2:$C$378,0),"")</f>
        <v>61050F</v>
      </c>
      <c r="N195" s="112" t="e">
        <f>_xlfn.IFNA(_xlfn.XLOOKUP(A195,'00_SKU_Master'!$B$2:$B$378,'00_SKU_Master'!$F$2:$F$378,0)*F195/_xlfn.XLOOKUP(A195,'00_SKU_Master'!$B$2:$B$378,'00_SKU_Master'!$O:$O,0),"")</f>
        <v>#VALUE!</v>
      </c>
      <c r="O195" s="112" t="e">
        <f ca="1">_xludf.IFNA(_xlfn.XLOOKUP($A197,'00_SKU_Master'!$B$2:$B$378,'00_SKU_Master'!$F$2:$F$378,0)*G197/_xlfn.XLOOKUP($A197,'00_SKU_Master'!$B$2:$B$378,'00_SKU_Master'!$O:$O,0),"")</f>
        <v>#NAME?</v>
      </c>
      <c r="P195" s="112" t="e">
        <f ca="1">_xludf.IFNA(_xlfn.XLOOKUP($A197,'00_SKU_Master'!$B$2:$B$378,'00_SKU_Master'!$F$2:$F$378,0)*H197/_xlfn.XLOOKUP($A197,'00_SKU_Master'!$B$2:$B$378,'00_SKU_Master'!$O:$O,0),"")</f>
        <v>#NAME?</v>
      </c>
      <c r="Q195" s="112" t="e">
        <f ca="1">_xludf.IFNA(_xlfn.XLOOKUP($A197,'00_SKU_Master'!$B$2:$B$378,'00_SKU_Master'!$F$2:$F$378,0)*I197/_xlfn.XLOOKUP($A197,'00_SKU_Master'!$B$2:$B$378,'00_SKU_Master'!$O:$O,0),"")</f>
        <v>#NAME?</v>
      </c>
      <c r="R195" s="112" t="e">
        <f ca="1">_xludf.IFNA(_xlfn.XLOOKUP($A197,'00_SKU_Master'!$B$2:$B$378,'00_SKU_Master'!$F$2:$F$378,0)*J197/_xlfn.XLOOKUP($A197,'00_SKU_Master'!$B$2:$B$378,'00_SKU_Master'!$O:$O,0),"")</f>
        <v>#NAME?</v>
      </c>
      <c r="S195" s="112" t="e">
        <f ca="1">_xludf.IFNA(_xlfn.XLOOKUP($A197,'00_SKU_Master'!$B$2:$B$378,'00_SKU_Master'!$F$2:$F$378,0)*K197/_xlfn.XLOOKUP($A197,'00_SKU_Master'!$B$2:$B$378,'00_SKU_Master'!$O:$O,0),"")</f>
        <v>#NAME?</v>
      </c>
      <c r="T195" s="113" t="e">
        <f t="shared" si="6"/>
        <v>#VALUE!</v>
      </c>
      <c r="U195" s="114" t="str">
        <f>'05_Daily_Orders'!L195</f>
        <v>LCL</v>
      </c>
    </row>
    <row r="196" spans="1:21">
      <c r="A196" s="108">
        <f>'05_Daily_Orders'!B196</f>
        <v>7833</v>
      </c>
      <c r="B196" s="50">
        <v>0</v>
      </c>
      <c r="C196" s="50">
        <v>0</v>
      </c>
      <c r="D196" s="109"/>
      <c r="E196" s="109"/>
      <c r="F196">
        <v>0</v>
      </c>
      <c r="L196" s="110">
        <f t="shared" si="7"/>
        <v>0</v>
      </c>
      <c r="M196" s="111">
        <f>_xlfn.IFNA(_xlfn.XLOOKUP(A196,'00_SKU_Master'!$B$2:$B$378,'00_SKU_Master'!$C$2:$C$378,0),"")</f>
        <v>203135</v>
      </c>
      <c r="N196" s="112" t="e">
        <f>_xlfn.IFNA(_xlfn.XLOOKUP(A196,'00_SKU_Master'!$B$2:$B$378,'00_SKU_Master'!$F$2:$F$378,0)*F196/_xlfn.XLOOKUP(A196,'00_SKU_Master'!$B$2:$B$378,'00_SKU_Master'!$O:$O,0),"")</f>
        <v>#VALUE!</v>
      </c>
      <c r="O196" s="112" t="e">
        <f ca="1">_xludf.IFNA(_xlfn.XLOOKUP($A198,'00_SKU_Master'!$B$2:$B$378,'00_SKU_Master'!$F$2:$F$378,0)*G198/_xlfn.XLOOKUP($A198,'00_SKU_Master'!$B$2:$B$378,'00_SKU_Master'!$O:$O,0),"")</f>
        <v>#NAME?</v>
      </c>
      <c r="P196" s="112" t="e">
        <f ca="1">_xludf.IFNA(_xlfn.XLOOKUP($A198,'00_SKU_Master'!$B$2:$B$378,'00_SKU_Master'!$F$2:$F$378,0)*H198/_xlfn.XLOOKUP($A198,'00_SKU_Master'!$B$2:$B$378,'00_SKU_Master'!$O:$O,0),"")</f>
        <v>#NAME?</v>
      </c>
      <c r="Q196" s="112" t="e">
        <f ca="1">_xludf.IFNA(_xlfn.XLOOKUP($A198,'00_SKU_Master'!$B$2:$B$378,'00_SKU_Master'!$F$2:$F$378,0)*I198/_xlfn.XLOOKUP($A198,'00_SKU_Master'!$B$2:$B$378,'00_SKU_Master'!$O:$O,0),"")</f>
        <v>#NAME?</v>
      </c>
      <c r="R196" s="112" t="e">
        <f ca="1">_xludf.IFNA(_xlfn.XLOOKUP($A198,'00_SKU_Master'!$B$2:$B$378,'00_SKU_Master'!$F$2:$F$378,0)*J198/_xlfn.XLOOKUP($A198,'00_SKU_Master'!$B$2:$B$378,'00_SKU_Master'!$O:$O,0),"")</f>
        <v>#NAME?</v>
      </c>
      <c r="S196" s="112" t="e">
        <f ca="1">_xludf.IFNA(_xlfn.XLOOKUP($A198,'00_SKU_Master'!$B$2:$B$378,'00_SKU_Master'!$F$2:$F$378,0)*K198/_xlfn.XLOOKUP($A198,'00_SKU_Master'!$B$2:$B$378,'00_SKU_Master'!$O:$O,0),"")</f>
        <v>#NAME?</v>
      </c>
      <c r="T196" s="113" t="e">
        <f t="shared" si="6"/>
        <v>#VALUE!</v>
      </c>
      <c r="U196" s="114" t="str">
        <f>'05_Daily_Orders'!L196</f>
        <v>LCL</v>
      </c>
    </row>
    <row r="197" spans="1:21">
      <c r="A197" s="108">
        <f>'05_Daily_Orders'!B197</f>
        <v>7834</v>
      </c>
      <c r="B197" s="50">
        <v>0</v>
      </c>
      <c r="C197" s="50">
        <v>0</v>
      </c>
      <c r="D197" s="109"/>
      <c r="E197" s="109"/>
      <c r="F197">
        <v>0</v>
      </c>
      <c r="L197" s="110">
        <f t="shared" si="7"/>
        <v>0</v>
      </c>
      <c r="M197" s="111">
        <f>_xlfn.IFNA(_xlfn.XLOOKUP(A197,'00_SKU_Master'!$B$2:$B$378,'00_SKU_Master'!$C$2:$C$378,0),"")</f>
        <v>203135</v>
      </c>
      <c r="N197" s="112" t="e">
        <f>_xlfn.IFNA(_xlfn.XLOOKUP(A197,'00_SKU_Master'!$B$2:$B$378,'00_SKU_Master'!$F$2:$F$378,0)*F197/_xlfn.XLOOKUP(A197,'00_SKU_Master'!$B$2:$B$378,'00_SKU_Master'!$O:$O,0),"")</f>
        <v>#VALUE!</v>
      </c>
      <c r="O197" s="112" t="e">
        <f ca="1">_xludf.IFNA(_xlfn.XLOOKUP($A199,'00_SKU_Master'!$B$2:$B$378,'00_SKU_Master'!$F$2:$F$378,0)*G199/_xlfn.XLOOKUP($A199,'00_SKU_Master'!$B$2:$B$378,'00_SKU_Master'!$O:$O,0),"")</f>
        <v>#NAME?</v>
      </c>
      <c r="P197" s="112" t="e">
        <f ca="1">_xludf.IFNA(_xlfn.XLOOKUP($A199,'00_SKU_Master'!$B$2:$B$378,'00_SKU_Master'!$F$2:$F$378,0)*H199/_xlfn.XLOOKUP($A199,'00_SKU_Master'!$B$2:$B$378,'00_SKU_Master'!$O:$O,0),"")</f>
        <v>#NAME?</v>
      </c>
      <c r="Q197" s="112" t="e">
        <f ca="1">_xludf.IFNA(_xlfn.XLOOKUP($A199,'00_SKU_Master'!$B$2:$B$378,'00_SKU_Master'!$F$2:$F$378,0)*I199/_xlfn.XLOOKUP($A199,'00_SKU_Master'!$B$2:$B$378,'00_SKU_Master'!$O:$O,0),"")</f>
        <v>#NAME?</v>
      </c>
      <c r="R197" s="112" t="e">
        <f ca="1">_xludf.IFNA(_xlfn.XLOOKUP($A199,'00_SKU_Master'!$B$2:$B$378,'00_SKU_Master'!$F$2:$F$378,0)*J199/_xlfn.XLOOKUP($A199,'00_SKU_Master'!$B$2:$B$378,'00_SKU_Master'!$O:$O,0),"")</f>
        <v>#NAME?</v>
      </c>
      <c r="S197" s="112" t="e">
        <f ca="1">_xludf.IFNA(_xlfn.XLOOKUP($A199,'00_SKU_Master'!$B$2:$B$378,'00_SKU_Master'!$F$2:$F$378,0)*K199/_xlfn.XLOOKUP($A199,'00_SKU_Master'!$B$2:$B$378,'00_SKU_Master'!$O:$O,0),"")</f>
        <v>#NAME?</v>
      </c>
      <c r="T197" s="113" t="e">
        <f t="shared" si="6"/>
        <v>#VALUE!</v>
      </c>
      <c r="U197" s="114" t="str">
        <f>'05_Daily_Orders'!L197</f>
        <v>LCL</v>
      </c>
    </row>
    <row r="198" spans="1:21">
      <c r="A198" s="108">
        <f>'05_Daily_Orders'!B198</f>
        <v>7840</v>
      </c>
      <c r="B198" s="50">
        <v>0</v>
      </c>
      <c r="C198" s="50">
        <v>0</v>
      </c>
      <c r="D198" s="109"/>
      <c r="E198" s="109"/>
      <c r="F198">
        <v>0</v>
      </c>
      <c r="L198" s="110">
        <f t="shared" si="7"/>
        <v>0</v>
      </c>
      <c r="M198" s="111" t="str">
        <f>_xlfn.IFNA(_xlfn.XLOOKUP(A198,'00_SKU_Master'!$B$2:$B$378,'00_SKU_Master'!$C$2:$C$378,0),"")</f>
        <v>61050F</v>
      </c>
      <c r="N198" s="112" t="e">
        <f>_xlfn.IFNA(_xlfn.XLOOKUP(A198,'00_SKU_Master'!$B$2:$B$378,'00_SKU_Master'!$F$2:$F$378,0)*F198/_xlfn.XLOOKUP(A198,'00_SKU_Master'!$B$2:$B$378,'00_SKU_Master'!$O:$O,0),"")</f>
        <v>#VALUE!</v>
      </c>
      <c r="O198" s="112" t="e">
        <f ca="1">_xludf.IFNA(_xlfn.XLOOKUP($A200,'00_SKU_Master'!$B$2:$B$378,'00_SKU_Master'!$F$2:$F$378,0)*G200/_xlfn.XLOOKUP($A200,'00_SKU_Master'!$B$2:$B$378,'00_SKU_Master'!$O:$O,0),"")</f>
        <v>#NAME?</v>
      </c>
      <c r="P198" s="112" t="e">
        <f ca="1">_xludf.IFNA(_xlfn.XLOOKUP($A200,'00_SKU_Master'!$B$2:$B$378,'00_SKU_Master'!$F$2:$F$378,0)*H200/_xlfn.XLOOKUP($A200,'00_SKU_Master'!$B$2:$B$378,'00_SKU_Master'!$O:$O,0),"")</f>
        <v>#NAME?</v>
      </c>
      <c r="Q198" s="112" t="e">
        <f ca="1">_xludf.IFNA(_xlfn.XLOOKUP($A200,'00_SKU_Master'!$B$2:$B$378,'00_SKU_Master'!$F$2:$F$378,0)*I200/_xlfn.XLOOKUP($A200,'00_SKU_Master'!$B$2:$B$378,'00_SKU_Master'!$O:$O,0),"")</f>
        <v>#NAME?</v>
      </c>
      <c r="R198" s="112" t="e">
        <f ca="1">_xludf.IFNA(_xlfn.XLOOKUP($A200,'00_SKU_Master'!$B$2:$B$378,'00_SKU_Master'!$F$2:$F$378,0)*J200/_xlfn.XLOOKUP($A200,'00_SKU_Master'!$B$2:$B$378,'00_SKU_Master'!$O:$O,0),"")</f>
        <v>#NAME?</v>
      </c>
      <c r="S198" s="112" t="e">
        <f ca="1">_xludf.IFNA(_xlfn.XLOOKUP($A200,'00_SKU_Master'!$B$2:$B$378,'00_SKU_Master'!$F$2:$F$378,0)*K200/_xlfn.XLOOKUP($A200,'00_SKU_Master'!$B$2:$B$378,'00_SKU_Master'!$O:$O,0),"")</f>
        <v>#NAME?</v>
      </c>
      <c r="T198" s="113" t="e">
        <f t="shared" si="6"/>
        <v>#VALUE!</v>
      </c>
      <c r="U198" s="114" t="str">
        <f>'05_Daily_Orders'!L198</f>
        <v>LCL</v>
      </c>
    </row>
    <row r="199" spans="1:21">
      <c r="A199" s="108">
        <f>'05_Daily_Orders'!B199</f>
        <v>7841</v>
      </c>
      <c r="B199" s="50">
        <v>0</v>
      </c>
      <c r="C199" s="50">
        <v>0</v>
      </c>
      <c r="D199" s="109"/>
      <c r="E199" s="109"/>
      <c r="F199">
        <v>0</v>
      </c>
      <c r="L199" s="110">
        <f t="shared" si="7"/>
        <v>0</v>
      </c>
      <c r="M199" s="111" t="str">
        <f>_xlfn.IFNA(_xlfn.XLOOKUP(A199,'00_SKU_Master'!$B$2:$B$378,'00_SKU_Master'!$C$2:$C$378,0),"")</f>
        <v>61050F</v>
      </c>
      <c r="N199" s="112" t="e">
        <f>_xlfn.IFNA(_xlfn.XLOOKUP(A199,'00_SKU_Master'!$B$2:$B$378,'00_SKU_Master'!$F$2:$F$378,0)*F199/_xlfn.XLOOKUP(A199,'00_SKU_Master'!$B$2:$B$378,'00_SKU_Master'!$O:$O,0),"")</f>
        <v>#VALUE!</v>
      </c>
      <c r="O199" s="112" t="e">
        <f ca="1">_xludf.IFNA(_xlfn.XLOOKUP($A201,'00_SKU_Master'!$B$2:$B$378,'00_SKU_Master'!$F$2:$F$378,0)*G201/_xlfn.XLOOKUP($A201,'00_SKU_Master'!$B$2:$B$378,'00_SKU_Master'!$O:$O,0),"")</f>
        <v>#NAME?</v>
      </c>
      <c r="P199" s="112" t="e">
        <f ca="1">_xludf.IFNA(_xlfn.XLOOKUP($A201,'00_SKU_Master'!$B$2:$B$378,'00_SKU_Master'!$F$2:$F$378,0)*H201/_xlfn.XLOOKUP($A201,'00_SKU_Master'!$B$2:$B$378,'00_SKU_Master'!$O:$O,0),"")</f>
        <v>#NAME?</v>
      </c>
      <c r="Q199" s="112" t="e">
        <f ca="1">_xludf.IFNA(_xlfn.XLOOKUP($A201,'00_SKU_Master'!$B$2:$B$378,'00_SKU_Master'!$F$2:$F$378,0)*I201/_xlfn.XLOOKUP($A201,'00_SKU_Master'!$B$2:$B$378,'00_SKU_Master'!$O:$O,0),"")</f>
        <v>#NAME?</v>
      </c>
      <c r="R199" s="112" t="e">
        <f ca="1">_xludf.IFNA(_xlfn.XLOOKUP($A201,'00_SKU_Master'!$B$2:$B$378,'00_SKU_Master'!$F$2:$F$378,0)*J201/_xlfn.XLOOKUP($A201,'00_SKU_Master'!$B$2:$B$378,'00_SKU_Master'!$O:$O,0),"")</f>
        <v>#NAME?</v>
      </c>
      <c r="S199" s="112" t="e">
        <f ca="1">_xludf.IFNA(_xlfn.XLOOKUP($A201,'00_SKU_Master'!$B$2:$B$378,'00_SKU_Master'!$F$2:$F$378,0)*K201/_xlfn.XLOOKUP($A201,'00_SKU_Master'!$B$2:$B$378,'00_SKU_Master'!$O:$O,0),"")</f>
        <v>#NAME?</v>
      </c>
      <c r="T199" s="113" t="e">
        <f t="shared" si="6"/>
        <v>#VALUE!</v>
      </c>
      <c r="U199" s="114" t="str">
        <f>'05_Daily_Orders'!L199</f>
        <v>LCL</v>
      </c>
    </row>
    <row r="200" spans="1:21">
      <c r="A200" s="108">
        <f>'05_Daily_Orders'!B200</f>
        <v>7842</v>
      </c>
      <c r="B200" s="50">
        <v>0</v>
      </c>
      <c r="C200" s="50">
        <v>0</v>
      </c>
      <c r="D200" s="109"/>
      <c r="E200" s="109"/>
      <c r="F200">
        <v>0</v>
      </c>
      <c r="L200" s="110">
        <f t="shared" si="7"/>
        <v>0</v>
      </c>
      <c r="M200" s="111" t="str">
        <f>_xlfn.IFNA(_xlfn.XLOOKUP(A200,'00_SKU_Master'!$B$2:$B$378,'00_SKU_Master'!$C$2:$C$378,0),"")</f>
        <v>61050F</v>
      </c>
      <c r="N200" s="112" t="e">
        <f>_xlfn.IFNA(_xlfn.XLOOKUP(A200,'00_SKU_Master'!$B$2:$B$378,'00_SKU_Master'!$F$2:$F$378,0)*F200/_xlfn.XLOOKUP(A200,'00_SKU_Master'!$B$2:$B$378,'00_SKU_Master'!$O:$O,0),"")</f>
        <v>#VALUE!</v>
      </c>
      <c r="O200" s="112" t="e">
        <f ca="1">_xludf.IFNA(_xlfn.XLOOKUP($A202,'00_SKU_Master'!$B$2:$B$378,'00_SKU_Master'!$F$2:$F$378,0)*G202/_xlfn.XLOOKUP($A202,'00_SKU_Master'!$B$2:$B$378,'00_SKU_Master'!$O:$O,0),"")</f>
        <v>#NAME?</v>
      </c>
      <c r="P200" s="112" t="e">
        <f ca="1">_xludf.IFNA(_xlfn.XLOOKUP($A202,'00_SKU_Master'!$B$2:$B$378,'00_SKU_Master'!$F$2:$F$378,0)*H202/_xlfn.XLOOKUP($A202,'00_SKU_Master'!$B$2:$B$378,'00_SKU_Master'!$O:$O,0),"")</f>
        <v>#NAME?</v>
      </c>
      <c r="Q200" s="112" t="e">
        <f ca="1">_xludf.IFNA(_xlfn.XLOOKUP($A202,'00_SKU_Master'!$B$2:$B$378,'00_SKU_Master'!$F$2:$F$378,0)*I202/_xlfn.XLOOKUP($A202,'00_SKU_Master'!$B$2:$B$378,'00_SKU_Master'!$O:$O,0),"")</f>
        <v>#NAME?</v>
      </c>
      <c r="R200" s="112" t="e">
        <f ca="1">_xludf.IFNA(_xlfn.XLOOKUP($A202,'00_SKU_Master'!$B$2:$B$378,'00_SKU_Master'!$F$2:$F$378,0)*J202/_xlfn.XLOOKUP($A202,'00_SKU_Master'!$B$2:$B$378,'00_SKU_Master'!$O:$O,0),"")</f>
        <v>#NAME?</v>
      </c>
      <c r="S200" s="112" t="e">
        <f ca="1">_xludf.IFNA(_xlfn.XLOOKUP($A202,'00_SKU_Master'!$B$2:$B$378,'00_SKU_Master'!$F$2:$F$378,0)*K202/_xlfn.XLOOKUP($A202,'00_SKU_Master'!$B$2:$B$378,'00_SKU_Master'!$O:$O,0),"")</f>
        <v>#NAME?</v>
      </c>
      <c r="T200" s="113" t="e">
        <f t="shared" si="6"/>
        <v>#VALUE!</v>
      </c>
      <c r="U200" s="114" t="str">
        <f>'05_Daily_Orders'!L200</f>
        <v>LCL</v>
      </c>
    </row>
    <row r="201" spans="1:21">
      <c r="A201" s="108">
        <f>'05_Daily_Orders'!B201</f>
        <v>7843</v>
      </c>
      <c r="B201" s="50">
        <v>0</v>
      </c>
      <c r="C201" s="50">
        <v>0</v>
      </c>
      <c r="D201" s="109"/>
      <c r="E201" s="109"/>
      <c r="F201">
        <v>0</v>
      </c>
      <c r="L201" s="110">
        <f t="shared" si="7"/>
        <v>0</v>
      </c>
      <c r="M201" s="111" t="str">
        <f>_xlfn.IFNA(_xlfn.XLOOKUP(A201,'00_SKU_Master'!$B$2:$B$378,'00_SKU_Master'!$C$2:$C$378,0),"")</f>
        <v>61050#2</v>
      </c>
      <c r="N201" s="112" t="e">
        <f>_xlfn.IFNA(_xlfn.XLOOKUP(A201,'00_SKU_Master'!$B$2:$B$378,'00_SKU_Master'!$F$2:$F$378,0)*F201/_xlfn.XLOOKUP(A201,'00_SKU_Master'!$B$2:$B$378,'00_SKU_Master'!$O:$O,0),"")</f>
        <v>#VALUE!</v>
      </c>
      <c r="O201" s="112" t="e">
        <f ca="1">_xludf.IFNA(_xlfn.XLOOKUP($A203,'00_SKU_Master'!$B$2:$B$378,'00_SKU_Master'!$F$2:$F$378,0)*G203/_xlfn.XLOOKUP($A203,'00_SKU_Master'!$B$2:$B$378,'00_SKU_Master'!$O:$O,0),"")</f>
        <v>#NAME?</v>
      </c>
      <c r="P201" s="112" t="e">
        <f ca="1">_xludf.IFNA(_xlfn.XLOOKUP($A203,'00_SKU_Master'!$B$2:$B$378,'00_SKU_Master'!$F$2:$F$378,0)*H203/_xlfn.XLOOKUP($A203,'00_SKU_Master'!$B$2:$B$378,'00_SKU_Master'!$O:$O,0),"")</f>
        <v>#NAME?</v>
      </c>
      <c r="Q201" s="112" t="e">
        <f ca="1">_xludf.IFNA(_xlfn.XLOOKUP($A203,'00_SKU_Master'!$B$2:$B$378,'00_SKU_Master'!$F$2:$F$378,0)*I203/_xlfn.XLOOKUP($A203,'00_SKU_Master'!$B$2:$B$378,'00_SKU_Master'!$O:$O,0),"")</f>
        <v>#NAME?</v>
      </c>
      <c r="R201" s="112" t="e">
        <f ca="1">_xludf.IFNA(_xlfn.XLOOKUP($A203,'00_SKU_Master'!$B$2:$B$378,'00_SKU_Master'!$F$2:$F$378,0)*J203/_xlfn.XLOOKUP($A203,'00_SKU_Master'!$B$2:$B$378,'00_SKU_Master'!$O:$O,0),"")</f>
        <v>#NAME?</v>
      </c>
      <c r="S201" s="112" t="e">
        <f ca="1">_xludf.IFNA(_xlfn.XLOOKUP($A203,'00_SKU_Master'!$B$2:$B$378,'00_SKU_Master'!$F$2:$F$378,0)*K203/_xlfn.XLOOKUP($A203,'00_SKU_Master'!$B$2:$B$378,'00_SKU_Master'!$O:$O,0),"")</f>
        <v>#NAME?</v>
      </c>
      <c r="T201" s="113" t="e">
        <f t="shared" si="6"/>
        <v>#VALUE!</v>
      </c>
      <c r="U201" s="114" t="str">
        <f>'05_Daily_Orders'!L201</f>
        <v>LCL</v>
      </c>
    </row>
    <row r="202" spans="1:21">
      <c r="A202" s="108">
        <f>'05_Daily_Orders'!B202</f>
        <v>7851</v>
      </c>
      <c r="B202" s="50">
        <v>0</v>
      </c>
      <c r="C202" s="50">
        <v>344</v>
      </c>
      <c r="D202" s="109"/>
      <c r="E202" s="109"/>
      <c r="F202">
        <v>70</v>
      </c>
      <c r="L202" s="110">
        <f t="shared" si="7"/>
        <v>0</v>
      </c>
      <c r="M202" s="111">
        <f>_xlfn.IFNA(_xlfn.XLOOKUP(A202,'00_SKU_Master'!$B$2:$B$378,'00_SKU_Master'!$C$2:$C$378,0),"")</f>
        <v>61050</v>
      </c>
      <c r="N202" s="112" t="e">
        <f>_xlfn.IFNA(_xlfn.XLOOKUP(A202,'00_SKU_Master'!$B$2:$B$378,'00_SKU_Master'!$F$2:$F$378,0)*F202/_xlfn.XLOOKUP(A202,'00_SKU_Master'!$B$2:$B$378,'00_SKU_Master'!$O:$O,0),"")</f>
        <v>#VALUE!</v>
      </c>
      <c r="O202" s="112" t="e">
        <f ca="1">_xludf.IFNA(_xlfn.XLOOKUP($A204,'00_SKU_Master'!$B$2:$B$378,'00_SKU_Master'!$F$2:$F$378,0)*G204/_xlfn.XLOOKUP($A204,'00_SKU_Master'!$B$2:$B$378,'00_SKU_Master'!$O:$O,0),"")</f>
        <v>#NAME?</v>
      </c>
      <c r="P202" s="112" t="e">
        <f ca="1">_xludf.IFNA(_xlfn.XLOOKUP($A204,'00_SKU_Master'!$B$2:$B$378,'00_SKU_Master'!$F$2:$F$378,0)*H204/_xlfn.XLOOKUP($A204,'00_SKU_Master'!$B$2:$B$378,'00_SKU_Master'!$O:$O,0),"")</f>
        <v>#NAME?</v>
      </c>
      <c r="Q202" s="112" t="e">
        <f ca="1">_xludf.IFNA(_xlfn.XLOOKUP($A204,'00_SKU_Master'!$B$2:$B$378,'00_SKU_Master'!$F$2:$F$378,0)*I204/_xlfn.XLOOKUP($A204,'00_SKU_Master'!$B$2:$B$378,'00_SKU_Master'!$O:$O,0),"")</f>
        <v>#NAME?</v>
      </c>
      <c r="R202" s="112" t="e">
        <f ca="1">_xludf.IFNA(_xlfn.XLOOKUP($A204,'00_SKU_Master'!$B$2:$B$378,'00_SKU_Master'!$F$2:$F$378,0)*J204/_xlfn.XLOOKUP($A204,'00_SKU_Master'!$B$2:$B$378,'00_SKU_Master'!$O:$O,0),"")</f>
        <v>#NAME?</v>
      </c>
      <c r="S202" s="112" t="e">
        <f ca="1">_xludf.IFNA(_xlfn.XLOOKUP($A204,'00_SKU_Master'!$B$2:$B$378,'00_SKU_Master'!$F$2:$F$378,0)*K204/_xlfn.XLOOKUP($A204,'00_SKU_Master'!$B$2:$B$378,'00_SKU_Master'!$O:$O,0),"")</f>
        <v>#NAME?</v>
      </c>
      <c r="T202" s="113" t="e">
        <f t="shared" si="6"/>
        <v>#VALUE!</v>
      </c>
      <c r="U202" s="114" t="str">
        <f>'05_Daily_Orders'!L202</f>
        <v>LCL</v>
      </c>
    </row>
    <row r="203" spans="1:21">
      <c r="A203" s="108">
        <f>'05_Daily_Orders'!B203</f>
        <v>7852</v>
      </c>
      <c r="B203" s="50">
        <v>0</v>
      </c>
      <c r="C203" s="50">
        <v>733</v>
      </c>
      <c r="D203" s="109"/>
      <c r="E203" s="109"/>
      <c r="F203">
        <v>169</v>
      </c>
      <c r="L203" s="110">
        <f t="shared" si="7"/>
        <v>0</v>
      </c>
      <c r="M203" s="111">
        <f>_xlfn.IFNA(_xlfn.XLOOKUP(A203,'00_SKU_Master'!$B$2:$B$378,'00_SKU_Master'!$C$2:$C$378,0),"")</f>
        <v>61050</v>
      </c>
      <c r="N203" s="112" t="e">
        <f>_xlfn.IFNA(_xlfn.XLOOKUP(A203,'00_SKU_Master'!$B$2:$B$378,'00_SKU_Master'!$F$2:$F$378,0)*F203/_xlfn.XLOOKUP(A203,'00_SKU_Master'!$B$2:$B$378,'00_SKU_Master'!$O:$O,0),"")</f>
        <v>#VALUE!</v>
      </c>
      <c r="O203" s="112" t="e">
        <f ca="1">_xludf.IFNA(_xlfn.XLOOKUP($A205,'00_SKU_Master'!$B$2:$B$378,'00_SKU_Master'!$F$2:$F$378,0)*G205/_xlfn.XLOOKUP($A205,'00_SKU_Master'!$B$2:$B$378,'00_SKU_Master'!$O:$O,0),"")</f>
        <v>#NAME?</v>
      </c>
      <c r="P203" s="112" t="e">
        <f ca="1">_xludf.IFNA(_xlfn.XLOOKUP($A205,'00_SKU_Master'!$B$2:$B$378,'00_SKU_Master'!$F$2:$F$378,0)*H205/_xlfn.XLOOKUP($A205,'00_SKU_Master'!$B$2:$B$378,'00_SKU_Master'!$O:$O,0),"")</f>
        <v>#NAME?</v>
      </c>
      <c r="Q203" s="112" t="e">
        <f ca="1">_xludf.IFNA(_xlfn.XLOOKUP($A205,'00_SKU_Master'!$B$2:$B$378,'00_SKU_Master'!$F$2:$F$378,0)*I205/_xlfn.XLOOKUP($A205,'00_SKU_Master'!$B$2:$B$378,'00_SKU_Master'!$O:$O,0),"")</f>
        <v>#NAME?</v>
      </c>
      <c r="R203" s="112" t="e">
        <f ca="1">_xludf.IFNA(_xlfn.XLOOKUP($A205,'00_SKU_Master'!$B$2:$B$378,'00_SKU_Master'!$F$2:$F$378,0)*J205/_xlfn.XLOOKUP($A205,'00_SKU_Master'!$B$2:$B$378,'00_SKU_Master'!$O:$O,0),"")</f>
        <v>#NAME?</v>
      </c>
      <c r="S203" s="112" t="e">
        <f ca="1">_xludf.IFNA(_xlfn.XLOOKUP($A205,'00_SKU_Master'!$B$2:$B$378,'00_SKU_Master'!$F$2:$F$378,0)*K205/_xlfn.XLOOKUP($A205,'00_SKU_Master'!$B$2:$B$378,'00_SKU_Master'!$O:$O,0),"")</f>
        <v>#NAME?</v>
      </c>
      <c r="T203" s="113" t="e">
        <f t="shared" si="6"/>
        <v>#VALUE!</v>
      </c>
      <c r="U203" s="114" t="str">
        <f>'05_Daily_Orders'!L203</f>
        <v>LCL</v>
      </c>
    </row>
    <row r="204" spans="1:21">
      <c r="A204" s="108">
        <f>'05_Daily_Orders'!B204</f>
        <v>7853</v>
      </c>
      <c r="B204" s="50">
        <v>0</v>
      </c>
      <c r="C204" s="50">
        <v>346</v>
      </c>
      <c r="D204" s="109"/>
      <c r="E204" s="109"/>
      <c r="F204">
        <v>109</v>
      </c>
      <c r="L204" s="110">
        <f t="shared" si="7"/>
        <v>0</v>
      </c>
      <c r="M204" s="111">
        <f>_xlfn.IFNA(_xlfn.XLOOKUP(A204,'00_SKU_Master'!$B$2:$B$378,'00_SKU_Master'!$C$2:$C$378,0),"")</f>
        <v>61077</v>
      </c>
      <c r="N204" s="112" t="e">
        <f>_xlfn.IFNA(_xlfn.XLOOKUP(A204,'00_SKU_Master'!$B$2:$B$378,'00_SKU_Master'!$F$2:$F$378,0)*F204/_xlfn.XLOOKUP(A204,'00_SKU_Master'!$B$2:$B$378,'00_SKU_Master'!$O:$O,0),"")</f>
        <v>#VALUE!</v>
      </c>
      <c r="O204" s="112" t="e">
        <f ca="1">_xludf.IFNA(_xlfn.XLOOKUP($A206,'00_SKU_Master'!$B$2:$B$378,'00_SKU_Master'!$F$2:$F$378,0)*G206/_xlfn.XLOOKUP($A206,'00_SKU_Master'!$B$2:$B$378,'00_SKU_Master'!$O:$O,0),"")</f>
        <v>#NAME?</v>
      </c>
      <c r="P204" s="112" t="e">
        <f ca="1">_xludf.IFNA(_xlfn.XLOOKUP($A206,'00_SKU_Master'!$B$2:$B$378,'00_SKU_Master'!$F$2:$F$378,0)*H206/_xlfn.XLOOKUP($A206,'00_SKU_Master'!$B$2:$B$378,'00_SKU_Master'!$O:$O,0),"")</f>
        <v>#NAME?</v>
      </c>
      <c r="Q204" s="112" t="e">
        <f ca="1">_xludf.IFNA(_xlfn.XLOOKUP($A206,'00_SKU_Master'!$B$2:$B$378,'00_SKU_Master'!$F$2:$F$378,0)*I206/_xlfn.XLOOKUP($A206,'00_SKU_Master'!$B$2:$B$378,'00_SKU_Master'!$O:$O,0),"")</f>
        <v>#NAME?</v>
      </c>
      <c r="R204" s="112" t="e">
        <f ca="1">_xludf.IFNA(_xlfn.XLOOKUP($A206,'00_SKU_Master'!$B$2:$B$378,'00_SKU_Master'!$F$2:$F$378,0)*J206/_xlfn.XLOOKUP($A206,'00_SKU_Master'!$B$2:$B$378,'00_SKU_Master'!$O:$O,0),"")</f>
        <v>#NAME?</v>
      </c>
      <c r="S204" s="112" t="e">
        <f ca="1">_xludf.IFNA(_xlfn.XLOOKUP($A206,'00_SKU_Master'!$B$2:$B$378,'00_SKU_Master'!$F$2:$F$378,0)*K206/_xlfn.XLOOKUP($A206,'00_SKU_Master'!$B$2:$B$378,'00_SKU_Master'!$O:$O,0),"")</f>
        <v>#NAME?</v>
      </c>
      <c r="T204" s="113" t="e">
        <f t="shared" si="6"/>
        <v>#VALUE!</v>
      </c>
      <c r="U204" s="114" t="str">
        <f>'05_Daily_Orders'!L204</f>
        <v>LCL</v>
      </c>
    </row>
    <row r="205" spans="1:21">
      <c r="A205" s="108">
        <f>'05_Daily_Orders'!B205</f>
        <v>7854</v>
      </c>
      <c r="B205" s="50">
        <v>0</v>
      </c>
      <c r="C205" s="50">
        <v>265</v>
      </c>
      <c r="D205" s="109"/>
      <c r="E205" s="109"/>
      <c r="F205">
        <v>79</v>
      </c>
      <c r="L205" s="110">
        <f t="shared" si="7"/>
        <v>0</v>
      </c>
      <c r="M205" s="111" t="str">
        <f>_xlfn.IFNA(_xlfn.XLOOKUP(A205,'00_SKU_Master'!$B$2:$B$378,'00_SKU_Master'!$C$2:$C$378,0),"")</f>
        <v>61072F</v>
      </c>
      <c r="N205" s="112" t="e">
        <f>_xlfn.IFNA(_xlfn.XLOOKUP(A205,'00_SKU_Master'!$B$2:$B$378,'00_SKU_Master'!$F$2:$F$378,0)*F205/_xlfn.XLOOKUP(A205,'00_SKU_Master'!$B$2:$B$378,'00_SKU_Master'!$O:$O,0),"")</f>
        <v>#VALUE!</v>
      </c>
      <c r="O205" s="112" t="e">
        <f ca="1">_xludf.IFNA(_xlfn.XLOOKUP($A207,'00_SKU_Master'!$B$2:$B$378,'00_SKU_Master'!$F$2:$F$378,0)*G207/_xlfn.XLOOKUP($A207,'00_SKU_Master'!$B$2:$B$378,'00_SKU_Master'!$O:$O,0),"")</f>
        <v>#NAME?</v>
      </c>
      <c r="P205" s="112" t="e">
        <f ca="1">_xludf.IFNA(_xlfn.XLOOKUP($A207,'00_SKU_Master'!$B$2:$B$378,'00_SKU_Master'!$F$2:$F$378,0)*H207/_xlfn.XLOOKUP($A207,'00_SKU_Master'!$B$2:$B$378,'00_SKU_Master'!$O:$O,0),"")</f>
        <v>#NAME?</v>
      </c>
      <c r="Q205" s="112" t="e">
        <f ca="1">_xludf.IFNA(_xlfn.XLOOKUP($A207,'00_SKU_Master'!$B$2:$B$378,'00_SKU_Master'!$F$2:$F$378,0)*I207/_xlfn.XLOOKUP($A207,'00_SKU_Master'!$B$2:$B$378,'00_SKU_Master'!$O:$O,0),"")</f>
        <v>#NAME?</v>
      </c>
      <c r="R205" s="112" t="e">
        <f ca="1">_xludf.IFNA(_xlfn.XLOOKUP($A207,'00_SKU_Master'!$B$2:$B$378,'00_SKU_Master'!$F$2:$F$378,0)*J207/_xlfn.XLOOKUP($A207,'00_SKU_Master'!$B$2:$B$378,'00_SKU_Master'!$O:$O,0),"")</f>
        <v>#NAME?</v>
      </c>
      <c r="S205" s="112" t="e">
        <f ca="1">_xludf.IFNA(_xlfn.XLOOKUP($A207,'00_SKU_Master'!$B$2:$B$378,'00_SKU_Master'!$F$2:$F$378,0)*K207/_xlfn.XLOOKUP($A207,'00_SKU_Master'!$B$2:$B$378,'00_SKU_Master'!$O:$O,0),"")</f>
        <v>#NAME?</v>
      </c>
      <c r="T205" s="113" t="e">
        <f t="shared" si="6"/>
        <v>#VALUE!</v>
      </c>
      <c r="U205" s="114" t="str">
        <f>'05_Daily_Orders'!L205</f>
        <v>LCL</v>
      </c>
    </row>
    <row r="206" spans="1:21">
      <c r="A206" s="108">
        <f>'05_Daily_Orders'!B206</f>
        <v>7855</v>
      </c>
      <c r="B206" s="50">
        <v>0</v>
      </c>
      <c r="C206" s="50">
        <v>243</v>
      </c>
      <c r="D206" s="109"/>
      <c r="E206" s="109"/>
      <c r="F206">
        <v>55</v>
      </c>
      <c r="L206" s="110">
        <f t="shared" si="7"/>
        <v>0</v>
      </c>
      <c r="M206" s="111" t="str">
        <f>_xlfn.IFNA(_xlfn.XLOOKUP(A206,'00_SKU_Master'!$B$2:$B$378,'00_SKU_Master'!$C$2:$C$378,0),"")</f>
        <v>61014F</v>
      </c>
      <c r="N206" s="112" t="e">
        <f>_xlfn.IFNA(_xlfn.XLOOKUP(A206,'00_SKU_Master'!$B$2:$B$378,'00_SKU_Master'!$F$2:$F$378,0)*F206/_xlfn.XLOOKUP(A206,'00_SKU_Master'!$B$2:$B$378,'00_SKU_Master'!$O:$O,0),"")</f>
        <v>#VALUE!</v>
      </c>
      <c r="O206" s="112" t="e">
        <f ca="1">_xludf.IFNA(_xlfn.XLOOKUP($A208,'00_SKU_Master'!$B$2:$B$378,'00_SKU_Master'!$F$2:$F$378,0)*G208/_xlfn.XLOOKUP($A208,'00_SKU_Master'!$B$2:$B$378,'00_SKU_Master'!$O:$O,0),"")</f>
        <v>#NAME?</v>
      </c>
      <c r="P206" s="112" t="e">
        <f ca="1">_xludf.IFNA(_xlfn.XLOOKUP($A208,'00_SKU_Master'!$B$2:$B$378,'00_SKU_Master'!$F$2:$F$378,0)*H208/_xlfn.XLOOKUP($A208,'00_SKU_Master'!$B$2:$B$378,'00_SKU_Master'!$O:$O,0),"")</f>
        <v>#NAME?</v>
      </c>
      <c r="Q206" s="112" t="e">
        <f ca="1">_xludf.IFNA(_xlfn.XLOOKUP($A208,'00_SKU_Master'!$B$2:$B$378,'00_SKU_Master'!$F$2:$F$378,0)*I208/_xlfn.XLOOKUP($A208,'00_SKU_Master'!$B$2:$B$378,'00_SKU_Master'!$O:$O,0),"")</f>
        <v>#NAME?</v>
      </c>
      <c r="R206" s="112" t="e">
        <f ca="1">_xludf.IFNA(_xlfn.XLOOKUP($A208,'00_SKU_Master'!$B$2:$B$378,'00_SKU_Master'!$F$2:$F$378,0)*J208/_xlfn.XLOOKUP($A208,'00_SKU_Master'!$B$2:$B$378,'00_SKU_Master'!$O:$O,0),"")</f>
        <v>#NAME?</v>
      </c>
      <c r="S206" s="112" t="e">
        <f ca="1">_xludf.IFNA(_xlfn.XLOOKUP($A208,'00_SKU_Master'!$B$2:$B$378,'00_SKU_Master'!$F$2:$F$378,0)*K208/_xlfn.XLOOKUP($A208,'00_SKU_Master'!$B$2:$B$378,'00_SKU_Master'!$O:$O,0),"")</f>
        <v>#NAME?</v>
      </c>
      <c r="T206" s="113" t="e">
        <f t="shared" si="6"/>
        <v>#VALUE!</v>
      </c>
      <c r="U206" s="114" t="str">
        <f>'05_Daily_Orders'!L206</f>
        <v>LCL</v>
      </c>
    </row>
    <row r="207" spans="1:21">
      <c r="A207" s="108">
        <f>'05_Daily_Orders'!B207</f>
        <v>7858</v>
      </c>
      <c r="B207" s="50">
        <v>0</v>
      </c>
      <c r="C207" s="50">
        <v>0</v>
      </c>
      <c r="D207" s="109"/>
      <c r="E207" s="109"/>
      <c r="F207">
        <v>0</v>
      </c>
      <c r="L207" s="110">
        <f t="shared" si="7"/>
        <v>0</v>
      </c>
      <c r="M207" s="111">
        <f>_xlfn.IFNA(_xlfn.XLOOKUP(A207,'00_SKU_Master'!$B$2:$B$378,'00_SKU_Master'!$C$2:$C$378,0),"")</f>
        <v>61052</v>
      </c>
      <c r="N207" s="112" t="e">
        <f>_xlfn.IFNA(_xlfn.XLOOKUP(A207,'00_SKU_Master'!$B$2:$B$378,'00_SKU_Master'!$F$2:$F$378,0)*F207/_xlfn.XLOOKUP(A207,'00_SKU_Master'!$B$2:$B$378,'00_SKU_Master'!$O:$O,0),"")</f>
        <v>#VALUE!</v>
      </c>
      <c r="O207" s="112" t="e">
        <f ca="1">_xludf.IFNA(_xlfn.XLOOKUP($A209,'00_SKU_Master'!$B$2:$B$378,'00_SKU_Master'!$F$2:$F$378,0)*G209/_xlfn.XLOOKUP($A209,'00_SKU_Master'!$B$2:$B$378,'00_SKU_Master'!$O:$O,0),"")</f>
        <v>#NAME?</v>
      </c>
      <c r="P207" s="112" t="e">
        <f ca="1">_xludf.IFNA(_xlfn.XLOOKUP($A209,'00_SKU_Master'!$B$2:$B$378,'00_SKU_Master'!$F$2:$F$378,0)*H209/_xlfn.XLOOKUP($A209,'00_SKU_Master'!$B$2:$B$378,'00_SKU_Master'!$O:$O,0),"")</f>
        <v>#NAME?</v>
      </c>
      <c r="Q207" s="112" t="e">
        <f ca="1">_xludf.IFNA(_xlfn.XLOOKUP($A209,'00_SKU_Master'!$B$2:$B$378,'00_SKU_Master'!$F$2:$F$378,0)*I209/_xlfn.XLOOKUP($A209,'00_SKU_Master'!$B$2:$B$378,'00_SKU_Master'!$O:$O,0),"")</f>
        <v>#NAME?</v>
      </c>
      <c r="R207" s="112" t="e">
        <f ca="1">_xludf.IFNA(_xlfn.XLOOKUP($A209,'00_SKU_Master'!$B$2:$B$378,'00_SKU_Master'!$F$2:$F$378,0)*J209/_xlfn.XLOOKUP($A209,'00_SKU_Master'!$B$2:$B$378,'00_SKU_Master'!$O:$O,0),"")</f>
        <v>#NAME?</v>
      </c>
      <c r="S207" s="112" t="e">
        <f ca="1">_xludf.IFNA(_xlfn.XLOOKUP($A209,'00_SKU_Master'!$B$2:$B$378,'00_SKU_Master'!$F$2:$F$378,0)*K209/_xlfn.XLOOKUP($A209,'00_SKU_Master'!$B$2:$B$378,'00_SKU_Master'!$O:$O,0),"")</f>
        <v>#NAME?</v>
      </c>
      <c r="T207" s="113" t="e">
        <f t="shared" si="6"/>
        <v>#VALUE!</v>
      </c>
      <c r="U207" s="114" t="str">
        <f>'05_Daily_Orders'!L207</f>
        <v>LCL</v>
      </c>
    </row>
    <row r="208" spans="1:21">
      <c r="A208" s="108">
        <f>'05_Daily_Orders'!B208</f>
        <v>7859</v>
      </c>
      <c r="B208" s="50">
        <v>0</v>
      </c>
      <c r="C208" s="50">
        <v>24</v>
      </c>
      <c r="D208" s="109"/>
      <c r="E208" s="109"/>
      <c r="F208">
        <v>9</v>
      </c>
      <c r="L208" s="110">
        <f t="shared" si="7"/>
        <v>0</v>
      </c>
      <c r="M208" s="111">
        <f>_xlfn.IFNA(_xlfn.XLOOKUP(A208,'00_SKU_Master'!$B$2:$B$378,'00_SKU_Master'!$C$2:$C$378,0),"")</f>
        <v>61054</v>
      </c>
      <c r="N208" s="112" t="e">
        <f>_xlfn.IFNA(_xlfn.XLOOKUP(A208,'00_SKU_Master'!$B$2:$B$378,'00_SKU_Master'!$F$2:$F$378,0)*F208/_xlfn.XLOOKUP(A208,'00_SKU_Master'!$B$2:$B$378,'00_SKU_Master'!$O:$O,0),"")</f>
        <v>#VALUE!</v>
      </c>
      <c r="O208" s="112" t="e">
        <f ca="1">_xludf.IFNA(_xlfn.XLOOKUP($A210,'00_SKU_Master'!$B$2:$B$378,'00_SKU_Master'!$F$2:$F$378,0)*G210/_xlfn.XLOOKUP($A210,'00_SKU_Master'!$B$2:$B$378,'00_SKU_Master'!$O:$O,0),"")</f>
        <v>#NAME?</v>
      </c>
      <c r="P208" s="112" t="e">
        <f ca="1">_xludf.IFNA(_xlfn.XLOOKUP($A210,'00_SKU_Master'!$B$2:$B$378,'00_SKU_Master'!$F$2:$F$378,0)*H210/_xlfn.XLOOKUP($A210,'00_SKU_Master'!$B$2:$B$378,'00_SKU_Master'!$O:$O,0),"")</f>
        <v>#NAME?</v>
      </c>
      <c r="Q208" s="112" t="e">
        <f ca="1">_xludf.IFNA(_xlfn.XLOOKUP($A210,'00_SKU_Master'!$B$2:$B$378,'00_SKU_Master'!$F$2:$F$378,0)*I210/_xlfn.XLOOKUP($A210,'00_SKU_Master'!$B$2:$B$378,'00_SKU_Master'!$O:$O,0),"")</f>
        <v>#NAME?</v>
      </c>
      <c r="R208" s="112" t="e">
        <f ca="1">_xludf.IFNA(_xlfn.XLOOKUP($A210,'00_SKU_Master'!$B$2:$B$378,'00_SKU_Master'!$F$2:$F$378,0)*J210/_xlfn.XLOOKUP($A210,'00_SKU_Master'!$B$2:$B$378,'00_SKU_Master'!$O:$O,0),"")</f>
        <v>#NAME?</v>
      </c>
      <c r="S208" s="112" t="e">
        <f ca="1">_xludf.IFNA(_xlfn.XLOOKUP($A210,'00_SKU_Master'!$B$2:$B$378,'00_SKU_Master'!$F$2:$F$378,0)*K210/_xlfn.XLOOKUP($A210,'00_SKU_Master'!$B$2:$B$378,'00_SKU_Master'!$O:$O,0),"")</f>
        <v>#NAME?</v>
      </c>
      <c r="T208" s="113" t="e">
        <f t="shared" si="6"/>
        <v>#VALUE!</v>
      </c>
      <c r="U208" s="114" t="str">
        <f>'05_Daily_Orders'!L208</f>
        <v>LCL</v>
      </c>
    </row>
    <row r="209" spans="1:21">
      <c r="A209" s="108">
        <f>'05_Daily_Orders'!B209</f>
        <v>7860</v>
      </c>
      <c r="B209" s="50">
        <v>0</v>
      </c>
      <c r="C209" s="50">
        <v>456</v>
      </c>
      <c r="D209" s="109"/>
      <c r="E209" s="109"/>
      <c r="F209">
        <v>142</v>
      </c>
      <c r="L209" s="110">
        <f t="shared" si="7"/>
        <v>0</v>
      </c>
      <c r="M209" s="111">
        <f>_xlfn.IFNA(_xlfn.XLOOKUP(A209,'00_SKU_Master'!$B$2:$B$378,'00_SKU_Master'!$C$2:$C$378,0),"")</f>
        <v>61086</v>
      </c>
      <c r="N209" s="112" t="e">
        <f>_xlfn.IFNA(_xlfn.XLOOKUP(A209,'00_SKU_Master'!$B$2:$B$378,'00_SKU_Master'!$F$2:$F$378,0)*F209/_xlfn.XLOOKUP(A209,'00_SKU_Master'!$B$2:$B$378,'00_SKU_Master'!$O:$O,0),"")</f>
        <v>#VALUE!</v>
      </c>
      <c r="O209" s="112" t="e">
        <f ca="1">_xludf.IFNA(_xlfn.XLOOKUP($A211,'00_SKU_Master'!$B$2:$B$378,'00_SKU_Master'!$F$2:$F$378,0)*G211/_xlfn.XLOOKUP($A211,'00_SKU_Master'!$B$2:$B$378,'00_SKU_Master'!$O:$O,0),"")</f>
        <v>#NAME?</v>
      </c>
      <c r="P209" s="112" t="e">
        <f ca="1">_xludf.IFNA(_xlfn.XLOOKUP($A211,'00_SKU_Master'!$B$2:$B$378,'00_SKU_Master'!$F$2:$F$378,0)*H211/_xlfn.XLOOKUP($A211,'00_SKU_Master'!$B$2:$B$378,'00_SKU_Master'!$O:$O,0),"")</f>
        <v>#NAME?</v>
      </c>
      <c r="Q209" s="112" t="e">
        <f ca="1">_xludf.IFNA(_xlfn.XLOOKUP($A211,'00_SKU_Master'!$B$2:$B$378,'00_SKU_Master'!$F$2:$F$378,0)*I211/_xlfn.XLOOKUP($A211,'00_SKU_Master'!$B$2:$B$378,'00_SKU_Master'!$O:$O,0),"")</f>
        <v>#NAME?</v>
      </c>
      <c r="R209" s="112" t="e">
        <f ca="1">_xludf.IFNA(_xlfn.XLOOKUP($A211,'00_SKU_Master'!$B$2:$B$378,'00_SKU_Master'!$F$2:$F$378,0)*J211/_xlfn.XLOOKUP($A211,'00_SKU_Master'!$B$2:$B$378,'00_SKU_Master'!$O:$O,0),"")</f>
        <v>#NAME?</v>
      </c>
      <c r="S209" s="112" t="e">
        <f ca="1">_xludf.IFNA(_xlfn.XLOOKUP($A211,'00_SKU_Master'!$B$2:$B$378,'00_SKU_Master'!$F$2:$F$378,0)*K211/_xlfn.XLOOKUP($A211,'00_SKU_Master'!$B$2:$B$378,'00_SKU_Master'!$O:$O,0),"")</f>
        <v>#NAME?</v>
      </c>
      <c r="T209" s="113" t="e">
        <f t="shared" si="6"/>
        <v>#VALUE!</v>
      </c>
      <c r="U209" s="114" t="str">
        <f>'05_Daily_Orders'!L209</f>
        <v>LCL</v>
      </c>
    </row>
    <row r="210" spans="1:21">
      <c r="A210" s="108">
        <f>'05_Daily_Orders'!B210</f>
        <v>7862</v>
      </c>
      <c r="B210" s="50">
        <v>0</v>
      </c>
      <c r="C210" s="50">
        <v>0</v>
      </c>
      <c r="D210" s="109"/>
      <c r="E210" s="109"/>
      <c r="F210">
        <v>0</v>
      </c>
      <c r="L210" s="110">
        <f t="shared" si="7"/>
        <v>0</v>
      </c>
      <c r="M210" s="111" t="str">
        <f>_xlfn.IFNA(_xlfn.XLOOKUP(A210,'00_SKU_Master'!$B$2:$B$378,'00_SKU_Master'!$C$2:$C$378,0),"")</f>
        <v>61072#2</v>
      </c>
      <c r="N210" s="112" t="e">
        <f>_xlfn.IFNA(_xlfn.XLOOKUP(A210,'00_SKU_Master'!$B$2:$B$378,'00_SKU_Master'!$F$2:$F$378,0)*F210/_xlfn.XLOOKUP(A210,'00_SKU_Master'!$B$2:$B$378,'00_SKU_Master'!$O:$O,0),"")</f>
        <v>#VALUE!</v>
      </c>
      <c r="O210" s="112" t="e">
        <f ca="1">_xludf.IFNA(_xlfn.XLOOKUP($A212,'00_SKU_Master'!$B$2:$B$378,'00_SKU_Master'!$F$2:$F$378,0)*G212/_xlfn.XLOOKUP($A212,'00_SKU_Master'!$B$2:$B$378,'00_SKU_Master'!$O:$O,0),"")</f>
        <v>#NAME?</v>
      </c>
      <c r="P210" s="112" t="e">
        <f ca="1">_xludf.IFNA(_xlfn.XLOOKUP($A212,'00_SKU_Master'!$B$2:$B$378,'00_SKU_Master'!$F$2:$F$378,0)*H212/_xlfn.XLOOKUP($A212,'00_SKU_Master'!$B$2:$B$378,'00_SKU_Master'!$O:$O,0),"")</f>
        <v>#NAME?</v>
      </c>
      <c r="Q210" s="112" t="e">
        <f ca="1">_xludf.IFNA(_xlfn.XLOOKUP($A212,'00_SKU_Master'!$B$2:$B$378,'00_SKU_Master'!$F$2:$F$378,0)*I212/_xlfn.XLOOKUP($A212,'00_SKU_Master'!$B$2:$B$378,'00_SKU_Master'!$O:$O,0),"")</f>
        <v>#NAME?</v>
      </c>
      <c r="R210" s="112" t="e">
        <f ca="1">_xludf.IFNA(_xlfn.XLOOKUP($A212,'00_SKU_Master'!$B$2:$B$378,'00_SKU_Master'!$F$2:$F$378,0)*J212/_xlfn.XLOOKUP($A212,'00_SKU_Master'!$B$2:$B$378,'00_SKU_Master'!$O:$O,0),"")</f>
        <v>#NAME?</v>
      </c>
      <c r="S210" s="112" t="e">
        <f ca="1">_xludf.IFNA(_xlfn.XLOOKUP($A212,'00_SKU_Master'!$B$2:$B$378,'00_SKU_Master'!$F$2:$F$378,0)*K212/_xlfn.XLOOKUP($A212,'00_SKU_Master'!$B$2:$B$378,'00_SKU_Master'!$O:$O,0),"")</f>
        <v>#NAME?</v>
      </c>
      <c r="T210" s="113" t="e">
        <f t="shared" si="6"/>
        <v>#VALUE!</v>
      </c>
      <c r="U210" s="114" t="str">
        <f>'05_Daily_Orders'!L210</f>
        <v>LCL</v>
      </c>
    </row>
    <row r="211" spans="1:21">
      <c r="A211" s="108">
        <f>'05_Daily_Orders'!B211</f>
        <v>7863</v>
      </c>
      <c r="B211" s="50">
        <v>0</v>
      </c>
      <c r="C211" s="50">
        <v>0</v>
      </c>
      <c r="D211" s="109"/>
      <c r="E211" s="109"/>
      <c r="F211">
        <v>0</v>
      </c>
      <c r="L211" s="110">
        <f t="shared" si="7"/>
        <v>0</v>
      </c>
      <c r="M211" s="111" t="str">
        <f>_xlfn.IFNA(_xlfn.XLOOKUP(A211,'00_SKU_Master'!$B$2:$B$378,'00_SKU_Master'!$C$2:$C$378,0),"")</f>
        <v>61050#2</v>
      </c>
      <c r="N211" s="112" t="e">
        <f>_xlfn.IFNA(_xlfn.XLOOKUP(A211,'00_SKU_Master'!$B$2:$B$378,'00_SKU_Master'!$F$2:$F$378,0)*F211/_xlfn.XLOOKUP(A211,'00_SKU_Master'!$B$2:$B$378,'00_SKU_Master'!$O:$O,0),"")</f>
        <v>#VALUE!</v>
      </c>
      <c r="O211" s="112" t="e">
        <f ca="1">_xludf.IFNA(_xlfn.XLOOKUP($A213,'00_SKU_Master'!$B$2:$B$378,'00_SKU_Master'!$F$2:$F$378,0)*G213/_xlfn.XLOOKUP($A213,'00_SKU_Master'!$B$2:$B$378,'00_SKU_Master'!$O:$O,0),"")</f>
        <v>#NAME?</v>
      </c>
      <c r="P211" s="112" t="e">
        <f ca="1">_xludf.IFNA(_xlfn.XLOOKUP($A213,'00_SKU_Master'!$B$2:$B$378,'00_SKU_Master'!$F$2:$F$378,0)*H213/_xlfn.XLOOKUP($A213,'00_SKU_Master'!$B$2:$B$378,'00_SKU_Master'!$O:$O,0),"")</f>
        <v>#NAME?</v>
      </c>
      <c r="Q211" s="112" t="e">
        <f ca="1">_xludf.IFNA(_xlfn.XLOOKUP($A213,'00_SKU_Master'!$B$2:$B$378,'00_SKU_Master'!$F$2:$F$378,0)*I213/_xlfn.XLOOKUP($A213,'00_SKU_Master'!$B$2:$B$378,'00_SKU_Master'!$O:$O,0),"")</f>
        <v>#NAME?</v>
      </c>
      <c r="R211" s="112" t="e">
        <f ca="1">_xludf.IFNA(_xlfn.XLOOKUP($A213,'00_SKU_Master'!$B$2:$B$378,'00_SKU_Master'!$F$2:$F$378,0)*J213/_xlfn.XLOOKUP($A213,'00_SKU_Master'!$B$2:$B$378,'00_SKU_Master'!$O:$O,0),"")</f>
        <v>#NAME?</v>
      </c>
      <c r="S211" s="112" t="e">
        <f ca="1">_xludf.IFNA(_xlfn.XLOOKUP($A213,'00_SKU_Master'!$B$2:$B$378,'00_SKU_Master'!$F$2:$F$378,0)*K213/_xlfn.XLOOKUP($A213,'00_SKU_Master'!$B$2:$B$378,'00_SKU_Master'!$O:$O,0),"")</f>
        <v>#NAME?</v>
      </c>
      <c r="T211" s="113" t="e">
        <f t="shared" si="6"/>
        <v>#VALUE!</v>
      </c>
      <c r="U211" s="114" t="str">
        <f>'05_Daily_Orders'!L211</f>
        <v>LCL</v>
      </c>
    </row>
    <row r="212" spans="1:21">
      <c r="A212" s="108">
        <f>'05_Daily_Orders'!B212</f>
        <v>7864</v>
      </c>
      <c r="B212" s="50">
        <v>0</v>
      </c>
      <c r="C212" s="50">
        <v>0</v>
      </c>
      <c r="D212" s="109"/>
      <c r="E212" s="109"/>
      <c r="F212">
        <v>0</v>
      </c>
      <c r="L212" s="110">
        <f t="shared" si="7"/>
        <v>0</v>
      </c>
      <c r="M212" s="111">
        <f>_xlfn.IFNA(_xlfn.XLOOKUP(A212,'00_SKU_Master'!$B$2:$B$378,'00_SKU_Master'!$C$2:$C$378,0),"")</f>
        <v>203891</v>
      </c>
      <c r="N212" s="112" t="e">
        <f>_xlfn.IFNA(_xlfn.XLOOKUP(A212,'00_SKU_Master'!$B$2:$B$378,'00_SKU_Master'!$F$2:$F$378,0)*F212/_xlfn.XLOOKUP(A212,'00_SKU_Master'!$B$2:$B$378,'00_SKU_Master'!$O:$O,0),"")</f>
        <v>#VALUE!</v>
      </c>
      <c r="O212" s="112" t="e">
        <f ca="1">_xludf.IFNA(_xlfn.XLOOKUP($A214,'00_SKU_Master'!$B$2:$B$378,'00_SKU_Master'!$F$2:$F$378,0)*G214/_xlfn.XLOOKUP($A214,'00_SKU_Master'!$B$2:$B$378,'00_SKU_Master'!$O:$O,0),"")</f>
        <v>#NAME?</v>
      </c>
      <c r="P212" s="112" t="e">
        <f ca="1">_xludf.IFNA(_xlfn.XLOOKUP($A214,'00_SKU_Master'!$B$2:$B$378,'00_SKU_Master'!$F$2:$F$378,0)*H214/_xlfn.XLOOKUP($A214,'00_SKU_Master'!$B$2:$B$378,'00_SKU_Master'!$O:$O,0),"")</f>
        <v>#NAME?</v>
      </c>
      <c r="Q212" s="112" t="e">
        <f ca="1">_xludf.IFNA(_xlfn.XLOOKUP($A214,'00_SKU_Master'!$B$2:$B$378,'00_SKU_Master'!$F$2:$F$378,0)*I214/_xlfn.XLOOKUP($A214,'00_SKU_Master'!$B$2:$B$378,'00_SKU_Master'!$O:$O,0),"")</f>
        <v>#NAME?</v>
      </c>
      <c r="R212" s="112" t="e">
        <f ca="1">_xludf.IFNA(_xlfn.XLOOKUP($A214,'00_SKU_Master'!$B$2:$B$378,'00_SKU_Master'!$F$2:$F$378,0)*J214/_xlfn.XLOOKUP($A214,'00_SKU_Master'!$B$2:$B$378,'00_SKU_Master'!$O:$O,0),"")</f>
        <v>#NAME?</v>
      </c>
      <c r="S212" s="112" t="e">
        <f ca="1">_xludf.IFNA(_xlfn.XLOOKUP($A214,'00_SKU_Master'!$B$2:$B$378,'00_SKU_Master'!$F$2:$F$378,0)*K214/_xlfn.XLOOKUP($A214,'00_SKU_Master'!$B$2:$B$378,'00_SKU_Master'!$O:$O,0),"")</f>
        <v>#NAME?</v>
      </c>
      <c r="T212" s="113" t="e">
        <f t="shared" si="6"/>
        <v>#VALUE!</v>
      </c>
      <c r="U212" s="114" t="str">
        <f>'05_Daily_Orders'!L212</f>
        <v>LCL</v>
      </c>
    </row>
    <row r="213" spans="1:21">
      <c r="A213" s="108">
        <f>'05_Daily_Orders'!B213</f>
        <v>7865</v>
      </c>
      <c r="B213" s="50">
        <v>0</v>
      </c>
      <c r="C213" s="50">
        <v>0</v>
      </c>
      <c r="D213" s="109"/>
      <c r="E213" s="109"/>
      <c r="F213">
        <v>0</v>
      </c>
      <c r="L213" s="110">
        <f t="shared" si="7"/>
        <v>0</v>
      </c>
      <c r="M213" s="111">
        <f>_xlfn.IFNA(_xlfn.XLOOKUP(A213,'00_SKU_Master'!$B$2:$B$378,'00_SKU_Master'!$C$2:$C$378,0),"")</f>
        <v>61082</v>
      </c>
      <c r="N213" s="112" t="e">
        <f>_xlfn.IFNA(_xlfn.XLOOKUP(A213,'00_SKU_Master'!$B$2:$B$378,'00_SKU_Master'!$F$2:$F$378,0)*F213/_xlfn.XLOOKUP(A213,'00_SKU_Master'!$B$2:$B$378,'00_SKU_Master'!$O:$O,0),"")</f>
        <v>#VALUE!</v>
      </c>
      <c r="O213" s="112" t="e">
        <f ca="1">_xludf.IFNA(_xlfn.XLOOKUP($A215,'00_SKU_Master'!$B$2:$B$378,'00_SKU_Master'!$F$2:$F$378,0)*G215/_xlfn.XLOOKUP($A215,'00_SKU_Master'!$B$2:$B$378,'00_SKU_Master'!$O:$O,0),"")</f>
        <v>#NAME?</v>
      </c>
      <c r="P213" s="112" t="e">
        <f ca="1">_xludf.IFNA(_xlfn.XLOOKUP($A215,'00_SKU_Master'!$B$2:$B$378,'00_SKU_Master'!$F$2:$F$378,0)*H215/_xlfn.XLOOKUP($A215,'00_SKU_Master'!$B$2:$B$378,'00_SKU_Master'!$O:$O,0),"")</f>
        <v>#NAME?</v>
      </c>
      <c r="Q213" s="112" t="e">
        <f ca="1">_xludf.IFNA(_xlfn.XLOOKUP($A215,'00_SKU_Master'!$B$2:$B$378,'00_SKU_Master'!$F$2:$F$378,0)*I215/_xlfn.XLOOKUP($A215,'00_SKU_Master'!$B$2:$B$378,'00_SKU_Master'!$O:$O,0),"")</f>
        <v>#NAME?</v>
      </c>
      <c r="R213" s="112" t="e">
        <f ca="1">_xludf.IFNA(_xlfn.XLOOKUP($A215,'00_SKU_Master'!$B$2:$B$378,'00_SKU_Master'!$F$2:$F$378,0)*J215/_xlfn.XLOOKUP($A215,'00_SKU_Master'!$B$2:$B$378,'00_SKU_Master'!$O:$O,0),"")</f>
        <v>#NAME?</v>
      </c>
      <c r="S213" s="112" t="e">
        <f ca="1">_xludf.IFNA(_xlfn.XLOOKUP($A215,'00_SKU_Master'!$B$2:$B$378,'00_SKU_Master'!$F$2:$F$378,0)*K215/_xlfn.XLOOKUP($A215,'00_SKU_Master'!$B$2:$B$378,'00_SKU_Master'!$O:$O,0),"")</f>
        <v>#NAME?</v>
      </c>
      <c r="T213" s="113" t="e">
        <f t="shared" si="6"/>
        <v>#VALUE!</v>
      </c>
      <c r="U213" s="114" t="str">
        <f>'05_Daily_Orders'!L213</f>
        <v>LCL</v>
      </c>
    </row>
    <row r="214" spans="1:21">
      <c r="A214" s="108">
        <f>'05_Daily_Orders'!B214</f>
        <v>7866</v>
      </c>
      <c r="B214" s="50">
        <v>0</v>
      </c>
      <c r="C214" s="50">
        <v>0</v>
      </c>
      <c r="D214" s="109"/>
      <c r="E214" s="109"/>
      <c r="F214">
        <v>0</v>
      </c>
      <c r="L214" s="110">
        <f t="shared" si="7"/>
        <v>0</v>
      </c>
      <c r="M214" s="111">
        <f>_xlfn.IFNA(_xlfn.XLOOKUP(A214,'00_SKU_Master'!$B$2:$B$378,'00_SKU_Master'!$C$2:$C$378,0),"")</f>
        <v>61061</v>
      </c>
      <c r="N214" s="112" t="e">
        <f>_xlfn.IFNA(_xlfn.XLOOKUP(A214,'00_SKU_Master'!$B$2:$B$378,'00_SKU_Master'!$F$2:$F$378,0)*F214/_xlfn.XLOOKUP(A214,'00_SKU_Master'!$B$2:$B$378,'00_SKU_Master'!$O:$O,0),"")</f>
        <v>#VALUE!</v>
      </c>
      <c r="O214" s="112" t="e">
        <f ca="1">_xludf.IFNA(_xlfn.XLOOKUP($A216,'00_SKU_Master'!$B$2:$B$378,'00_SKU_Master'!$F$2:$F$378,0)*G216/_xlfn.XLOOKUP($A216,'00_SKU_Master'!$B$2:$B$378,'00_SKU_Master'!$O:$O,0),"")</f>
        <v>#NAME?</v>
      </c>
      <c r="P214" s="112" t="e">
        <f ca="1">_xludf.IFNA(_xlfn.XLOOKUP($A216,'00_SKU_Master'!$B$2:$B$378,'00_SKU_Master'!$F$2:$F$378,0)*H216/_xlfn.XLOOKUP($A216,'00_SKU_Master'!$B$2:$B$378,'00_SKU_Master'!$O:$O,0),"")</f>
        <v>#NAME?</v>
      </c>
      <c r="Q214" s="112" t="e">
        <f ca="1">_xludf.IFNA(_xlfn.XLOOKUP($A216,'00_SKU_Master'!$B$2:$B$378,'00_SKU_Master'!$F$2:$F$378,0)*I216/_xlfn.XLOOKUP($A216,'00_SKU_Master'!$B$2:$B$378,'00_SKU_Master'!$O:$O,0),"")</f>
        <v>#NAME?</v>
      </c>
      <c r="R214" s="112" t="e">
        <f ca="1">_xludf.IFNA(_xlfn.XLOOKUP($A216,'00_SKU_Master'!$B$2:$B$378,'00_SKU_Master'!$F$2:$F$378,0)*J216/_xlfn.XLOOKUP($A216,'00_SKU_Master'!$B$2:$B$378,'00_SKU_Master'!$O:$O,0),"")</f>
        <v>#NAME?</v>
      </c>
      <c r="S214" s="112" t="e">
        <f ca="1">_xludf.IFNA(_xlfn.XLOOKUP($A216,'00_SKU_Master'!$B$2:$B$378,'00_SKU_Master'!$F$2:$F$378,0)*K216/_xlfn.XLOOKUP($A216,'00_SKU_Master'!$B$2:$B$378,'00_SKU_Master'!$O:$O,0),"")</f>
        <v>#NAME?</v>
      </c>
      <c r="T214" s="113" t="e">
        <f t="shared" si="6"/>
        <v>#VALUE!</v>
      </c>
      <c r="U214" s="114" t="str">
        <f>'05_Daily_Orders'!L214</f>
        <v>LCL</v>
      </c>
    </row>
    <row r="215" spans="1:21">
      <c r="A215" s="108">
        <f>'05_Daily_Orders'!B215</f>
        <v>7867</v>
      </c>
      <c r="B215" s="50">
        <v>0</v>
      </c>
      <c r="C215" s="50">
        <v>0</v>
      </c>
      <c r="D215" s="109"/>
      <c r="E215" s="109"/>
      <c r="F215">
        <v>0</v>
      </c>
      <c r="L215" s="110">
        <f t="shared" si="7"/>
        <v>0</v>
      </c>
      <c r="M215" s="111" t="str">
        <f>_xlfn.IFNA(_xlfn.XLOOKUP(A215,'00_SKU_Master'!$B$2:$B$378,'00_SKU_Master'!$C$2:$C$378,0),"")</f>
        <v>61086#2</v>
      </c>
      <c r="N215" s="112" t="e">
        <f>_xlfn.IFNA(_xlfn.XLOOKUP(A215,'00_SKU_Master'!$B$2:$B$378,'00_SKU_Master'!$F$2:$F$378,0)*F215/_xlfn.XLOOKUP(A215,'00_SKU_Master'!$B$2:$B$378,'00_SKU_Master'!$O:$O,0),"")</f>
        <v>#VALUE!</v>
      </c>
      <c r="O215" s="112" t="e">
        <f ca="1">_xludf.IFNA(_xlfn.XLOOKUP($A217,'00_SKU_Master'!$B$2:$B$378,'00_SKU_Master'!$F$2:$F$378,0)*G217/_xlfn.XLOOKUP($A217,'00_SKU_Master'!$B$2:$B$378,'00_SKU_Master'!$O:$O,0),"")</f>
        <v>#NAME?</v>
      </c>
      <c r="P215" s="112" t="e">
        <f ca="1">_xludf.IFNA(_xlfn.XLOOKUP($A217,'00_SKU_Master'!$B$2:$B$378,'00_SKU_Master'!$F$2:$F$378,0)*H217/_xlfn.XLOOKUP($A217,'00_SKU_Master'!$B$2:$B$378,'00_SKU_Master'!$O:$O,0),"")</f>
        <v>#NAME?</v>
      </c>
      <c r="Q215" s="112" t="e">
        <f ca="1">_xludf.IFNA(_xlfn.XLOOKUP($A217,'00_SKU_Master'!$B$2:$B$378,'00_SKU_Master'!$F$2:$F$378,0)*I217/_xlfn.XLOOKUP($A217,'00_SKU_Master'!$B$2:$B$378,'00_SKU_Master'!$O:$O,0),"")</f>
        <v>#NAME?</v>
      </c>
      <c r="R215" s="112" t="e">
        <f ca="1">_xludf.IFNA(_xlfn.XLOOKUP($A217,'00_SKU_Master'!$B$2:$B$378,'00_SKU_Master'!$F$2:$F$378,0)*J217/_xlfn.XLOOKUP($A217,'00_SKU_Master'!$B$2:$B$378,'00_SKU_Master'!$O:$O,0),"")</f>
        <v>#NAME?</v>
      </c>
      <c r="S215" s="112" t="e">
        <f ca="1">_xludf.IFNA(_xlfn.XLOOKUP($A217,'00_SKU_Master'!$B$2:$B$378,'00_SKU_Master'!$F$2:$F$378,0)*K217/_xlfn.XLOOKUP($A217,'00_SKU_Master'!$B$2:$B$378,'00_SKU_Master'!$O:$O,0),"")</f>
        <v>#NAME?</v>
      </c>
      <c r="T215" s="113" t="e">
        <f t="shared" si="6"/>
        <v>#VALUE!</v>
      </c>
      <c r="U215" s="114" t="str">
        <f>'05_Daily_Orders'!L215</f>
        <v>LCL</v>
      </c>
    </row>
    <row r="216" spans="1:21">
      <c r="A216" s="108">
        <f>'05_Daily_Orders'!B216</f>
        <v>7868</v>
      </c>
      <c r="B216" s="50">
        <v>0</v>
      </c>
      <c r="C216" s="50">
        <v>0</v>
      </c>
      <c r="D216" s="109"/>
      <c r="E216" s="109"/>
      <c r="F216">
        <v>0</v>
      </c>
      <c r="L216" s="110">
        <f t="shared" si="7"/>
        <v>0</v>
      </c>
      <c r="M216" s="111">
        <f>_xlfn.IFNA(_xlfn.XLOOKUP(A216,'00_SKU_Master'!$B$2:$B$378,'00_SKU_Master'!$C$2:$C$378,0),"")</f>
        <v>61064</v>
      </c>
      <c r="N216" s="112" t="e">
        <f>_xlfn.IFNA(_xlfn.XLOOKUP(A216,'00_SKU_Master'!$B$2:$B$378,'00_SKU_Master'!$F$2:$F$378,0)*F216/_xlfn.XLOOKUP(A216,'00_SKU_Master'!$B$2:$B$378,'00_SKU_Master'!$O:$O,0),"")</f>
        <v>#VALUE!</v>
      </c>
      <c r="O216" s="112" t="e">
        <f ca="1">_xludf.IFNA(_xlfn.XLOOKUP($A218,'00_SKU_Master'!$B$2:$B$378,'00_SKU_Master'!$F$2:$F$378,0)*G218/_xlfn.XLOOKUP($A218,'00_SKU_Master'!$B$2:$B$378,'00_SKU_Master'!$O:$O,0),"")</f>
        <v>#NAME?</v>
      </c>
      <c r="P216" s="112" t="e">
        <f ca="1">_xludf.IFNA(_xlfn.XLOOKUP($A218,'00_SKU_Master'!$B$2:$B$378,'00_SKU_Master'!$F$2:$F$378,0)*H218/_xlfn.XLOOKUP($A218,'00_SKU_Master'!$B$2:$B$378,'00_SKU_Master'!$O:$O,0),"")</f>
        <v>#NAME?</v>
      </c>
      <c r="Q216" s="112" t="e">
        <f ca="1">_xludf.IFNA(_xlfn.XLOOKUP($A218,'00_SKU_Master'!$B$2:$B$378,'00_SKU_Master'!$F$2:$F$378,0)*I218/_xlfn.XLOOKUP($A218,'00_SKU_Master'!$B$2:$B$378,'00_SKU_Master'!$O:$O,0),"")</f>
        <v>#NAME?</v>
      </c>
      <c r="R216" s="112" t="e">
        <f ca="1">_xludf.IFNA(_xlfn.XLOOKUP($A218,'00_SKU_Master'!$B$2:$B$378,'00_SKU_Master'!$F$2:$F$378,0)*J218/_xlfn.XLOOKUP($A218,'00_SKU_Master'!$B$2:$B$378,'00_SKU_Master'!$O:$O,0),"")</f>
        <v>#NAME?</v>
      </c>
      <c r="S216" s="112" t="e">
        <f ca="1">_xludf.IFNA(_xlfn.XLOOKUP($A218,'00_SKU_Master'!$B$2:$B$378,'00_SKU_Master'!$F$2:$F$378,0)*K218/_xlfn.XLOOKUP($A218,'00_SKU_Master'!$B$2:$B$378,'00_SKU_Master'!$O:$O,0),"")</f>
        <v>#NAME?</v>
      </c>
      <c r="T216" s="113" t="e">
        <f t="shared" si="6"/>
        <v>#VALUE!</v>
      </c>
      <c r="U216" s="114" t="str">
        <f>'05_Daily_Orders'!L216</f>
        <v>LCL</v>
      </c>
    </row>
    <row r="217" spans="1:21">
      <c r="A217" s="108">
        <f>'05_Daily_Orders'!B217</f>
        <v>7869</v>
      </c>
      <c r="B217" s="50">
        <v>0</v>
      </c>
      <c r="C217" s="50">
        <v>21</v>
      </c>
      <c r="D217" s="109"/>
      <c r="E217" s="109"/>
      <c r="F217">
        <v>28</v>
      </c>
      <c r="L217" s="110">
        <f t="shared" si="7"/>
        <v>0</v>
      </c>
      <c r="M217" s="111">
        <f>_xlfn.IFNA(_xlfn.XLOOKUP(A217,'00_SKU_Master'!$B$2:$B$378,'00_SKU_Master'!$C$2:$C$378,0),"")</f>
        <v>61064</v>
      </c>
      <c r="N217" s="112" t="e">
        <f>_xlfn.IFNA(_xlfn.XLOOKUP(A217,'00_SKU_Master'!$B$2:$B$378,'00_SKU_Master'!$F$2:$F$378,0)*F217/_xlfn.XLOOKUP(A217,'00_SKU_Master'!$B$2:$B$378,'00_SKU_Master'!$O:$O,0),"")</f>
        <v>#VALUE!</v>
      </c>
      <c r="O217" s="112" t="e">
        <f ca="1">_xludf.IFNA(_xlfn.XLOOKUP($A219,'00_SKU_Master'!$B$2:$B$378,'00_SKU_Master'!$F$2:$F$378,0)*G219/_xlfn.XLOOKUP($A219,'00_SKU_Master'!$B$2:$B$378,'00_SKU_Master'!$O:$O,0),"")</f>
        <v>#NAME?</v>
      </c>
      <c r="P217" s="112" t="e">
        <f ca="1">_xludf.IFNA(_xlfn.XLOOKUP($A219,'00_SKU_Master'!$B$2:$B$378,'00_SKU_Master'!$F$2:$F$378,0)*H219/_xlfn.XLOOKUP($A219,'00_SKU_Master'!$B$2:$B$378,'00_SKU_Master'!$O:$O,0),"")</f>
        <v>#NAME?</v>
      </c>
      <c r="Q217" s="112" t="e">
        <f ca="1">_xludf.IFNA(_xlfn.XLOOKUP($A219,'00_SKU_Master'!$B$2:$B$378,'00_SKU_Master'!$F$2:$F$378,0)*I219/_xlfn.XLOOKUP($A219,'00_SKU_Master'!$B$2:$B$378,'00_SKU_Master'!$O:$O,0),"")</f>
        <v>#NAME?</v>
      </c>
      <c r="R217" s="112" t="e">
        <f ca="1">_xludf.IFNA(_xlfn.XLOOKUP($A219,'00_SKU_Master'!$B$2:$B$378,'00_SKU_Master'!$F$2:$F$378,0)*J219/_xlfn.XLOOKUP($A219,'00_SKU_Master'!$B$2:$B$378,'00_SKU_Master'!$O:$O,0),"")</f>
        <v>#NAME?</v>
      </c>
      <c r="S217" s="112" t="e">
        <f ca="1">_xludf.IFNA(_xlfn.XLOOKUP($A219,'00_SKU_Master'!$B$2:$B$378,'00_SKU_Master'!$F$2:$F$378,0)*K219/_xlfn.XLOOKUP($A219,'00_SKU_Master'!$B$2:$B$378,'00_SKU_Master'!$O:$O,0),"")</f>
        <v>#NAME?</v>
      </c>
      <c r="T217" s="113" t="e">
        <f t="shared" si="6"/>
        <v>#VALUE!</v>
      </c>
      <c r="U217" s="114" t="str">
        <f>'05_Daily_Orders'!L217</f>
        <v>LCL</v>
      </c>
    </row>
    <row r="218" spans="1:21">
      <c r="A218" s="108">
        <f>'05_Daily_Orders'!B218</f>
        <v>7912</v>
      </c>
      <c r="B218" s="50">
        <v>0</v>
      </c>
      <c r="C218" s="50">
        <v>0</v>
      </c>
      <c r="D218" s="109"/>
      <c r="E218" s="109"/>
      <c r="F218">
        <v>0</v>
      </c>
      <c r="L218" s="110">
        <f t="shared" si="7"/>
        <v>0</v>
      </c>
      <c r="M218" s="111" t="str">
        <f>_xlfn.IFNA(_xlfn.XLOOKUP(A218,'00_SKU_Master'!$B$2:$B$378,'00_SKU_Master'!$C$2:$C$378,0),"")</f>
        <v>61040#2</v>
      </c>
      <c r="N218" s="112" t="e">
        <f>_xlfn.IFNA(_xlfn.XLOOKUP(A218,'00_SKU_Master'!$B$2:$B$378,'00_SKU_Master'!$F$2:$F$378,0)*F218/_xlfn.XLOOKUP(A218,'00_SKU_Master'!$B$2:$B$378,'00_SKU_Master'!$O:$O,0),"")</f>
        <v>#VALUE!</v>
      </c>
      <c r="O218" s="112" t="e">
        <f ca="1">_xludf.IFNA(_xlfn.XLOOKUP($A220,'00_SKU_Master'!$B$2:$B$378,'00_SKU_Master'!$F$2:$F$378,0)*G220/_xlfn.XLOOKUP($A220,'00_SKU_Master'!$B$2:$B$378,'00_SKU_Master'!$O:$O,0),"")</f>
        <v>#NAME?</v>
      </c>
      <c r="P218" s="112" t="e">
        <f ca="1">_xludf.IFNA(_xlfn.XLOOKUP($A220,'00_SKU_Master'!$B$2:$B$378,'00_SKU_Master'!$F$2:$F$378,0)*H220/_xlfn.XLOOKUP($A220,'00_SKU_Master'!$B$2:$B$378,'00_SKU_Master'!$O:$O,0),"")</f>
        <v>#NAME?</v>
      </c>
      <c r="Q218" s="112" t="e">
        <f ca="1">_xludf.IFNA(_xlfn.XLOOKUP($A220,'00_SKU_Master'!$B$2:$B$378,'00_SKU_Master'!$F$2:$F$378,0)*I220/_xlfn.XLOOKUP($A220,'00_SKU_Master'!$B$2:$B$378,'00_SKU_Master'!$O:$O,0),"")</f>
        <v>#NAME?</v>
      </c>
      <c r="R218" s="112" t="e">
        <f ca="1">_xludf.IFNA(_xlfn.XLOOKUP($A220,'00_SKU_Master'!$B$2:$B$378,'00_SKU_Master'!$F$2:$F$378,0)*J220/_xlfn.XLOOKUP($A220,'00_SKU_Master'!$B$2:$B$378,'00_SKU_Master'!$O:$O,0),"")</f>
        <v>#NAME?</v>
      </c>
      <c r="S218" s="112" t="e">
        <f ca="1">_xludf.IFNA(_xlfn.XLOOKUP($A220,'00_SKU_Master'!$B$2:$B$378,'00_SKU_Master'!$F$2:$F$378,0)*K220/_xlfn.XLOOKUP($A220,'00_SKU_Master'!$B$2:$B$378,'00_SKU_Master'!$O:$O,0),"")</f>
        <v>#NAME?</v>
      </c>
      <c r="T218" s="113" t="e">
        <f t="shared" si="6"/>
        <v>#VALUE!</v>
      </c>
      <c r="U218" s="114" t="str">
        <f>'05_Daily_Orders'!L218</f>
        <v>FB</v>
      </c>
    </row>
    <row r="219" spans="1:21">
      <c r="A219" s="108">
        <f>'05_Daily_Orders'!B219</f>
        <v>7939</v>
      </c>
      <c r="B219" s="50">
        <v>0</v>
      </c>
      <c r="C219" s="50">
        <v>0</v>
      </c>
      <c r="D219" s="109"/>
      <c r="E219" s="109"/>
      <c r="F219">
        <v>0</v>
      </c>
      <c r="L219" s="110">
        <f t="shared" si="7"/>
        <v>0</v>
      </c>
      <c r="M219" s="111">
        <f>_xlfn.IFNA(_xlfn.XLOOKUP(A219,'00_SKU_Master'!$B$2:$B$378,'00_SKU_Master'!$C$2:$C$378,0),"")</f>
        <v>61010</v>
      </c>
      <c r="N219" s="112" t="e">
        <f>_xlfn.IFNA(_xlfn.XLOOKUP(A219,'00_SKU_Master'!$B$2:$B$378,'00_SKU_Master'!$F$2:$F$378,0)*F219/_xlfn.XLOOKUP(A219,'00_SKU_Master'!$B$2:$B$378,'00_SKU_Master'!$O:$O,0),"")</f>
        <v>#VALUE!</v>
      </c>
      <c r="O219" s="112" t="e">
        <f ca="1">_xludf.IFNA(_xlfn.XLOOKUP($A221,'00_SKU_Master'!$B$2:$B$378,'00_SKU_Master'!$F$2:$F$378,0)*G221/_xlfn.XLOOKUP($A221,'00_SKU_Master'!$B$2:$B$378,'00_SKU_Master'!$O:$O,0),"")</f>
        <v>#NAME?</v>
      </c>
      <c r="P219" s="112" t="e">
        <f ca="1">_xludf.IFNA(_xlfn.XLOOKUP($A221,'00_SKU_Master'!$B$2:$B$378,'00_SKU_Master'!$F$2:$F$378,0)*H221/_xlfn.XLOOKUP($A221,'00_SKU_Master'!$B$2:$B$378,'00_SKU_Master'!$O:$O,0),"")</f>
        <v>#NAME?</v>
      </c>
      <c r="Q219" s="112" t="e">
        <f ca="1">_xludf.IFNA(_xlfn.XLOOKUP($A221,'00_SKU_Master'!$B$2:$B$378,'00_SKU_Master'!$F$2:$F$378,0)*I221/_xlfn.XLOOKUP($A221,'00_SKU_Master'!$B$2:$B$378,'00_SKU_Master'!$O:$O,0),"")</f>
        <v>#NAME?</v>
      </c>
      <c r="R219" s="112" t="e">
        <f ca="1">_xludf.IFNA(_xlfn.XLOOKUP($A221,'00_SKU_Master'!$B$2:$B$378,'00_SKU_Master'!$F$2:$F$378,0)*J221/_xlfn.XLOOKUP($A221,'00_SKU_Master'!$B$2:$B$378,'00_SKU_Master'!$O:$O,0),"")</f>
        <v>#NAME?</v>
      </c>
      <c r="S219" s="112" t="e">
        <f ca="1">_xludf.IFNA(_xlfn.XLOOKUP($A221,'00_SKU_Master'!$B$2:$B$378,'00_SKU_Master'!$F$2:$F$378,0)*K221/_xlfn.XLOOKUP($A221,'00_SKU_Master'!$B$2:$B$378,'00_SKU_Master'!$O:$O,0),"")</f>
        <v>#NAME?</v>
      </c>
      <c r="T219" s="113" t="e">
        <f t="shared" si="6"/>
        <v>#VALUE!</v>
      </c>
      <c r="U219" s="114" t="str">
        <f>'05_Daily_Orders'!L219</f>
        <v>FB</v>
      </c>
    </row>
    <row r="220" spans="1:21">
      <c r="A220" s="108">
        <f>'05_Daily_Orders'!B220</f>
        <v>7976</v>
      </c>
      <c r="B220" s="50">
        <v>0</v>
      </c>
      <c r="C220" s="50">
        <v>0</v>
      </c>
      <c r="D220" s="109"/>
      <c r="E220" s="109"/>
      <c r="F220">
        <v>0</v>
      </c>
      <c r="L220" s="110">
        <f t="shared" si="7"/>
        <v>0</v>
      </c>
      <c r="M220" s="111">
        <f>_xlfn.IFNA(_xlfn.XLOOKUP(A220,'00_SKU_Master'!$B$2:$B$378,'00_SKU_Master'!$C$2:$C$378,0),"")</f>
        <v>61061</v>
      </c>
      <c r="N220" s="112" t="e">
        <f>_xlfn.IFNA(_xlfn.XLOOKUP(A220,'00_SKU_Master'!$B$2:$B$378,'00_SKU_Master'!$F$2:$F$378,0)*F220/_xlfn.XLOOKUP(A220,'00_SKU_Master'!$B$2:$B$378,'00_SKU_Master'!$O:$O,0),"")</f>
        <v>#VALUE!</v>
      </c>
      <c r="O220" s="112" t="e">
        <f ca="1">_xludf.IFNA(_xlfn.XLOOKUP($A222,'00_SKU_Master'!$B$2:$B$378,'00_SKU_Master'!$F$2:$F$378,0)*G222/_xlfn.XLOOKUP($A222,'00_SKU_Master'!$B$2:$B$378,'00_SKU_Master'!$O:$O,0),"")</f>
        <v>#NAME?</v>
      </c>
      <c r="P220" s="112" t="e">
        <f ca="1">_xludf.IFNA(_xlfn.XLOOKUP($A222,'00_SKU_Master'!$B$2:$B$378,'00_SKU_Master'!$F$2:$F$378,0)*H222/_xlfn.XLOOKUP($A222,'00_SKU_Master'!$B$2:$B$378,'00_SKU_Master'!$O:$O,0),"")</f>
        <v>#NAME?</v>
      </c>
      <c r="Q220" s="112" t="e">
        <f ca="1">_xludf.IFNA(_xlfn.XLOOKUP($A222,'00_SKU_Master'!$B$2:$B$378,'00_SKU_Master'!$F$2:$F$378,0)*I222/_xlfn.XLOOKUP($A222,'00_SKU_Master'!$B$2:$B$378,'00_SKU_Master'!$O:$O,0),"")</f>
        <v>#NAME?</v>
      </c>
      <c r="R220" s="112" t="e">
        <f ca="1">_xludf.IFNA(_xlfn.XLOOKUP($A222,'00_SKU_Master'!$B$2:$B$378,'00_SKU_Master'!$F$2:$F$378,0)*J222/_xlfn.XLOOKUP($A222,'00_SKU_Master'!$B$2:$B$378,'00_SKU_Master'!$O:$O,0),"")</f>
        <v>#NAME?</v>
      </c>
      <c r="S220" s="112" t="e">
        <f ca="1">_xludf.IFNA(_xlfn.XLOOKUP($A222,'00_SKU_Master'!$B$2:$B$378,'00_SKU_Master'!$F$2:$F$378,0)*K222/_xlfn.XLOOKUP($A222,'00_SKU_Master'!$B$2:$B$378,'00_SKU_Master'!$O:$O,0),"")</f>
        <v>#NAME?</v>
      </c>
      <c r="T220" s="113" t="e">
        <f t="shared" si="6"/>
        <v>#VALUE!</v>
      </c>
      <c r="U220" s="114" t="str">
        <f>'05_Daily_Orders'!L220</f>
        <v>FB</v>
      </c>
    </row>
    <row r="221" spans="1:21">
      <c r="A221" s="108">
        <f>'05_Daily_Orders'!B221</f>
        <v>7978</v>
      </c>
      <c r="B221" s="50">
        <v>0</v>
      </c>
      <c r="C221" s="50">
        <v>0</v>
      </c>
      <c r="D221" s="109"/>
      <c r="E221" s="109"/>
      <c r="F221">
        <v>0</v>
      </c>
      <c r="L221" s="110">
        <f t="shared" si="7"/>
        <v>0</v>
      </c>
      <c r="M221" s="111" t="str">
        <f>_xlfn.IFNA(_xlfn.XLOOKUP(A221,'00_SKU_Master'!$B$2:$B$378,'00_SKU_Master'!$C$2:$C$378,0),"")</f>
        <v>61050#2</v>
      </c>
      <c r="N221" s="112" t="e">
        <f>_xlfn.IFNA(_xlfn.XLOOKUP(A221,'00_SKU_Master'!$B$2:$B$378,'00_SKU_Master'!$F$2:$F$378,0)*F221/_xlfn.XLOOKUP(A221,'00_SKU_Master'!$B$2:$B$378,'00_SKU_Master'!$O:$O,0),"")</f>
        <v>#VALUE!</v>
      </c>
      <c r="O221" s="112" t="e">
        <f ca="1">_xludf.IFNA(_xlfn.XLOOKUP($A223,'00_SKU_Master'!$B$2:$B$378,'00_SKU_Master'!$F$2:$F$378,0)*G223/_xlfn.XLOOKUP($A223,'00_SKU_Master'!$B$2:$B$378,'00_SKU_Master'!$O:$O,0),"")</f>
        <v>#NAME?</v>
      </c>
      <c r="P221" s="112" t="e">
        <f ca="1">_xludf.IFNA(_xlfn.XLOOKUP($A223,'00_SKU_Master'!$B$2:$B$378,'00_SKU_Master'!$F$2:$F$378,0)*H223/_xlfn.XLOOKUP($A223,'00_SKU_Master'!$B$2:$B$378,'00_SKU_Master'!$O:$O,0),"")</f>
        <v>#NAME?</v>
      </c>
      <c r="Q221" s="112" t="e">
        <f ca="1">_xludf.IFNA(_xlfn.XLOOKUP($A223,'00_SKU_Master'!$B$2:$B$378,'00_SKU_Master'!$F$2:$F$378,0)*I223/_xlfn.XLOOKUP($A223,'00_SKU_Master'!$B$2:$B$378,'00_SKU_Master'!$O:$O,0),"")</f>
        <v>#NAME?</v>
      </c>
      <c r="R221" s="112" t="e">
        <f ca="1">_xludf.IFNA(_xlfn.XLOOKUP($A223,'00_SKU_Master'!$B$2:$B$378,'00_SKU_Master'!$F$2:$F$378,0)*J223/_xlfn.XLOOKUP($A223,'00_SKU_Master'!$B$2:$B$378,'00_SKU_Master'!$O:$O,0),"")</f>
        <v>#NAME?</v>
      </c>
      <c r="S221" s="112" t="e">
        <f ca="1">_xludf.IFNA(_xlfn.XLOOKUP($A223,'00_SKU_Master'!$B$2:$B$378,'00_SKU_Master'!$F$2:$F$378,0)*K223/_xlfn.XLOOKUP($A223,'00_SKU_Master'!$B$2:$B$378,'00_SKU_Master'!$O:$O,0),"")</f>
        <v>#NAME?</v>
      </c>
      <c r="T221" s="113" t="e">
        <f t="shared" si="6"/>
        <v>#VALUE!</v>
      </c>
      <c r="U221" s="114" t="str">
        <f>'05_Daily_Orders'!L221</f>
        <v>FB</v>
      </c>
    </row>
    <row r="222" spans="1:21">
      <c r="A222" s="108">
        <f>'05_Daily_Orders'!B222</f>
        <v>7979</v>
      </c>
      <c r="B222" s="50">
        <v>0</v>
      </c>
      <c r="C222" s="50">
        <v>0</v>
      </c>
      <c r="D222" s="109"/>
      <c r="E222" s="109"/>
      <c r="F222">
        <v>0</v>
      </c>
      <c r="L222" s="110">
        <f t="shared" si="7"/>
        <v>0</v>
      </c>
      <c r="M222" s="111" t="str">
        <f>_xlfn.IFNA(_xlfn.XLOOKUP(A222,'00_SKU_Master'!$B$2:$B$378,'00_SKU_Master'!$C$2:$C$378,0),"")</f>
        <v>61050#2</v>
      </c>
      <c r="N222" s="112" t="e">
        <f>_xlfn.IFNA(_xlfn.XLOOKUP(A222,'00_SKU_Master'!$B$2:$B$378,'00_SKU_Master'!$F$2:$F$378,0)*F222/_xlfn.XLOOKUP(A222,'00_SKU_Master'!$B$2:$B$378,'00_SKU_Master'!$O:$O,0),"")</f>
        <v>#VALUE!</v>
      </c>
      <c r="O222" s="112" t="e">
        <f ca="1">_xludf.IFNA(_xlfn.XLOOKUP($A224,'00_SKU_Master'!$B$2:$B$378,'00_SKU_Master'!$F$2:$F$378,0)*G224/_xlfn.XLOOKUP($A224,'00_SKU_Master'!$B$2:$B$378,'00_SKU_Master'!$O:$O,0),"")</f>
        <v>#NAME?</v>
      </c>
      <c r="P222" s="112" t="e">
        <f ca="1">_xludf.IFNA(_xlfn.XLOOKUP($A224,'00_SKU_Master'!$B$2:$B$378,'00_SKU_Master'!$F$2:$F$378,0)*H224/_xlfn.XLOOKUP($A224,'00_SKU_Master'!$B$2:$B$378,'00_SKU_Master'!$O:$O,0),"")</f>
        <v>#NAME?</v>
      </c>
      <c r="Q222" s="112" t="e">
        <f ca="1">_xludf.IFNA(_xlfn.XLOOKUP($A224,'00_SKU_Master'!$B$2:$B$378,'00_SKU_Master'!$F$2:$F$378,0)*I224/_xlfn.XLOOKUP($A224,'00_SKU_Master'!$B$2:$B$378,'00_SKU_Master'!$O:$O,0),"")</f>
        <v>#NAME?</v>
      </c>
      <c r="R222" s="112" t="e">
        <f ca="1">_xludf.IFNA(_xlfn.XLOOKUP($A224,'00_SKU_Master'!$B$2:$B$378,'00_SKU_Master'!$F$2:$F$378,0)*J224/_xlfn.XLOOKUP($A224,'00_SKU_Master'!$B$2:$B$378,'00_SKU_Master'!$O:$O,0),"")</f>
        <v>#NAME?</v>
      </c>
      <c r="S222" s="112" t="e">
        <f ca="1">_xludf.IFNA(_xlfn.XLOOKUP($A224,'00_SKU_Master'!$B$2:$B$378,'00_SKU_Master'!$F$2:$F$378,0)*K224/_xlfn.XLOOKUP($A224,'00_SKU_Master'!$B$2:$B$378,'00_SKU_Master'!$O:$O,0),"")</f>
        <v>#NAME?</v>
      </c>
      <c r="T222" s="113" t="e">
        <f t="shared" si="6"/>
        <v>#VALUE!</v>
      </c>
      <c r="U222" s="114" t="str">
        <f>'05_Daily_Orders'!L222</f>
        <v>FB</v>
      </c>
    </row>
    <row r="223" spans="1:21">
      <c r="A223" s="108">
        <f>'05_Daily_Orders'!B223</f>
        <v>200168</v>
      </c>
      <c r="B223" s="50">
        <v>0</v>
      </c>
      <c r="C223" s="50">
        <v>143</v>
      </c>
      <c r="D223" s="109"/>
      <c r="E223" s="109"/>
      <c r="F223">
        <v>0</v>
      </c>
      <c r="L223" s="110">
        <f t="shared" si="7"/>
        <v>0</v>
      </c>
      <c r="M223" s="111">
        <f>_xlfn.IFNA(_xlfn.XLOOKUP(A223,'00_SKU_Master'!$B$2:$B$378,'00_SKU_Master'!$C$2:$C$378,0),"")</f>
        <v>61061</v>
      </c>
      <c r="N223" s="112" t="e">
        <f>_xlfn.IFNA(_xlfn.XLOOKUP(A223,'00_SKU_Master'!$B$2:$B$378,'00_SKU_Master'!$F$2:$F$378,0)*F223/_xlfn.XLOOKUP(A223,'00_SKU_Master'!$B$2:$B$378,'00_SKU_Master'!$O:$O,0),"")</f>
        <v>#VALUE!</v>
      </c>
      <c r="O223" s="112" t="e">
        <f ca="1">_xludf.IFNA(_xlfn.XLOOKUP($A225,'00_SKU_Master'!$B$2:$B$378,'00_SKU_Master'!$F$2:$F$378,0)*G225/_xlfn.XLOOKUP($A225,'00_SKU_Master'!$B$2:$B$378,'00_SKU_Master'!$O:$O,0),"")</f>
        <v>#NAME?</v>
      </c>
      <c r="P223" s="112" t="e">
        <f ca="1">_xludf.IFNA(_xlfn.XLOOKUP($A225,'00_SKU_Master'!$B$2:$B$378,'00_SKU_Master'!$F$2:$F$378,0)*H225/_xlfn.XLOOKUP($A225,'00_SKU_Master'!$B$2:$B$378,'00_SKU_Master'!$O:$O,0),"")</f>
        <v>#NAME?</v>
      </c>
      <c r="Q223" s="112" t="e">
        <f ca="1">_xludf.IFNA(_xlfn.XLOOKUP($A225,'00_SKU_Master'!$B$2:$B$378,'00_SKU_Master'!$F$2:$F$378,0)*I225/_xlfn.XLOOKUP($A225,'00_SKU_Master'!$B$2:$B$378,'00_SKU_Master'!$O:$O,0),"")</f>
        <v>#NAME?</v>
      </c>
      <c r="R223" s="112" t="e">
        <f ca="1">_xludf.IFNA(_xlfn.XLOOKUP($A225,'00_SKU_Master'!$B$2:$B$378,'00_SKU_Master'!$F$2:$F$378,0)*J225/_xlfn.XLOOKUP($A225,'00_SKU_Master'!$B$2:$B$378,'00_SKU_Master'!$O:$O,0),"")</f>
        <v>#NAME?</v>
      </c>
      <c r="S223" s="112" t="e">
        <f ca="1">_xludf.IFNA(_xlfn.XLOOKUP($A225,'00_SKU_Master'!$B$2:$B$378,'00_SKU_Master'!$F$2:$F$378,0)*K225/_xlfn.XLOOKUP($A225,'00_SKU_Master'!$B$2:$B$378,'00_SKU_Master'!$O:$O,0),"")</f>
        <v>#NAME?</v>
      </c>
      <c r="T223" s="113" t="e">
        <f t="shared" si="6"/>
        <v>#VALUE!</v>
      </c>
      <c r="U223" s="114" t="str">
        <f>'05_Daily_Orders'!L223</f>
        <v>FB</v>
      </c>
    </row>
    <row r="224" spans="1:21">
      <c r="A224" s="108">
        <f>'05_Daily_Orders'!B224</f>
        <v>200703</v>
      </c>
      <c r="B224" s="50">
        <v>0</v>
      </c>
      <c r="C224" s="50">
        <v>8</v>
      </c>
      <c r="D224" s="109"/>
      <c r="E224" s="109"/>
      <c r="F224">
        <v>75</v>
      </c>
      <c r="L224" s="110">
        <f t="shared" si="7"/>
        <v>0</v>
      </c>
      <c r="M224" s="111" t="str">
        <f>_xlfn.IFNA(_xlfn.XLOOKUP(A224,'00_SKU_Master'!$B$2:$B$378,'00_SKU_Master'!$C$2:$C$378,0),"")</f>
        <v>61050F</v>
      </c>
      <c r="N224" s="112" t="e">
        <f>_xlfn.IFNA(_xlfn.XLOOKUP(A224,'00_SKU_Master'!$B$2:$B$378,'00_SKU_Master'!$F$2:$F$378,0)*F224/_xlfn.XLOOKUP(A224,'00_SKU_Master'!$B$2:$B$378,'00_SKU_Master'!$O:$O,0),"")</f>
        <v>#VALUE!</v>
      </c>
      <c r="O224" s="112" t="e">
        <f ca="1">_xludf.IFNA(_xlfn.XLOOKUP($A226,'00_SKU_Master'!$B$2:$B$378,'00_SKU_Master'!$F$2:$F$378,0)*G226/_xlfn.XLOOKUP($A226,'00_SKU_Master'!$B$2:$B$378,'00_SKU_Master'!$O:$O,0),"")</f>
        <v>#NAME?</v>
      </c>
      <c r="P224" s="112" t="e">
        <f ca="1">_xludf.IFNA(_xlfn.XLOOKUP($A226,'00_SKU_Master'!$B$2:$B$378,'00_SKU_Master'!$F$2:$F$378,0)*H226/_xlfn.XLOOKUP($A226,'00_SKU_Master'!$B$2:$B$378,'00_SKU_Master'!$O:$O,0),"")</f>
        <v>#NAME?</v>
      </c>
      <c r="Q224" s="112" t="e">
        <f ca="1">_xludf.IFNA(_xlfn.XLOOKUP($A226,'00_SKU_Master'!$B$2:$B$378,'00_SKU_Master'!$F$2:$F$378,0)*I226/_xlfn.XLOOKUP($A226,'00_SKU_Master'!$B$2:$B$378,'00_SKU_Master'!$O:$O,0),"")</f>
        <v>#NAME?</v>
      </c>
      <c r="R224" s="112" t="e">
        <f ca="1">_xludf.IFNA(_xlfn.XLOOKUP($A226,'00_SKU_Master'!$B$2:$B$378,'00_SKU_Master'!$F$2:$F$378,0)*J226/_xlfn.XLOOKUP($A226,'00_SKU_Master'!$B$2:$B$378,'00_SKU_Master'!$O:$O,0),"")</f>
        <v>#NAME?</v>
      </c>
      <c r="S224" s="112" t="e">
        <f ca="1">_xludf.IFNA(_xlfn.XLOOKUP($A226,'00_SKU_Master'!$B$2:$B$378,'00_SKU_Master'!$F$2:$F$378,0)*K226/_xlfn.XLOOKUP($A226,'00_SKU_Master'!$B$2:$B$378,'00_SKU_Master'!$O:$O,0),"")</f>
        <v>#NAME?</v>
      </c>
      <c r="T224" s="113" t="e">
        <f t="shared" si="6"/>
        <v>#VALUE!</v>
      </c>
      <c r="U224" s="114" t="str">
        <f>'05_Daily_Orders'!L224</f>
        <v>FB</v>
      </c>
    </row>
    <row r="225" spans="1:21">
      <c r="A225" s="108">
        <f>'05_Daily_Orders'!B225</f>
        <v>200704</v>
      </c>
      <c r="B225" s="50">
        <v>0</v>
      </c>
      <c r="C225" s="50">
        <v>130</v>
      </c>
      <c r="D225" s="109"/>
      <c r="E225" s="109"/>
      <c r="F225">
        <v>138</v>
      </c>
      <c r="L225" s="110">
        <f t="shared" si="7"/>
        <v>0</v>
      </c>
      <c r="M225" s="111">
        <f>_xlfn.IFNA(_xlfn.XLOOKUP(A225,'00_SKU_Master'!$B$2:$B$378,'00_SKU_Master'!$C$2:$C$378,0),"")</f>
        <v>203021</v>
      </c>
      <c r="N225" s="112" t="e">
        <f>_xlfn.IFNA(_xlfn.XLOOKUP(A225,'00_SKU_Master'!$B$2:$B$378,'00_SKU_Master'!$F$2:$F$378,0)*F225/_xlfn.XLOOKUP(A225,'00_SKU_Master'!$B$2:$B$378,'00_SKU_Master'!$O:$O,0),"")</f>
        <v>#VALUE!</v>
      </c>
      <c r="O225" s="112" t="e">
        <f ca="1">_xludf.IFNA(_xlfn.XLOOKUP($A227,'00_SKU_Master'!$B$2:$B$378,'00_SKU_Master'!$F$2:$F$378,0)*G227/_xlfn.XLOOKUP($A227,'00_SKU_Master'!$B$2:$B$378,'00_SKU_Master'!$O:$O,0),"")</f>
        <v>#NAME?</v>
      </c>
      <c r="P225" s="112" t="e">
        <f ca="1">_xludf.IFNA(_xlfn.XLOOKUP($A227,'00_SKU_Master'!$B$2:$B$378,'00_SKU_Master'!$F$2:$F$378,0)*H227/_xlfn.XLOOKUP($A227,'00_SKU_Master'!$B$2:$B$378,'00_SKU_Master'!$O:$O,0),"")</f>
        <v>#NAME?</v>
      </c>
      <c r="Q225" s="112" t="e">
        <f ca="1">_xludf.IFNA(_xlfn.XLOOKUP($A227,'00_SKU_Master'!$B$2:$B$378,'00_SKU_Master'!$F$2:$F$378,0)*I227/_xlfn.XLOOKUP($A227,'00_SKU_Master'!$B$2:$B$378,'00_SKU_Master'!$O:$O,0),"")</f>
        <v>#NAME?</v>
      </c>
      <c r="R225" s="112" t="e">
        <f ca="1">_xludf.IFNA(_xlfn.XLOOKUP($A227,'00_SKU_Master'!$B$2:$B$378,'00_SKU_Master'!$F$2:$F$378,0)*J227/_xlfn.XLOOKUP($A227,'00_SKU_Master'!$B$2:$B$378,'00_SKU_Master'!$O:$O,0),"")</f>
        <v>#NAME?</v>
      </c>
      <c r="S225" s="112" t="e">
        <f ca="1">_xludf.IFNA(_xlfn.XLOOKUP($A227,'00_SKU_Master'!$B$2:$B$378,'00_SKU_Master'!$F$2:$F$378,0)*K227/_xlfn.XLOOKUP($A227,'00_SKU_Master'!$B$2:$B$378,'00_SKU_Master'!$O:$O,0),"")</f>
        <v>#NAME?</v>
      </c>
      <c r="T225" s="113" t="e">
        <f t="shared" si="6"/>
        <v>#VALUE!</v>
      </c>
      <c r="U225" s="114" t="str">
        <f>'05_Daily_Orders'!L225</f>
        <v>FB</v>
      </c>
    </row>
    <row r="226" spans="1:21">
      <c r="A226" s="108">
        <f>'05_Daily_Orders'!B226</f>
        <v>200705</v>
      </c>
      <c r="B226" s="50">
        <v>0</v>
      </c>
      <c r="C226" s="50">
        <v>0</v>
      </c>
      <c r="D226" s="109"/>
      <c r="E226" s="109"/>
      <c r="F226">
        <v>36</v>
      </c>
      <c r="L226" s="110">
        <f t="shared" si="7"/>
        <v>0</v>
      </c>
      <c r="M226" s="111">
        <f>_xlfn.IFNA(_xlfn.XLOOKUP(A226,'00_SKU_Master'!$B$2:$B$378,'00_SKU_Master'!$C$2:$C$378,0),"")</f>
        <v>61072</v>
      </c>
      <c r="N226" s="112" t="e">
        <f>_xlfn.IFNA(_xlfn.XLOOKUP(A226,'00_SKU_Master'!$B$2:$B$378,'00_SKU_Master'!$F$2:$F$378,0)*F226/_xlfn.XLOOKUP(A226,'00_SKU_Master'!$B$2:$B$378,'00_SKU_Master'!$O:$O,0),"")</f>
        <v>#VALUE!</v>
      </c>
      <c r="O226" s="112" t="e">
        <f ca="1">_xludf.IFNA(_xlfn.XLOOKUP($A228,'00_SKU_Master'!$B$2:$B$378,'00_SKU_Master'!$F$2:$F$378,0)*G228/_xlfn.XLOOKUP($A228,'00_SKU_Master'!$B$2:$B$378,'00_SKU_Master'!$O:$O,0),"")</f>
        <v>#NAME?</v>
      </c>
      <c r="P226" s="112" t="e">
        <f ca="1">_xludf.IFNA(_xlfn.XLOOKUP($A228,'00_SKU_Master'!$B$2:$B$378,'00_SKU_Master'!$F$2:$F$378,0)*H228/_xlfn.XLOOKUP($A228,'00_SKU_Master'!$B$2:$B$378,'00_SKU_Master'!$O:$O,0),"")</f>
        <v>#NAME?</v>
      </c>
      <c r="Q226" s="112" t="e">
        <f ca="1">_xludf.IFNA(_xlfn.XLOOKUP($A228,'00_SKU_Master'!$B$2:$B$378,'00_SKU_Master'!$F$2:$F$378,0)*I228/_xlfn.XLOOKUP($A228,'00_SKU_Master'!$B$2:$B$378,'00_SKU_Master'!$O:$O,0),"")</f>
        <v>#NAME?</v>
      </c>
      <c r="R226" s="112" t="e">
        <f ca="1">_xludf.IFNA(_xlfn.XLOOKUP($A228,'00_SKU_Master'!$B$2:$B$378,'00_SKU_Master'!$F$2:$F$378,0)*J228/_xlfn.XLOOKUP($A228,'00_SKU_Master'!$B$2:$B$378,'00_SKU_Master'!$O:$O,0),"")</f>
        <v>#NAME?</v>
      </c>
      <c r="S226" s="112" t="e">
        <f ca="1">_xludf.IFNA(_xlfn.XLOOKUP($A228,'00_SKU_Master'!$B$2:$B$378,'00_SKU_Master'!$F$2:$F$378,0)*K228/_xlfn.XLOOKUP($A228,'00_SKU_Master'!$B$2:$B$378,'00_SKU_Master'!$O:$O,0),"")</f>
        <v>#NAME?</v>
      </c>
      <c r="T226" s="113" t="e">
        <f t="shared" si="6"/>
        <v>#VALUE!</v>
      </c>
      <c r="U226" s="114" t="str">
        <f>'05_Daily_Orders'!L226</f>
        <v>FB</v>
      </c>
    </row>
    <row r="227" spans="1:21">
      <c r="A227" s="108">
        <f>'05_Daily_Orders'!B227</f>
        <v>200706</v>
      </c>
      <c r="B227" s="50">
        <v>0</v>
      </c>
      <c r="C227" s="50">
        <v>2</v>
      </c>
      <c r="D227" s="109"/>
      <c r="E227" s="109"/>
      <c r="F227">
        <v>62</v>
      </c>
      <c r="L227" s="110">
        <f t="shared" si="7"/>
        <v>0</v>
      </c>
      <c r="M227" s="111" t="str">
        <f>_xlfn.IFNA(_xlfn.XLOOKUP(A227,'00_SKU_Master'!$B$2:$B$378,'00_SKU_Master'!$C$2:$C$378,0),"")</f>
        <v>61086F</v>
      </c>
      <c r="N227" s="112" t="e">
        <f>_xlfn.IFNA(_xlfn.XLOOKUP(A227,'00_SKU_Master'!$B$2:$B$378,'00_SKU_Master'!$F$2:$F$378,0)*F227/_xlfn.XLOOKUP(A227,'00_SKU_Master'!$B$2:$B$378,'00_SKU_Master'!$O:$O,0),"")</f>
        <v>#VALUE!</v>
      </c>
      <c r="O227" s="112" t="e">
        <f ca="1">_xludf.IFNA(_xlfn.XLOOKUP($A229,'00_SKU_Master'!$B$2:$B$378,'00_SKU_Master'!$F$2:$F$378,0)*G229/_xlfn.XLOOKUP($A229,'00_SKU_Master'!$B$2:$B$378,'00_SKU_Master'!$O:$O,0),"")</f>
        <v>#NAME?</v>
      </c>
      <c r="P227" s="112" t="e">
        <f ca="1">_xludf.IFNA(_xlfn.XLOOKUP($A229,'00_SKU_Master'!$B$2:$B$378,'00_SKU_Master'!$F$2:$F$378,0)*H229/_xlfn.XLOOKUP($A229,'00_SKU_Master'!$B$2:$B$378,'00_SKU_Master'!$O:$O,0),"")</f>
        <v>#NAME?</v>
      </c>
      <c r="Q227" s="112" t="e">
        <f ca="1">_xludf.IFNA(_xlfn.XLOOKUP($A229,'00_SKU_Master'!$B$2:$B$378,'00_SKU_Master'!$F$2:$F$378,0)*I229/_xlfn.XLOOKUP($A229,'00_SKU_Master'!$B$2:$B$378,'00_SKU_Master'!$O:$O,0),"")</f>
        <v>#NAME?</v>
      </c>
      <c r="R227" s="112" t="e">
        <f ca="1">_xludf.IFNA(_xlfn.XLOOKUP($A229,'00_SKU_Master'!$B$2:$B$378,'00_SKU_Master'!$F$2:$F$378,0)*J229/_xlfn.XLOOKUP($A229,'00_SKU_Master'!$B$2:$B$378,'00_SKU_Master'!$O:$O,0),"")</f>
        <v>#NAME?</v>
      </c>
      <c r="S227" s="112" t="e">
        <f ca="1">_xludf.IFNA(_xlfn.XLOOKUP($A229,'00_SKU_Master'!$B$2:$B$378,'00_SKU_Master'!$F$2:$F$378,0)*K229/_xlfn.XLOOKUP($A229,'00_SKU_Master'!$B$2:$B$378,'00_SKU_Master'!$O:$O,0),"")</f>
        <v>#NAME?</v>
      </c>
      <c r="T227" s="113" t="e">
        <f t="shared" si="6"/>
        <v>#VALUE!</v>
      </c>
      <c r="U227" s="114" t="str">
        <f>'05_Daily_Orders'!L227</f>
        <v>FB</v>
      </c>
    </row>
    <row r="228" spans="1:21">
      <c r="A228" s="108">
        <f>'05_Daily_Orders'!B228</f>
        <v>200707</v>
      </c>
      <c r="B228" s="50">
        <v>1</v>
      </c>
      <c r="C228" s="50">
        <v>0</v>
      </c>
      <c r="D228" s="109"/>
      <c r="E228" s="109"/>
      <c r="F228">
        <v>28</v>
      </c>
      <c r="L228" s="110">
        <f t="shared" si="7"/>
        <v>0</v>
      </c>
      <c r="M228" s="111">
        <f>_xlfn.IFNA(_xlfn.XLOOKUP(A228,'00_SKU_Master'!$B$2:$B$378,'00_SKU_Master'!$C$2:$C$378,0),"")</f>
        <v>61077</v>
      </c>
      <c r="N228" s="112" t="e">
        <f>_xlfn.IFNA(_xlfn.XLOOKUP(A228,'00_SKU_Master'!$B$2:$B$378,'00_SKU_Master'!$F$2:$F$378,0)*F228/_xlfn.XLOOKUP(A228,'00_SKU_Master'!$B$2:$B$378,'00_SKU_Master'!$O:$O,0),"")</f>
        <v>#VALUE!</v>
      </c>
      <c r="O228" s="112" t="e">
        <f ca="1">_xludf.IFNA(_xlfn.XLOOKUP($A230,'00_SKU_Master'!$B$2:$B$378,'00_SKU_Master'!$F$2:$F$378,0)*G230/_xlfn.XLOOKUP($A230,'00_SKU_Master'!$B$2:$B$378,'00_SKU_Master'!$O:$O,0),"")</f>
        <v>#NAME?</v>
      </c>
      <c r="P228" s="112" t="e">
        <f ca="1">_xludf.IFNA(_xlfn.XLOOKUP($A230,'00_SKU_Master'!$B$2:$B$378,'00_SKU_Master'!$F$2:$F$378,0)*H230/_xlfn.XLOOKUP($A230,'00_SKU_Master'!$B$2:$B$378,'00_SKU_Master'!$O:$O,0),"")</f>
        <v>#NAME?</v>
      </c>
      <c r="Q228" s="112" t="e">
        <f ca="1">_xludf.IFNA(_xlfn.XLOOKUP($A230,'00_SKU_Master'!$B$2:$B$378,'00_SKU_Master'!$F$2:$F$378,0)*I230/_xlfn.XLOOKUP($A230,'00_SKU_Master'!$B$2:$B$378,'00_SKU_Master'!$O:$O,0),"")</f>
        <v>#NAME?</v>
      </c>
      <c r="R228" s="112" t="e">
        <f ca="1">_xludf.IFNA(_xlfn.XLOOKUP($A230,'00_SKU_Master'!$B$2:$B$378,'00_SKU_Master'!$F$2:$F$378,0)*J230/_xlfn.XLOOKUP($A230,'00_SKU_Master'!$B$2:$B$378,'00_SKU_Master'!$O:$O,0),"")</f>
        <v>#NAME?</v>
      </c>
      <c r="S228" s="112" t="e">
        <f ca="1">_xludf.IFNA(_xlfn.XLOOKUP($A230,'00_SKU_Master'!$B$2:$B$378,'00_SKU_Master'!$F$2:$F$378,0)*K230/_xlfn.XLOOKUP($A230,'00_SKU_Master'!$B$2:$B$378,'00_SKU_Master'!$O:$O,0),"")</f>
        <v>#NAME?</v>
      </c>
      <c r="T228" s="113" t="e">
        <f t="shared" si="6"/>
        <v>#VALUE!</v>
      </c>
      <c r="U228" s="114" t="str">
        <f>'05_Daily_Orders'!L228</f>
        <v>FB</v>
      </c>
    </row>
    <row r="229" spans="1:21">
      <c r="A229" s="108">
        <f>'05_Daily_Orders'!B229</f>
        <v>200708</v>
      </c>
      <c r="B229" s="50">
        <v>0</v>
      </c>
      <c r="C229" s="50">
        <v>0</v>
      </c>
      <c r="D229" s="109"/>
      <c r="E229" s="109"/>
      <c r="F229">
        <v>0</v>
      </c>
      <c r="L229" s="110">
        <f t="shared" si="7"/>
        <v>0</v>
      </c>
      <c r="M229" s="111">
        <f>_xlfn.IFNA(_xlfn.XLOOKUP(A229,'00_SKU_Master'!$B$2:$B$378,'00_SKU_Master'!$C$2:$C$378,0),"")</f>
        <v>61014</v>
      </c>
      <c r="N229" s="112" t="e">
        <f>_xlfn.IFNA(_xlfn.XLOOKUP(A229,'00_SKU_Master'!$B$2:$B$378,'00_SKU_Master'!$F$2:$F$378,0)*F229/_xlfn.XLOOKUP(A229,'00_SKU_Master'!$B$2:$B$378,'00_SKU_Master'!$O:$O,0),"")</f>
        <v>#VALUE!</v>
      </c>
      <c r="O229" s="112" t="e">
        <f ca="1">_xludf.IFNA(_xlfn.XLOOKUP($A231,'00_SKU_Master'!$B$2:$B$378,'00_SKU_Master'!$F$2:$F$378,0)*G231/_xlfn.XLOOKUP($A231,'00_SKU_Master'!$B$2:$B$378,'00_SKU_Master'!$O:$O,0),"")</f>
        <v>#NAME?</v>
      </c>
      <c r="P229" s="112" t="e">
        <f ca="1">_xludf.IFNA(_xlfn.XLOOKUP($A231,'00_SKU_Master'!$B$2:$B$378,'00_SKU_Master'!$F$2:$F$378,0)*H231/_xlfn.XLOOKUP($A231,'00_SKU_Master'!$B$2:$B$378,'00_SKU_Master'!$O:$O,0),"")</f>
        <v>#NAME?</v>
      </c>
      <c r="Q229" s="112" t="e">
        <f ca="1">_xludf.IFNA(_xlfn.XLOOKUP($A231,'00_SKU_Master'!$B$2:$B$378,'00_SKU_Master'!$F$2:$F$378,0)*I231/_xlfn.XLOOKUP($A231,'00_SKU_Master'!$B$2:$B$378,'00_SKU_Master'!$O:$O,0),"")</f>
        <v>#NAME?</v>
      </c>
      <c r="R229" s="112" t="e">
        <f ca="1">_xludf.IFNA(_xlfn.XLOOKUP($A231,'00_SKU_Master'!$B$2:$B$378,'00_SKU_Master'!$F$2:$F$378,0)*J231/_xlfn.XLOOKUP($A231,'00_SKU_Master'!$B$2:$B$378,'00_SKU_Master'!$O:$O,0),"")</f>
        <v>#NAME?</v>
      </c>
      <c r="S229" s="112" t="e">
        <f ca="1">_xludf.IFNA(_xlfn.XLOOKUP($A231,'00_SKU_Master'!$B$2:$B$378,'00_SKU_Master'!$F$2:$F$378,0)*K231/_xlfn.XLOOKUP($A231,'00_SKU_Master'!$B$2:$B$378,'00_SKU_Master'!$O:$O,0),"")</f>
        <v>#NAME?</v>
      </c>
      <c r="T229" s="113" t="e">
        <f t="shared" si="6"/>
        <v>#VALUE!</v>
      </c>
      <c r="U229" s="114" t="str">
        <f>'05_Daily_Orders'!L229</f>
        <v>FB</v>
      </c>
    </row>
    <row r="230" spans="1:21">
      <c r="A230" s="108">
        <f>'05_Daily_Orders'!B230</f>
        <v>200709</v>
      </c>
      <c r="B230" s="50">
        <v>0</v>
      </c>
      <c r="C230" s="50">
        <v>193</v>
      </c>
      <c r="D230" s="109"/>
      <c r="E230" s="109"/>
      <c r="F230">
        <v>0</v>
      </c>
      <c r="L230" s="110">
        <f t="shared" si="7"/>
        <v>0</v>
      </c>
      <c r="M230" s="111" t="str">
        <f>_xlfn.IFNA(_xlfn.XLOOKUP(A230,'00_SKU_Master'!$B$2:$B$378,'00_SKU_Master'!$C$2:$C$378,0),"")</f>
        <v>61050F</v>
      </c>
      <c r="N230" s="112" t="e">
        <f>_xlfn.IFNA(_xlfn.XLOOKUP(A230,'00_SKU_Master'!$B$2:$B$378,'00_SKU_Master'!$F$2:$F$378,0)*F230/_xlfn.XLOOKUP(A230,'00_SKU_Master'!$B$2:$B$378,'00_SKU_Master'!$O:$O,0),"")</f>
        <v>#VALUE!</v>
      </c>
      <c r="O230" s="112" t="e">
        <f ca="1">_xludf.IFNA(_xlfn.XLOOKUP($A232,'00_SKU_Master'!$B$2:$B$378,'00_SKU_Master'!$F$2:$F$378,0)*G232/_xlfn.XLOOKUP($A232,'00_SKU_Master'!$B$2:$B$378,'00_SKU_Master'!$O:$O,0),"")</f>
        <v>#NAME?</v>
      </c>
      <c r="P230" s="112" t="e">
        <f ca="1">_xludf.IFNA(_xlfn.XLOOKUP($A232,'00_SKU_Master'!$B$2:$B$378,'00_SKU_Master'!$F$2:$F$378,0)*H232/_xlfn.XLOOKUP($A232,'00_SKU_Master'!$B$2:$B$378,'00_SKU_Master'!$O:$O,0),"")</f>
        <v>#NAME?</v>
      </c>
      <c r="Q230" s="112" t="e">
        <f ca="1">_xludf.IFNA(_xlfn.XLOOKUP($A232,'00_SKU_Master'!$B$2:$B$378,'00_SKU_Master'!$F$2:$F$378,0)*I232/_xlfn.XLOOKUP($A232,'00_SKU_Master'!$B$2:$B$378,'00_SKU_Master'!$O:$O,0),"")</f>
        <v>#NAME?</v>
      </c>
      <c r="R230" s="112" t="e">
        <f ca="1">_xludf.IFNA(_xlfn.XLOOKUP($A232,'00_SKU_Master'!$B$2:$B$378,'00_SKU_Master'!$F$2:$F$378,0)*J232/_xlfn.XLOOKUP($A232,'00_SKU_Master'!$B$2:$B$378,'00_SKU_Master'!$O:$O,0),"")</f>
        <v>#NAME?</v>
      </c>
      <c r="S230" s="112" t="e">
        <f ca="1">_xludf.IFNA(_xlfn.XLOOKUP($A232,'00_SKU_Master'!$B$2:$B$378,'00_SKU_Master'!$F$2:$F$378,0)*K232/_xlfn.XLOOKUP($A232,'00_SKU_Master'!$B$2:$B$378,'00_SKU_Master'!$O:$O,0),"")</f>
        <v>#NAME?</v>
      </c>
      <c r="T230" s="113" t="e">
        <f t="shared" si="6"/>
        <v>#VALUE!</v>
      </c>
      <c r="U230" s="114" t="str">
        <f>'05_Daily_Orders'!L230</f>
        <v>METRO</v>
      </c>
    </row>
    <row r="231" spans="1:21">
      <c r="A231" s="108">
        <f>'05_Daily_Orders'!B231</f>
        <v>200710</v>
      </c>
      <c r="B231" s="50">
        <v>0</v>
      </c>
      <c r="C231" s="50">
        <v>80</v>
      </c>
      <c r="D231" s="109"/>
      <c r="E231" s="109"/>
      <c r="F231">
        <v>0</v>
      </c>
      <c r="L231" s="110">
        <f t="shared" si="7"/>
        <v>0</v>
      </c>
      <c r="M231" s="111">
        <f>_xlfn.IFNA(_xlfn.XLOOKUP(A231,'00_SKU_Master'!$B$2:$B$378,'00_SKU_Master'!$C$2:$C$378,0),"")</f>
        <v>203021</v>
      </c>
      <c r="N231" s="112" t="e">
        <f>_xlfn.IFNA(_xlfn.XLOOKUP(A231,'00_SKU_Master'!$B$2:$B$378,'00_SKU_Master'!$F$2:$F$378,0)*F231/_xlfn.XLOOKUP(A231,'00_SKU_Master'!$B$2:$B$378,'00_SKU_Master'!$O:$O,0),"")</f>
        <v>#VALUE!</v>
      </c>
      <c r="O231" s="112" t="e">
        <f ca="1">_xludf.IFNA(_xlfn.XLOOKUP($A233,'00_SKU_Master'!$B$2:$B$378,'00_SKU_Master'!$F$2:$F$378,0)*G233/_xlfn.XLOOKUP($A233,'00_SKU_Master'!$B$2:$B$378,'00_SKU_Master'!$O:$O,0),"")</f>
        <v>#NAME?</v>
      </c>
      <c r="P231" s="112" t="e">
        <f ca="1">_xludf.IFNA(_xlfn.XLOOKUP($A233,'00_SKU_Master'!$B$2:$B$378,'00_SKU_Master'!$F$2:$F$378,0)*H233/_xlfn.XLOOKUP($A233,'00_SKU_Master'!$B$2:$B$378,'00_SKU_Master'!$O:$O,0),"")</f>
        <v>#NAME?</v>
      </c>
      <c r="Q231" s="112" t="e">
        <f ca="1">_xludf.IFNA(_xlfn.XLOOKUP($A233,'00_SKU_Master'!$B$2:$B$378,'00_SKU_Master'!$F$2:$F$378,0)*I233/_xlfn.XLOOKUP($A233,'00_SKU_Master'!$B$2:$B$378,'00_SKU_Master'!$O:$O,0),"")</f>
        <v>#NAME?</v>
      </c>
      <c r="R231" s="112" t="e">
        <f ca="1">_xludf.IFNA(_xlfn.XLOOKUP($A233,'00_SKU_Master'!$B$2:$B$378,'00_SKU_Master'!$F$2:$F$378,0)*J233/_xlfn.XLOOKUP($A233,'00_SKU_Master'!$B$2:$B$378,'00_SKU_Master'!$O:$O,0),"")</f>
        <v>#NAME?</v>
      </c>
      <c r="S231" s="112" t="e">
        <f ca="1">_xludf.IFNA(_xlfn.XLOOKUP($A233,'00_SKU_Master'!$B$2:$B$378,'00_SKU_Master'!$F$2:$F$378,0)*K233/_xlfn.XLOOKUP($A233,'00_SKU_Master'!$B$2:$B$378,'00_SKU_Master'!$O:$O,0),"")</f>
        <v>#NAME?</v>
      </c>
      <c r="T231" s="113" t="e">
        <f t="shared" si="6"/>
        <v>#VALUE!</v>
      </c>
      <c r="U231" s="114" t="str">
        <f>'05_Daily_Orders'!L231</f>
        <v>METRO</v>
      </c>
    </row>
    <row r="232" spans="1:21">
      <c r="A232" s="108">
        <f>'05_Daily_Orders'!B232</f>
        <v>200711</v>
      </c>
      <c r="B232" s="50">
        <v>0</v>
      </c>
      <c r="C232" s="50">
        <v>89</v>
      </c>
      <c r="D232" s="109"/>
      <c r="E232" s="109"/>
      <c r="F232">
        <v>0</v>
      </c>
      <c r="L232" s="110">
        <f t="shared" si="7"/>
        <v>0</v>
      </c>
      <c r="M232" s="111">
        <f>_xlfn.IFNA(_xlfn.XLOOKUP(A232,'00_SKU_Master'!$B$2:$B$378,'00_SKU_Master'!$C$2:$C$378,0),"")</f>
        <v>61072</v>
      </c>
      <c r="N232" s="112" t="e">
        <f>_xlfn.IFNA(_xlfn.XLOOKUP(A232,'00_SKU_Master'!$B$2:$B$378,'00_SKU_Master'!$F$2:$F$378,0)*F232/_xlfn.XLOOKUP(A232,'00_SKU_Master'!$B$2:$B$378,'00_SKU_Master'!$O:$O,0),"")</f>
        <v>#VALUE!</v>
      </c>
      <c r="O232" s="112" t="e">
        <f ca="1">_xludf.IFNA(_xlfn.XLOOKUP($A234,'00_SKU_Master'!$B$2:$B$378,'00_SKU_Master'!$F$2:$F$378,0)*G234/_xlfn.XLOOKUP($A234,'00_SKU_Master'!$B$2:$B$378,'00_SKU_Master'!$O:$O,0),"")</f>
        <v>#NAME?</v>
      </c>
      <c r="P232" s="112" t="e">
        <f ca="1">_xludf.IFNA(_xlfn.XLOOKUP($A234,'00_SKU_Master'!$B$2:$B$378,'00_SKU_Master'!$F$2:$F$378,0)*H234/_xlfn.XLOOKUP($A234,'00_SKU_Master'!$B$2:$B$378,'00_SKU_Master'!$O:$O,0),"")</f>
        <v>#NAME?</v>
      </c>
      <c r="Q232" s="112" t="e">
        <f ca="1">_xludf.IFNA(_xlfn.XLOOKUP($A234,'00_SKU_Master'!$B$2:$B$378,'00_SKU_Master'!$F$2:$F$378,0)*I234/_xlfn.XLOOKUP($A234,'00_SKU_Master'!$B$2:$B$378,'00_SKU_Master'!$O:$O,0),"")</f>
        <v>#NAME?</v>
      </c>
      <c r="R232" s="112" t="e">
        <f ca="1">_xludf.IFNA(_xlfn.XLOOKUP($A234,'00_SKU_Master'!$B$2:$B$378,'00_SKU_Master'!$F$2:$F$378,0)*J234/_xlfn.XLOOKUP($A234,'00_SKU_Master'!$B$2:$B$378,'00_SKU_Master'!$O:$O,0),"")</f>
        <v>#NAME?</v>
      </c>
      <c r="S232" s="112" t="e">
        <f ca="1">_xludf.IFNA(_xlfn.XLOOKUP($A234,'00_SKU_Master'!$B$2:$B$378,'00_SKU_Master'!$F$2:$F$378,0)*K234/_xlfn.XLOOKUP($A234,'00_SKU_Master'!$B$2:$B$378,'00_SKU_Master'!$O:$O,0),"")</f>
        <v>#NAME?</v>
      </c>
      <c r="T232" s="113" t="e">
        <f t="shared" si="6"/>
        <v>#VALUE!</v>
      </c>
      <c r="U232" s="114" t="str">
        <f>'05_Daily_Orders'!L232</f>
        <v>METRO</v>
      </c>
    </row>
    <row r="233" spans="1:21">
      <c r="A233" s="108">
        <f>'05_Daily_Orders'!B233</f>
        <v>200712</v>
      </c>
      <c r="B233" s="50">
        <v>0</v>
      </c>
      <c r="C233" s="50">
        <v>95</v>
      </c>
      <c r="D233" s="109"/>
      <c r="E233" s="109"/>
      <c r="F233">
        <v>0</v>
      </c>
      <c r="L233" s="110">
        <f t="shared" si="7"/>
        <v>0</v>
      </c>
      <c r="M233" s="111" t="str">
        <f>_xlfn.IFNA(_xlfn.XLOOKUP(A233,'00_SKU_Master'!$B$2:$B$378,'00_SKU_Master'!$C$2:$C$378,0),"")</f>
        <v>61086F</v>
      </c>
      <c r="N233" s="112" t="e">
        <f>_xlfn.IFNA(_xlfn.XLOOKUP(A233,'00_SKU_Master'!$B$2:$B$378,'00_SKU_Master'!$F$2:$F$378,0)*F233/_xlfn.XLOOKUP(A233,'00_SKU_Master'!$B$2:$B$378,'00_SKU_Master'!$O:$O,0),"")</f>
        <v>#VALUE!</v>
      </c>
      <c r="O233" s="112" t="e">
        <f ca="1">_xludf.IFNA(_xlfn.XLOOKUP($A235,'00_SKU_Master'!$B$2:$B$378,'00_SKU_Master'!$F$2:$F$378,0)*G235/_xlfn.XLOOKUP($A235,'00_SKU_Master'!$B$2:$B$378,'00_SKU_Master'!$O:$O,0),"")</f>
        <v>#NAME?</v>
      </c>
      <c r="P233" s="112" t="e">
        <f ca="1">_xludf.IFNA(_xlfn.XLOOKUP($A235,'00_SKU_Master'!$B$2:$B$378,'00_SKU_Master'!$F$2:$F$378,0)*H235/_xlfn.XLOOKUP($A235,'00_SKU_Master'!$B$2:$B$378,'00_SKU_Master'!$O:$O,0),"")</f>
        <v>#NAME?</v>
      </c>
      <c r="Q233" s="112" t="e">
        <f ca="1">_xludf.IFNA(_xlfn.XLOOKUP($A235,'00_SKU_Master'!$B$2:$B$378,'00_SKU_Master'!$F$2:$F$378,0)*I235/_xlfn.XLOOKUP($A235,'00_SKU_Master'!$B$2:$B$378,'00_SKU_Master'!$O:$O,0),"")</f>
        <v>#NAME?</v>
      </c>
      <c r="R233" s="112" t="e">
        <f ca="1">_xludf.IFNA(_xlfn.XLOOKUP($A235,'00_SKU_Master'!$B$2:$B$378,'00_SKU_Master'!$F$2:$F$378,0)*J235/_xlfn.XLOOKUP($A235,'00_SKU_Master'!$B$2:$B$378,'00_SKU_Master'!$O:$O,0),"")</f>
        <v>#NAME?</v>
      </c>
      <c r="S233" s="112" t="e">
        <f ca="1">_xludf.IFNA(_xlfn.XLOOKUP($A235,'00_SKU_Master'!$B$2:$B$378,'00_SKU_Master'!$F$2:$F$378,0)*K235/_xlfn.XLOOKUP($A235,'00_SKU_Master'!$B$2:$B$378,'00_SKU_Master'!$O:$O,0),"")</f>
        <v>#NAME?</v>
      </c>
      <c r="T233" s="113" t="e">
        <f t="shared" si="6"/>
        <v>#VALUE!</v>
      </c>
      <c r="U233" s="114" t="str">
        <f>'05_Daily_Orders'!L233</f>
        <v>METRO</v>
      </c>
    </row>
    <row r="234" spans="1:21">
      <c r="A234" s="108">
        <f>'05_Daily_Orders'!B234</f>
        <v>200713</v>
      </c>
      <c r="B234" s="50">
        <v>0</v>
      </c>
      <c r="C234" s="50">
        <v>102</v>
      </c>
      <c r="D234" s="109"/>
      <c r="E234" s="109"/>
      <c r="F234">
        <v>0</v>
      </c>
      <c r="L234" s="110">
        <f t="shared" si="7"/>
        <v>0</v>
      </c>
      <c r="M234" s="111">
        <f>_xlfn.IFNA(_xlfn.XLOOKUP(A234,'00_SKU_Master'!$B$2:$B$378,'00_SKU_Master'!$C$2:$C$378,0),"")</f>
        <v>61077</v>
      </c>
      <c r="N234" s="112" t="e">
        <f>_xlfn.IFNA(_xlfn.XLOOKUP(A234,'00_SKU_Master'!$B$2:$B$378,'00_SKU_Master'!$F$2:$F$378,0)*F234/_xlfn.XLOOKUP(A234,'00_SKU_Master'!$B$2:$B$378,'00_SKU_Master'!$O:$O,0),"")</f>
        <v>#VALUE!</v>
      </c>
      <c r="O234" s="112" t="e">
        <f ca="1">_xludf.IFNA(_xlfn.XLOOKUP($A236,'00_SKU_Master'!$B$2:$B$378,'00_SKU_Master'!$F$2:$F$378,0)*G236/_xlfn.XLOOKUP($A236,'00_SKU_Master'!$B$2:$B$378,'00_SKU_Master'!$O:$O,0),"")</f>
        <v>#NAME?</v>
      </c>
      <c r="P234" s="112" t="e">
        <f ca="1">_xludf.IFNA(_xlfn.XLOOKUP($A236,'00_SKU_Master'!$B$2:$B$378,'00_SKU_Master'!$F$2:$F$378,0)*H236/_xlfn.XLOOKUP($A236,'00_SKU_Master'!$B$2:$B$378,'00_SKU_Master'!$O:$O,0),"")</f>
        <v>#NAME?</v>
      </c>
      <c r="Q234" s="112" t="e">
        <f ca="1">_xludf.IFNA(_xlfn.XLOOKUP($A236,'00_SKU_Master'!$B$2:$B$378,'00_SKU_Master'!$F$2:$F$378,0)*I236/_xlfn.XLOOKUP($A236,'00_SKU_Master'!$B$2:$B$378,'00_SKU_Master'!$O:$O,0),"")</f>
        <v>#NAME?</v>
      </c>
      <c r="R234" s="112" t="e">
        <f ca="1">_xludf.IFNA(_xlfn.XLOOKUP($A236,'00_SKU_Master'!$B$2:$B$378,'00_SKU_Master'!$F$2:$F$378,0)*J236/_xlfn.XLOOKUP($A236,'00_SKU_Master'!$B$2:$B$378,'00_SKU_Master'!$O:$O,0),"")</f>
        <v>#NAME?</v>
      </c>
      <c r="S234" s="112" t="e">
        <f ca="1">_xludf.IFNA(_xlfn.XLOOKUP($A236,'00_SKU_Master'!$B$2:$B$378,'00_SKU_Master'!$F$2:$F$378,0)*K236/_xlfn.XLOOKUP($A236,'00_SKU_Master'!$B$2:$B$378,'00_SKU_Master'!$O:$O,0),"")</f>
        <v>#NAME?</v>
      </c>
      <c r="T234" s="113" t="e">
        <f t="shared" si="6"/>
        <v>#VALUE!</v>
      </c>
      <c r="U234" s="114" t="str">
        <f>'05_Daily_Orders'!L234</f>
        <v>METRO</v>
      </c>
    </row>
    <row r="235" spans="1:21">
      <c r="A235" s="108">
        <f>'05_Daily_Orders'!B235</f>
        <v>200714</v>
      </c>
      <c r="B235" s="50">
        <v>0</v>
      </c>
      <c r="C235" s="50">
        <v>31</v>
      </c>
      <c r="D235" s="109"/>
      <c r="E235" s="109"/>
      <c r="F235">
        <v>0</v>
      </c>
      <c r="L235" s="110">
        <f t="shared" si="7"/>
        <v>0</v>
      </c>
      <c r="M235" s="111">
        <f>_xlfn.IFNA(_xlfn.XLOOKUP(A235,'00_SKU_Master'!$B$2:$B$378,'00_SKU_Master'!$C$2:$C$378,0),"")</f>
        <v>61014</v>
      </c>
      <c r="N235" s="112" t="e">
        <f>_xlfn.IFNA(_xlfn.XLOOKUP(A235,'00_SKU_Master'!$B$2:$B$378,'00_SKU_Master'!$F$2:$F$378,0)*F235/_xlfn.XLOOKUP(A235,'00_SKU_Master'!$B$2:$B$378,'00_SKU_Master'!$O:$O,0),"")</f>
        <v>#VALUE!</v>
      </c>
      <c r="O235" s="112" t="e">
        <f ca="1">_xludf.IFNA(_xlfn.XLOOKUP($A237,'00_SKU_Master'!$B$2:$B$378,'00_SKU_Master'!$F$2:$F$378,0)*G237/_xlfn.XLOOKUP($A237,'00_SKU_Master'!$B$2:$B$378,'00_SKU_Master'!$O:$O,0),"")</f>
        <v>#NAME?</v>
      </c>
      <c r="P235" s="112" t="e">
        <f ca="1">_xludf.IFNA(_xlfn.XLOOKUP($A237,'00_SKU_Master'!$B$2:$B$378,'00_SKU_Master'!$F$2:$F$378,0)*H237/_xlfn.XLOOKUP($A237,'00_SKU_Master'!$B$2:$B$378,'00_SKU_Master'!$O:$O,0),"")</f>
        <v>#NAME?</v>
      </c>
      <c r="Q235" s="112" t="e">
        <f ca="1">_xludf.IFNA(_xlfn.XLOOKUP($A237,'00_SKU_Master'!$B$2:$B$378,'00_SKU_Master'!$F$2:$F$378,0)*I237/_xlfn.XLOOKUP($A237,'00_SKU_Master'!$B$2:$B$378,'00_SKU_Master'!$O:$O,0),"")</f>
        <v>#NAME?</v>
      </c>
      <c r="R235" s="112" t="e">
        <f ca="1">_xludf.IFNA(_xlfn.XLOOKUP($A237,'00_SKU_Master'!$B$2:$B$378,'00_SKU_Master'!$F$2:$F$378,0)*J237/_xlfn.XLOOKUP($A237,'00_SKU_Master'!$B$2:$B$378,'00_SKU_Master'!$O:$O,0),"")</f>
        <v>#NAME?</v>
      </c>
      <c r="S235" s="112" t="e">
        <f ca="1">_xludf.IFNA(_xlfn.XLOOKUP($A237,'00_SKU_Master'!$B$2:$B$378,'00_SKU_Master'!$F$2:$F$378,0)*K237/_xlfn.XLOOKUP($A237,'00_SKU_Master'!$B$2:$B$378,'00_SKU_Master'!$O:$O,0),"")</f>
        <v>#NAME?</v>
      </c>
      <c r="T235" s="113" t="e">
        <f t="shared" si="6"/>
        <v>#VALUE!</v>
      </c>
      <c r="U235" s="114" t="str">
        <f>'05_Daily_Orders'!L235</f>
        <v>METRO</v>
      </c>
    </row>
    <row r="236" spans="1:21">
      <c r="A236" s="108">
        <f>'05_Daily_Orders'!B236</f>
        <v>200715</v>
      </c>
      <c r="B236" s="50">
        <v>0</v>
      </c>
      <c r="C236" s="50">
        <v>8</v>
      </c>
      <c r="D236" s="109"/>
      <c r="E236" s="109"/>
      <c r="F236">
        <v>85</v>
      </c>
      <c r="L236" s="110">
        <f t="shared" si="7"/>
        <v>0</v>
      </c>
      <c r="M236" s="111" t="str">
        <f>_xlfn.IFNA(_xlfn.XLOOKUP(A236,'00_SKU_Master'!$B$2:$B$378,'00_SKU_Master'!$C$2:$C$378,0),"")</f>
        <v>61050F</v>
      </c>
      <c r="N236" s="112" t="e">
        <f>_xlfn.IFNA(_xlfn.XLOOKUP(A236,'00_SKU_Master'!$B$2:$B$378,'00_SKU_Master'!$F$2:$F$378,0)*F236/_xlfn.XLOOKUP(A236,'00_SKU_Master'!$B$2:$B$378,'00_SKU_Master'!$O:$O,0),"")</f>
        <v>#VALUE!</v>
      </c>
      <c r="O236" s="112" t="e">
        <f ca="1">_xludf.IFNA(_xlfn.XLOOKUP($A238,'00_SKU_Master'!$B$2:$B$378,'00_SKU_Master'!$F$2:$F$378,0)*G238/_xlfn.XLOOKUP($A238,'00_SKU_Master'!$B$2:$B$378,'00_SKU_Master'!$O:$O,0),"")</f>
        <v>#NAME?</v>
      </c>
      <c r="P236" s="112" t="e">
        <f ca="1">_xludf.IFNA(_xlfn.XLOOKUP($A238,'00_SKU_Master'!$B$2:$B$378,'00_SKU_Master'!$F$2:$F$378,0)*H238/_xlfn.XLOOKUP($A238,'00_SKU_Master'!$B$2:$B$378,'00_SKU_Master'!$O:$O,0),"")</f>
        <v>#NAME?</v>
      </c>
      <c r="Q236" s="112" t="e">
        <f ca="1">_xludf.IFNA(_xlfn.XLOOKUP($A238,'00_SKU_Master'!$B$2:$B$378,'00_SKU_Master'!$F$2:$F$378,0)*I238/_xlfn.XLOOKUP($A238,'00_SKU_Master'!$B$2:$B$378,'00_SKU_Master'!$O:$O,0),"")</f>
        <v>#NAME?</v>
      </c>
      <c r="R236" s="112" t="e">
        <f ca="1">_xludf.IFNA(_xlfn.XLOOKUP($A238,'00_SKU_Master'!$B$2:$B$378,'00_SKU_Master'!$F$2:$F$378,0)*J238/_xlfn.XLOOKUP($A238,'00_SKU_Master'!$B$2:$B$378,'00_SKU_Master'!$O:$O,0),"")</f>
        <v>#NAME?</v>
      </c>
      <c r="S236" s="112" t="e">
        <f ca="1">_xludf.IFNA(_xlfn.XLOOKUP($A238,'00_SKU_Master'!$B$2:$B$378,'00_SKU_Master'!$F$2:$F$378,0)*K238/_xlfn.XLOOKUP($A238,'00_SKU_Master'!$B$2:$B$378,'00_SKU_Master'!$O:$O,0),"")</f>
        <v>#NAME?</v>
      </c>
      <c r="T236" s="113" t="e">
        <f t="shared" si="6"/>
        <v>#VALUE!</v>
      </c>
      <c r="U236" s="114" t="str">
        <f>'05_Daily_Orders'!L236</f>
        <v>FB</v>
      </c>
    </row>
    <row r="237" spans="1:21">
      <c r="A237" s="108">
        <f>'05_Daily_Orders'!B237</f>
        <v>200716</v>
      </c>
      <c r="B237" s="50">
        <v>0</v>
      </c>
      <c r="C237" s="50">
        <v>39</v>
      </c>
      <c r="D237" s="109"/>
      <c r="E237" s="109"/>
      <c r="F237">
        <v>72</v>
      </c>
      <c r="L237" s="110">
        <f t="shared" si="7"/>
        <v>0</v>
      </c>
      <c r="M237" s="111">
        <f>_xlfn.IFNA(_xlfn.XLOOKUP(A237,'00_SKU_Master'!$B$2:$B$378,'00_SKU_Master'!$C$2:$C$378,0),"")</f>
        <v>61077</v>
      </c>
      <c r="N237" s="112" t="e">
        <f>_xlfn.IFNA(_xlfn.XLOOKUP(A237,'00_SKU_Master'!$B$2:$B$378,'00_SKU_Master'!$F$2:$F$378,0)*F237/_xlfn.XLOOKUP(A237,'00_SKU_Master'!$B$2:$B$378,'00_SKU_Master'!$O:$O,0),"")</f>
        <v>#VALUE!</v>
      </c>
      <c r="O237" s="112" t="e">
        <f ca="1">_xludf.IFNA(_xlfn.XLOOKUP($A239,'00_SKU_Master'!$B$2:$B$378,'00_SKU_Master'!$F$2:$F$378,0)*G239/_xlfn.XLOOKUP($A239,'00_SKU_Master'!$B$2:$B$378,'00_SKU_Master'!$O:$O,0),"")</f>
        <v>#NAME?</v>
      </c>
      <c r="P237" s="112" t="e">
        <f ca="1">_xludf.IFNA(_xlfn.XLOOKUP($A239,'00_SKU_Master'!$B$2:$B$378,'00_SKU_Master'!$F$2:$F$378,0)*H239/_xlfn.XLOOKUP($A239,'00_SKU_Master'!$B$2:$B$378,'00_SKU_Master'!$O:$O,0),"")</f>
        <v>#NAME?</v>
      </c>
      <c r="Q237" s="112" t="e">
        <f ca="1">_xludf.IFNA(_xlfn.XLOOKUP($A239,'00_SKU_Master'!$B$2:$B$378,'00_SKU_Master'!$F$2:$F$378,0)*I239/_xlfn.XLOOKUP($A239,'00_SKU_Master'!$B$2:$B$378,'00_SKU_Master'!$O:$O,0),"")</f>
        <v>#NAME?</v>
      </c>
      <c r="R237" s="112" t="e">
        <f ca="1">_xludf.IFNA(_xlfn.XLOOKUP($A239,'00_SKU_Master'!$B$2:$B$378,'00_SKU_Master'!$F$2:$F$378,0)*J239/_xlfn.XLOOKUP($A239,'00_SKU_Master'!$B$2:$B$378,'00_SKU_Master'!$O:$O,0),"")</f>
        <v>#NAME?</v>
      </c>
      <c r="S237" s="112" t="e">
        <f ca="1">_xludf.IFNA(_xlfn.XLOOKUP($A239,'00_SKU_Master'!$B$2:$B$378,'00_SKU_Master'!$F$2:$F$378,0)*K239/_xlfn.XLOOKUP($A239,'00_SKU_Master'!$B$2:$B$378,'00_SKU_Master'!$O:$O,0),"")</f>
        <v>#NAME?</v>
      </c>
      <c r="T237" s="113" t="e">
        <f t="shared" si="6"/>
        <v>#VALUE!</v>
      </c>
      <c r="U237" s="114" t="str">
        <f>'05_Daily_Orders'!L237</f>
        <v>FB</v>
      </c>
    </row>
    <row r="238" spans="1:21">
      <c r="A238" s="108">
        <f>'05_Daily_Orders'!B238</f>
        <v>200717</v>
      </c>
      <c r="B238" s="50">
        <v>0</v>
      </c>
      <c r="C238" s="50">
        <v>21</v>
      </c>
      <c r="D238" s="109"/>
      <c r="E238" s="109"/>
      <c r="F238">
        <v>68</v>
      </c>
      <c r="L238" s="110">
        <f t="shared" si="7"/>
        <v>0</v>
      </c>
      <c r="M238" s="111">
        <f>_xlfn.IFNA(_xlfn.XLOOKUP(A238,'00_SKU_Master'!$B$2:$B$378,'00_SKU_Master'!$C$2:$C$378,0),"")</f>
        <v>61072</v>
      </c>
      <c r="N238" s="112" t="e">
        <f>_xlfn.IFNA(_xlfn.XLOOKUP(A238,'00_SKU_Master'!$B$2:$B$378,'00_SKU_Master'!$F$2:$F$378,0)*F238/_xlfn.XLOOKUP(A238,'00_SKU_Master'!$B$2:$B$378,'00_SKU_Master'!$O:$O,0),"")</f>
        <v>#VALUE!</v>
      </c>
      <c r="O238" s="112" t="e">
        <f ca="1">_xludf.IFNA(_xlfn.XLOOKUP($A240,'00_SKU_Master'!$B$2:$B$378,'00_SKU_Master'!$F$2:$F$378,0)*G240/_xlfn.XLOOKUP($A240,'00_SKU_Master'!$B$2:$B$378,'00_SKU_Master'!$O:$O,0),"")</f>
        <v>#NAME?</v>
      </c>
      <c r="P238" s="112" t="e">
        <f ca="1">_xludf.IFNA(_xlfn.XLOOKUP($A240,'00_SKU_Master'!$B$2:$B$378,'00_SKU_Master'!$F$2:$F$378,0)*H240/_xlfn.XLOOKUP($A240,'00_SKU_Master'!$B$2:$B$378,'00_SKU_Master'!$O:$O,0),"")</f>
        <v>#NAME?</v>
      </c>
      <c r="Q238" s="112" t="e">
        <f ca="1">_xludf.IFNA(_xlfn.XLOOKUP($A240,'00_SKU_Master'!$B$2:$B$378,'00_SKU_Master'!$F$2:$F$378,0)*I240/_xlfn.XLOOKUP($A240,'00_SKU_Master'!$B$2:$B$378,'00_SKU_Master'!$O:$O,0),"")</f>
        <v>#NAME?</v>
      </c>
      <c r="R238" s="112" t="e">
        <f ca="1">_xludf.IFNA(_xlfn.XLOOKUP($A240,'00_SKU_Master'!$B$2:$B$378,'00_SKU_Master'!$F$2:$F$378,0)*J240/_xlfn.XLOOKUP($A240,'00_SKU_Master'!$B$2:$B$378,'00_SKU_Master'!$O:$O,0),"")</f>
        <v>#NAME?</v>
      </c>
      <c r="S238" s="112" t="e">
        <f ca="1">_xludf.IFNA(_xlfn.XLOOKUP($A240,'00_SKU_Master'!$B$2:$B$378,'00_SKU_Master'!$F$2:$F$378,0)*K240/_xlfn.XLOOKUP($A240,'00_SKU_Master'!$B$2:$B$378,'00_SKU_Master'!$O:$O,0),"")</f>
        <v>#NAME?</v>
      </c>
      <c r="T238" s="113" t="e">
        <f t="shared" si="6"/>
        <v>#VALUE!</v>
      </c>
      <c r="U238" s="114" t="str">
        <f>'05_Daily_Orders'!L238</f>
        <v>FB</v>
      </c>
    </row>
    <row r="239" spans="1:21">
      <c r="A239" s="108">
        <f>'05_Daily_Orders'!B239</f>
        <v>200718</v>
      </c>
      <c r="B239" s="50">
        <v>0</v>
      </c>
      <c r="C239" s="50">
        <v>0</v>
      </c>
      <c r="D239" s="109"/>
      <c r="E239" s="109"/>
      <c r="F239">
        <v>0</v>
      </c>
      <c r="L239" s="110">
        <f t="shared" si="7"/>
        <v>0</v>
      </c>
      <c r="M239" s="111">
        <f>_xlfn.IFNA(_xlfn.XLOOKUP(A239,'00_SKU_Master'!$B$2:$B$378,'00_SKU_Master'!$C$2:$C$378,0),"")</f>
        <v>61050</v>
      </c>
      <c r="N239" s="112" t="e">
        <f>_xlfn.IFNA(_xlfn.XLOOKUP(A239,'00_SKU_Master'!$B$2:$B$378,'00_SKU_Master'!$F$2:$F$378,0)*F239/_xlfn.XLOOKUP(A239,'00_SKU_Master'!$B$2:$B$378,'00_SKU_Master'!$O:$O,0),"")</f>
        <v>#VALUE!</v>
      </c>
      <c r="O239" s="112" t="e">
        <f ca="1">_xludf.IFNA(_xlfn.XLOOKUP($A241,'00_SKU_Master'!$B$2:$B$378,'00_SKU_Master'!$F$2:$F$378,0)*G241/_xlfn.XLOOKUP($A241,'00_SKU_Master'!$B$2:$B$378,'00_SKU_Master'!$O:$O,0),"")</f>
        <v>#NAME?</v>
      </c>
      <c r="P239" s="112" t="e">
        <f ca="1">_xludf.IFNA(_xlfn.XLOOKUP($A241,'00_SKU_Master'!$B$2:$B$378,'00_SKU_Master'!$F$2:$F$378,0)*H241/_xlfn.XLOOKUP($A241,'00_SKU_Master'!$B$2:$B$378,'00_SKU_Master'!$O:$O,0),"")</f>
        <v>#NAME?</v>
      </c>
      <c r="Q239" s="112" t="e">
        <f ca="1">_xludf.IFNA(_xlfn.XLOOKUP($A241,'00_SKU_Master'!$B$2:$B$378,'00_SKU_Master'!$F$2:$F$378,0)*I241/_xlfn.XLOOKUP($A241,'00_SKU_Master'!$B$2:$B$378,'00_SKU_Master'!$O:$O,0),"")</f>
        <v>#NAME?</v>
      </c>
      <c r="R239" s="112" t="e">
        <f ca="1">_xludf.IFNA(_xlfn.XLOOKUP($A241,'00_SKU_Master'!$B$2:$B$378,'00_SKU_Master'!$F$2:$F$378,0)*J241/_xlfn.XLOOKUP($A241,'00_SKU_Master'!$B$2:$B$378,'00_SKU_Master'!$O:$O,0),"")</f>
        <v>#NAME?</v>
      </c>
      <c r="S239" s="112" t="e">
        <f ca="1">_xludf.IFNA(_xlfn.XLOOKUP($A241,'00_SKU_Master'!$B$2:$B$378,'00_SKU_Master'!$F$2:$F$378,0)*K241/_xlfn.XLOOKUP($A241,'00_SKU_Master'!$B$2:$B$378,'00_SKU_Master'!$O:$O,0),"")</f>
        <v>#NAME?</v>
      </c>
      <c r="T239" s="113" t="e">
        <f t="shared" si="6"/>
        <v>#VALUE!</v>
      </c>
      <c r="U239" s="114" t="str">
        <f>'05_Daily_Orders'!L239</f>
        <v>FB</v>
      </c>
    </row>
    <row r="240" spans="1:21">
      <c r="A240" s="108">
        <f>'05_Daily_Orders'!B240</f>
        <v>200721</v>
      </c>
      <c r="B240" s="50">
        <v>0</v>
      </c>
      <c r="C240" s="50">
        <v>0</v>
      </c>
      <c r="D240" s="109"/>
      <c r="E240" s="109"/>
      <c r="F240">
        <v>0</v>
      </c>
      <c r="L240" s="110">
        <f t="shared" si="7"/>
        <v>0</v>
      </c>
      <c r="M240" s="111">
        <f>_xlfn.IFNA(_xlfn.XLOOKUP(A240,'00_SKU_Master'!$B$2:$B$378,'00_SKU_Master'!$C$2:$C$378,0),"")</f>
        <v>61077</v>
      </c>
      <c r="N240" s="112" t="e">
        <f>_xlfn.IFNA(_xlfn.XLOOKUP(A240,'00_SKU_Master'!$B$2:$B$378,'00_SKU_Master'!$F$2:$F$378,0)*F240/_xlfn.XLOOKUP(A240,'00_SKU_Master'!$B$2:$B$378,'00_SKU_Master'!$O:$O,0),"")</f>
        <v>#VALUE!</v>
      </c>
      <c r="O240" s="112" t="e">
        <f ca="1">_xludf.IFNA(_xlfn.XLOOKUP($A242,'00_SKU_Master'!$B$2:$B$378,'00_SKU_Master'!$F$2:$F$378,0)*G242/_xlfn.XLOOKUP($A242,'00_SKU_Master'!$B$2:$B$378,'00_SKU_Master'!$O:$O,0),"")</f>
        <v>#NAME?</v>
      </c>
      <c r="P240" s="112" t="e">
        <f ca="1">_xludf.IFNA(_xlfn.XLOOKUP($A242,'00_SKU_Master'!$B$2:$B$378,'00_SKU_Master'!$F$2:$F$378,0)*H242/_xlfn.XLOOKUP($A242,'00_SKU_Master'!$B$2:$B$378,'00_SKU_Master'!$O:$O,0),"")</f>
        <v>#NAME?</v>
      </c>
      <c r="Q240" s="112" t="e">
        <f ca="1">_xludf.IFNA(_xlfn.XLOOKUP($A242,'00_SKU_Master'!$B$2:$B$378,'00_SKU_Master'!$F$2:$F$378,0)*I242/_xlfn.XLOOKUP($A242,'00_SKU_Master'!$B$2:$B$378,'00_SKU_Master'!$O:$O,0),"")</f>
        <v>#NAME?</v>
      </c>
      <c r="R240" s="112" t="e">
        <f ca="1">_xludf.IFNA(_xlfn.XLOOKUP($A242,'00_SKU_Master'!$B$2:$B$378,'00_SKU_Master'!$F$2:$F$378,0)*J242/_xlfn.XLOOKUP($A242,'00_SKU_Master'!$B$2:$B$378,'00_SKU_Master'!$O:$O,0),"")</f>
        <v>#NAME?</v>
      </c>
      <c r="S240" s="112" t="e">
        <f ca="1">_xludf.IFNA(_xlfn.XLOOKUP($A242,'00_SKU_Master'!$B$2:$B$378,'00_SKU_Master'!$F$2:$F$378,0)*K242/_xlfn.XLOOKUP($A242,'00_SKU_Master'!$B$2:$B$378,'00_SKU_Master'!$O:$O,0),"")</f>
        <v>#NAME?</v>
      </c>
      <c r="T240" s="113" t="e">
        <f t="shared" si="6"/>
        <v>#VALUE!</v>
      </c>
      <c r="U240" s="114" t="str">
        <f>'05_Daily_Orders'!L240</f>
        <v>FB</v>
      </c>
    </row>
    <row r="241" spans="1:21">
      <c r="A241" s="108">
        <f>'05_Daily_Orders'!B241</f>
        <v>200722</v>
      </c>
      <c r="B241" s="50">
        <v>0</v>
      </c>
      <c r="C241" s="50">
        <v>0</v>
      </c>
      <c r="D241" s="109"/>
      <c r="E241" s="109"/>
      <c r="F241">
        <v>0</v>
      </c>
      <c r="L241" s="110">
        <f t="shared" si="7"/>
        <v>0</v>
      </c>
      <c r="M241" s="111">
        <f>_xlfn.IFNA(_xlfn.XLOOKUP(A241,'00_SKU_Master'!$B$2:$B$378,'00_SKU_Master'!$C$2:$C$378,0),"")</f>
        <v>61072</v>
      </c>
      <c r="N241" s="112" t="e">
        <f>_xlfn.IFNA(_xlfn.XLOOKUP(A241,'00_SKU_Master'!$B$2:$B$378,'00_SKU_Master'!$F$2:$F$378,0)*F241/_xlfn.XLOOKUP(A241,'00_SKU_Master'!$B$2:$B$378,'00_SKU_Master'!$O:$O,0),"")</f>
        <v>#VALUE!</v>
      </c>
      <c r="O241" s="112" t="e">
        <f ca="1">_xludf.IFNA(_xlfn.XLOOKUP($A243,'00_SKU_Master'!$B$2:$B$378,'00_SKU_Master'!$F$2:$F$378,0)*G243/_xlfn.XLOOKUP($A243,'00_SKU_Master'!$B$2:$B$378,'00_SKU_Master'!$O:$O,0),"")</f>
        <v>#NAME?</v>
      </c>
      <c r="P241" s="112" t="e">
        <f ca="1">_xludf.IFNA(_xlfn.XLOOKUP($A243,'00_SKU_Master'!$B$2:$B$378,'00_SKU_Master'!$F$2:$F$378,0)*H243/_xlfn.XLOOKUP($A243,'00_SKU_Master'!$B$2:$B$378,'00_SKU_Master'!$O:$O,0),"")</f>
        <v>#NAME?</v>
      </c>
      <c r="Q241" s="112" t="e">
        <f ca="1">_xludf.IFNA(_xlfn.XLOOKUP($A243,'00_SKU_Master'!$B$2:$B$378,'00_SKU_Master'!$F$2:$F$378,0)*I243/_xlfn.XLOOKUP($A243,'00_SKU_Master'!$B$2:$B$378,'00_SKU_Master'!$O:$O,0),"")</f>
        <v>#NAME?</v>
      </c>
      <c r="R241" s="112" t="e">
        <f ca="1">_xludf.IFNA(_xlfn.XLOOKUP($A243,'00_SKU_Master'!$B$2:$B$378,'00_SKU_Master'!$F$2:$F$378,0)*J243/_xlfn.XLOOKUP($A243,'00_SKU_Master'!$B$2:$B$378,'00_SKU_Master'!$O:$O,0),"")</f>
        <v>#NAME?</v>
      </c>
      <c r="S241" s="112" t="e">
        <f ca="1">_xludf.IFNA(_xlfn.XLOOKUP($A243,'00_SKU_Master'!$B$2:$B$378,'00_SKU_Master'!$F$2:$F$378,0)*K243/_xlfn.XLOOKUP($A243,'00_SKU_Master'!$B$2:$B$378,'00_SKU_Master'!$O:$O,0),"")</f>
        <v>#NAME?</v>
      </c>
      <c r="T241" s="113" t="e">
        <f t="shared" si="6"/>
        <v>#VALUE!</v>
      </c>
      <c r="U241" s="114" t="str">
        <f>'05_Daily_Orders'!L241</f>
        <v>FB</v>
      </c>
    </row>
    <row r="242" spans="1:21">
      <c r="A242" s="108">
        <f>'05_Daily_Orders'!B242</f>
        <v>200723</v>
      </c>
      <c r="B242" s="50">
        <v>0</v>
      </c>
      <c r="C242" s="50">
        <v>0</v>
      </c>
      <c r="D242" s="109"/>
      <c r="E242" s="109"/>
      <c r="F242">
        <v>0</v>
      </c>
      <c r="L242" s="110">
        <f t="shared" si="7"/>
        <v>0</v>
      </c>
      <c r="M242" s="111" t="str">
        <f>_xlfn.IFNA(_xlfn.XLOOKUP(A242,'00_SKU_Master'!$B$2:$B$378,'00_SKU_Master'!$C$2:$C$378,0),"")</f>
        <v>61050F</v>
      </c>
      <c r="N242" s="112" t="e">
        <f>_xlfn.IFNA(_xlfn.XLOOKUP(A242,'00_SKU_Master'!$B$2:$B$378,'00_SKU_Master'!$F$2:$F$378,0)*F242/_xlfn.XLOOKUP(A242,'00_SKU_Master'!$B$2:$B$378,'00_SKU_Master'!$O:$O,0),"")</f>
        <v>#VALUE!</v>
      </c>
      <c r="O242" s="112" t="e">
        <f ca="1">_xludf.IFNA(_xlfn.XLOOKUP($A244,'00_SKU_Master'!$B$2:$B$378,'00_SKU_Master'!$F$2:$F$378,0)*G244/_xlfn.XLOOKUP($A244,'00_SKU_Master'!$B$2:$B$378,'00_SKU_Master'!$O:$O,0),"")</f>
        <v>#NAME?</v>
      </c>
      <c r="P242" s="112" t="e">
        <f ca="1">_xludf.IFNA(_xlfn.XLOOKUP($A244,'00_SKU_Master'!$B$2:$B$378,'00_SKU_Master'!$F$2:$F$378,0)*H244/_xlfn.XLOOKUP($A244,'00_SKU_Master'!$B$2:$B$378,'00_SKU_Master'!$O:$O,0),"")</f>
        <v>#NAME?</v>
      </c>
      <c r="Q242" s="112" t="e">
        <f ca="1">_xludf.IFNA(_xlfn.XLOOKUP($A244,'00_SKU_Master'!$B$2:$B$378,'00_SKU_Master'!$F$2:$F$378,0)*I244/_xlfn.XLOOKUP($A244,'00_SKU_Master'!$B$2:$B$378,'00_SKU_Master'!$O:$O,0),"")</f>
        <v>#NAME?</v>
      </c>
      <c r="R242" s="112" t="e">
        <f ca="1">_xludf.IFNA(_xlfn.XLOOKUP($A244,'00_SKU_Master'!$B$2:$B$378,'00_SKU_Master'!$F$2:$F$378,0)*J244/_xlfn.XLOOKUP($A244,'00_SKU_Master'!$B$2:$B$378,'00_SKU_Master'!$O:$O,0),"")</f>
        <v>#NAME?</v>
      </c>
      <c r="S242" s="112" t="e">
        <f ca="1">_xludf.IFNA(_xlfn.XLOOKUP($A244,'00_SKU_Master'!$B$2:$B$378,'00_SKU_Master'!$F$2:$F$378,0)*K244/_xlfn.XLOOKUP($A244,'00_SKU_Master'!$B$2:$B$378,'00_SKU_Master'!$O:$O,0),"")</f>
        <v>#NAME?</v>
      </c>
      <c r="T242" s="113" t="e">
        <f t="shared" si="6"/>
        <v>#VALUE!</v>
      </c>
      <c r="U242" s="114" t="str">
        <f>'05_Daily_Orders'!L242</f>
        <v>FB</v>
      </c>
    </row>
    <row r="243" spans="1:21">
      <c r="A243" s="108">
        <f>'05_Daily_Orders'!B243</f>
        <v>200724</v>
      </c>
      <c r="B243" s="50">
        <v>0</v>
      </c>
      <c r="C243" s="50">
        <v>13</v>
      </c>
      <c r="D243" s="109"/>
      <c r="E243" s="109"/>
      <c r="F243">
        <v>40</v>
      </c>
      <c r="L243" s="110">
        <f t="shared" si="7"/>
        <v>0</v>
      </c>
      <c r="M243" s="111">
        <f>_xlfn.IFNA(_xlfn.XLOOKUP(A243,'00_SKU_Master'!$B$2:$B$378,'00_SKU_Master'!$C$2:$C$378,0),"")</f>
        <v>61071</v>
      </c>
      <c r="N243" s="112" t="e">
        <f>_xlfn.IFNA(_xlfn.XLOOKUP(A243,'00_SKU_Master'!$B$2:$B$378,'00_SKU_Master'!$F$2:$F$378,0)*F243/_xlfn.XLOOKUP(A243,'00_SKU_Master'!$B$2:$B$378,'00_SKU_Master'!$O:$O,0),"")</f>
        <v>#VALUE!</v>
      </c>
      <c r="O243" s="112" t="e">
        <f ca="1">_xludf.IFNA(_xlfn.XLOOKUP($A245,'00_SKU_Master'!$B$2:$B$378,'00_SKU_Master'!$F$2:$F$378,0)*G245/_xlfn.XLOOKUP($A245,'00_SKU_Master'!$B$2:$B$378,'00_SKU_Master'!$O:$O,0),"")</f>
        <v>#NAME?</v>
      </c>
      <c r="P243" s="112" t="e">
        <f ca="1">_xludf.IFNA(_xlfn.XLOOKUP($A245,'00_SKU_Master'!$B$2:$B$378,'00_SKU_Master'!$F$2:$F$378,0)*H245/_xlfn.XLOOKUP($A245,'00_SKU_Master'!$B$2:$B$378,'00_SKU_Master'!$O:$O,0),"")</f>
        <v>#NAME?</v>
      </c>
      <c r="Q243" s="112" t="e">
        <f ca="1">_xludf.IFNA(_xlfn.XLOOKUP($A245,'00_SKU_Master'!$B$2:$B$378,'00_SKU_Master'!$F$2:$F$378,0)*I245/_xlfn.XLOOKUP($A245,'00_SKU_Master'!$B$2:$B$378,'00_SKU_Master'!$O:$O,0),"")</f>
        <v>#NAME?</v>
      </c>
      <c r="R243" s="112" t="e">
        <f ca="1">_xludf.IFNA(_xlfn.XLOOKUP($A245,'00_SKU_Master'!$B$2:$B$378,'00_SKU_Master'!$F$2:$F$378,0)*J245/_xlfn.XLOOKUP($A245,'00_SKU_Master'!$B$2:$B$378,'00_SKU_Master'!$O:$O,0),"")</f>
        <v>#NAME?</v>
      </c>
      <c r="S243" s="112" t="e">
        <f ca="1">_xludf.IFNA(_xlfn.XLOOKUP($A245,'00_SKU_Master'!$B$2:$B$378,'00_SKU_Master'!$F$2:$F$378,0)*K245/_xlfn.XLOOKUP($A245,'00_SKU_Master'!$B$2:$B$378,'00_SKU_Master'!$O:$O,0),"")</f>
        <v>#NAME?</v>
      </c>
      <c r="T243" s="113" t="e">
        <f t="shared" si="6"/>
        <v>#VALUE!</v>
      </c>
      <c r="U243" s="114" t="str">
        <f>'05_Daily_Orders'!L243</f>
        <v>FB</v>
      </c>
    </row>
    <row r="244" spans="1:21">
      <c r="A244" s="108">
        <f>'05_Daily_Orders'!B244</f>
        <v>200725</v>
      </c>
      <c r="B244" s="50">
        <v>0</v>
      </c>
      <c r="C244" s="50">
        <v>0</v>
      </c>
      <c r="D244" s="109"/>
      <c r="E244" s="109"/>
      <c r="F244">
        <v>0</v>
      </c>
      <c r="L244" s="110">
        <f t="shared" si="7"/>
        <v>0</v>
      </c>
      <c r="M244" s="111">
        <f>_xlfn.IFNA(_xlfn.XLOOKUP(A244,'00_SKU_Master'!$B$2:$B$378,'00_SKU_Master'!$C$2:$C$378,0),"")</f>
        <v>61050</v>
      </c>
      <c r="N244" s="112" t="e">
        <f>_xlfn.IFNA(_xlfn.XLOOKUP(A244,'00_SKU_Master'!$B$2:$B$378,'00_SKU_Master'!$F$2:$F$378,0)*F244/_xlfn.XLOOKUP(A244,'00_SKU_Master'!$B$2:$B$378,'00_SKU_Master'!$O:$O,0),"")</f>
        <v>#VALUE!</v>
      </c>
      <c r="O244" s="112" t="e">
        <f ca="1">_xludf.IFNA(_xlfn.XLOOKUP($A246,'00_SKU_Master'!$B$2:$B$378,'00_SKU_Master'!$F$2:$F$378,0)*G246/_xlfn.XLOOKUP($A246,'00_SKU_Master'!$B$2:$B$378,'00_SKU_Master'!$O:$O,0),"")</f>
        <v>#NAME?</v>
      </c>
      <c r="P244" s="112" t="e">
        <f ca="1">_xludf.IFNA(_xlfn.XLOOKUP($A246,'00_SKU_Master'!$B$2:$B$378,'00_SKU_Master'!$F$2:$F$378,0)*H246/_xlfn.XLOOKUP($A246,'00_SKU_Master'!$B$2:$B$378,'00_SKU_Master'!$O:$O,0),"")</f>
        <v>#NAME?</v>
      </c>
      <c r="Q244" s="112" t="e">
        <f ca="1">_xludf.IFNA(_xlfn.XLOOKUP($A246,'00_SKU_Master'!$B$2:$B$378,'00_SKU_Master'!$F$2:$F$378,0)*I246/_xlfn.XLOOKUP($A246,'00_SKU_Master'!$B$2:$B$378,'00_SKU_Master'!$O:$O,0),"")</f>
        <v>#NAME?</v>
      </c>
      <c r="R244" s="112" t="e">
        <f ca="1">_xludf.IFNA(_xlfn.XLOOKUP($A246,'00_SKU_Master'!$B$2:$B$378,'00_SKU_Master'!$F$2:$F$378,0)*J246/_xlfn.XLOOKUP($A246,'00_SKU_Master'!$B$2:$B$378,'00_SKU_Master'!$O:$O,0),"")</f>
        <v>#NAME?</v>
      </c>
      <c r="S244" s="112" t="e">
        <f ca="1">_xludf.IFNA(_xlfn.XLOOKUP($A246,'00_SKU_Master'!$B$2:$B$378,'00_SKU_Master'!$F$2:$F$378,0)*K246/_xlfn.XLOOKUP($A246,'00_SKU_Master'!$B$2:$B$378,'00_SKU_Master'!$O:$O,0),"")</f>
        <v>#NAME?</v>
      </c>
      <c r="T244" s="113" t="e">
        <f t="shared" si="6"/>
        <v>#VALUE!</v>
      </c>
      <c r="U244" s="114" t="str">
        <f>'05_Daily_Orders'!L244</f>
        <v>METRO</v>
      </c>
    </row>
    <row r="245" spans="1:21">
      <c r="A245" s="108">
        <f>'05_Daily_Orders'!B245</f>
        <v>200726</v>
      </c>
      <c r="B245" s="50">
        <v>0</v>
      </c>
      <c r="C245" s="50">
        <v>0</v>
      </c>
      <c r="D245" s="109"/>
      <c r="E245" s="109"/>
      <c r="F245">
        <v>0</v>
      </c>
      <c r="L245" s="110">
        <f t="shared" si="7"/>
        <v>0</v>
      </c>
      <c r="M245" s="111">
        <f>_xlfn.IFNA(_xlfn.XLOOKUP(A245,'00_SKU_Master'!$B$2:$B$378,'00_SKU_Master'!$C$2:$C$378,0),"")</f>
        <v>61077</v>
      </c>
      <c r="N245" s="112" t="e">
        <f>_xlfn.IFNA(_xlfn.XLOOKUP(A245,'00_SKU_Master'!$B$2:$B$378,'00_SKU_Master'!$F$2:$F$378,0)*F245/_xlfn.XLOOKUP(A245,'00_SKU_Master'!$B$2:$B$378,'00_SKU_Master'!$O:$O,0),"")</f>
        <v>#VALUE!</v>
      </c>
      <c r="O245" s="112" t="e">
        <f ca="1">_xludf.IFNA(_xlfn.XLOOKUP($A247,'00_SKU_Master'!$B$2:$B$378,'00_SKU_Master'!$F$2:$F$378,0)*G247/_xlfn.XLOOKUP($A247,'00_SKU_Master'!$B$2:$B$378,'00_SKU_Master'!$O:$O,0),"")</f>
        <v>#NAME?</v>
      </c>
      <c r="P245" s="112" t="e">
        <f ca="1">_xludf.IFNA(_xlfn.XLOOKUP($A247,'00_SKU_Master'!$B$2:$B$378,'00_SKU_Master'!$F$2:$F$378,0)*H247/_xlfn.XLOOKUP($A247,'00_SKU_Master'!$B$2:$B$378,'00_SKU_Master'!$O:$O,0),"")</f>
        <v>#NAME?</v>
      </c>
      <c r="Q245" s="112" t="e">
        <f ca="1">_xludf.IFNA(_xlfn.XLOOKUP($A247,'00_SKU_Master'!$B$2:$B$378,'00_SKU_Master'!$F$2:$F$378,0)*I247/_xlfn.XLOOKUP($A247,'00_SKU_Master'!$B$2:$B$378,'00_SKU_Master'!$O:$O,0),"")</f>
        <v>#NAME?</v>
      </c>
      <c r="R245" s="112" t="e">
        <f ca="1">_xludf.IFNA(_xlfn.XLOOKUP($A247,'00_SKU_Master'!$B$2:$B$378,'00_SKU_Master'!$F$2:$F$378,0)*J247/_xlfn.XLOOKUP($A247,'00_SKU_Master'!$B$2:$B$378,'00_SKU_Master'!$O:$O,0),"")</f>
        <v>#NAME?</v>
      </c>
      <c r="S245" s="112" t="e">
        <f ca="1">_xludf.IFNA(_xlfn.XLOOKUP($A247,'00_SKU_Master'!$B$2:$B$378,'00_SKU_Master'!$F$2:$F$378,0)*K247/_xlfn.XLOOKUP($A247,'00_SKU_Master'!$B$2:$B$378,'00_SKU_Master'!$O:$O,0),"")</f>
        <v>#NAME?</v>
      </c>
      <c r="T245" s="113" t="e">
        <f t="shared" si="6"/>
        <v>#VALUE!</v>
      </c>
      <c r="U245" s="114" t="str">
        <f>'05_Daily_Orders'!L245</f>
        <v>METRO</v>
      </c>
    </row>
    <row r="246" spans="1:21">
      <c r="A246" s="108">
        <f>'05_Daily_Orders'!B246</f>
        <v>200727</v>
      </c>
      <c r="B246" s="50">
        <v>0</v>
      </c>
      <c r="C246" s="50">
        <v>0</v>
      </c>
      <c r="D246" s="109"/>
      <c r="E246" s="109"/>
      <c r="F246">
        <v>0</v>
      </c>
      <c r="L246" s="110">
        <f t="shared" si="7"/>
        <v>0</v>
      </c>
      <c r="M246" s="111">
        <f>_xlfn.IFNA(_xlfn.XLOOKUP(A246,'00_SKU_Master'!$B$2:$B$378,'00_SKU_Master'!$C$2:$C$378,0),"")</f>
        <v>61072</v>
      </c>
      <c r="N246" s="112" t="e">
        <f>_xlfn.IFNA(_xlfn.XLOOKUP(A246,'00_SKU_Master'!$B$2:$B$378,'00_SKU_Master'!$F$2:$F$378,0)*F246/_xlfn.XLOOKUP(A246,'00_SKU_Master'!$B$2:$B$378,'00_SKU_Master'!$O:$O,0),"")</f>
        <v>#VALUE!</v>
      </c>
      <c r="O246" s="112" t="e">
        <f ca="1">_xludf.IFNA(_xlfn.XLOOKUP($A248,'00_SKU_Master'!$B$2:$B$378,'00_SKU_Master'!$F$2:$F$378,0)*G248/_xlfn.XLOOKUP($A248,'00_SKU_Master'!$B$2:$B$378,'00_SKU_Master'!$O:$O,0),"")</f>
        <v>#NAME?</v>
      </c>
      <c r="P246" s="112" t="e">
        <f ca="1">_xludf.IFNA(_xlfn.XLOOKUP($A248,'00_SKU_Master'!$B$2:$B$378,'00_SKU_Master'!$F$2:$F$378,0)*H248/_xlfn.XLOOKUP($A248,'00_SKU_Master'!$B$2:$B$378,'00_SKU_Master'!$O:$O,0),"")</f>
        <v>#NAME?</v>
      </c>
      <c r="Q246" s="112" t="e">
        <f ca="1">_xludf.IFNA(_xlfn.XLOOKUP($A248,'00_SKU_Master'!$B$2:$B$378,'00_SKU_Master'!$F$2:$F$378,0)*I248/_xlfn.XLOOKUP($A248,'00_SKU_Master'!$B$2:$B$378,'00_SKU_Master'!$O:$O,0),"")</f>
        <v>#NAME?</v>
      </c>
      <c r="R246" s="112" t="e">
        <f ca="1">_xludf.IFNA(_xlfn.XLOOKUP($A248,'00_SKU_Master'!$B$2:$B$378,'00_SKU_Master'!$F$2:$F$378,0)*J248/_xlfn.XLOOKUP($A248,'00_SKU_Master'!$B$2:$B$378,'00_SKU_Master'!$O:$O,0),"")</f>
        <v>#NAME?</v>
      </c>
      <c r="S246" s="112" t="e">
        <f ca="1">_xludf.IFNA(_xlfn.XLOOKUP($A248,'00_SKU_Master'!$B$2:$B$378,'00_SKU_Master'!$F$2:$F$378,0)*K248/_xlfn.XLOOKUP($A248,'00_SKU_Master'!$B$2:$B$378,'00_SKU_Master'!$O:$O,0),"")</f>
        <v>#NAME?</v>
      </c>
      <c r="T246" s="113" t="e">
        <f t="shared" si="6"/>
        <v>#VALUE!</v>
      </c>
      <c r="U246" s="114" t="str">
        <f>'05_Daily_Orders'!L246</f>
        <v>METRO</v>
      </c>
    </row>
    <row r="247" spans="1:21">
      <c r="A247" s="108">
        <f>'05_Daily_Orders'!B247</f>
        <v>200736</v>
      </c>
      <c r="B247" s="50">
        <v>0</v>
      </c>
      <c r="C247" s="50">
        <v>0</v>
      </c>
      <c r="D247" s="109"/>
      <c r="E247" s="109"/>
      <c r="F247">
        <v>0</v>
      </c>
      <c r="L247" s="110">
        <f t="shared" si="7"/>
        <v>0</v>
      </c>
      <c r="M247" s="111">
        <f>_xlfn.IFNA(_xlfn.XLOOKUP(A247,'00_SKU_Master'!$B$2:$B$378,'00_SKU_Master'!$C$2:$C$378,0),"")</f>
        <v>61077</v>
      </c>
      <c r="N247" s="112" t="e">
        <f>_xlfn.IFNA(_xlfn.XLOOKUP(A247,'00_SKU_Master'!$B$2:$B$378,'00_SKU_Master'!$F$2:$F$378,0)*F247/_xlfn.XLOOKUP(A247,'00_SKU_Master'!$B$2:$B$378,'00_SKU_Master'!$O:$O,0),"")</f>
        <v>#VALUE!</v>
      </c>
      <c r="O247" s="112" t="e">
        <f ca="1">_xludf.IFNA(_xlfn.XLOOKUP($A249,'00_SKU_Master'!$B$2:$B$378,'00_SKU_Master'!$F$2:$F$378,0)*G249/_xlfn.XLOOKUP($A249,'00_SKU_Master'!$B$2:$B$378,'00_SKU_Master'!$O:$O,0),"")</f>
        <v>#NAME?</v>
      </c>
      <c r="P247" s="112" t="e">
        <f ca="1">_xludf.IFNA(_xlfn.XLOOKUP($A249,'00_SKU_Master'!$B$2:$B$378,'00_SKU_Master'!$F$2:$F$378,0)*H249/_xlfn.XLOOKUP($A249,'00_SKU_Master'!$B$2:$B$378,'00_SKU_Master'!$O:$O,0),"")</f>
        <v>#NAME?</v>
      </c>
      <c r="Q247" s="112" t="e">
        <f ca="1">_xludf.IFNA(_xlfn.XLOOKUP($A249,'00_SKU_Master'!$B$2:$B$378,'00_SKU_Master'!$F$2:$F$378,0)*I249/_xlfn.XLOOKUP($A249,'00_SKU_Master'!$B$2:$B$378,'00_SKU_Master'!$O:$O,0),"")</f>
        <v>#NAME?</v>
      </c>
      <c r="R247" s="112" t="e">
        <f ca="1">_xludf.IFNA(_xlfn.XLOOKUP($A249,'00_SKU_Master'!$B$2:$B$378,'00_SKU_Master'!$F$2:$F$378,0)*J249/_xlfn.XLOOKUP($A249,'00_SKU_Master'!$B$2:$B$378,'00_SKU_Master'!$O:$O,0),"")</f>
        <v>#NAME?</v>
      </c>
      <c r="S247" s="112" t="e">
        <f ca="1">_xludf.IFNA(_xlfn.XLOOKUP($A249,'00_SKU_Master'!$B$2:$B$378,'00_SKU_Master'!$F$2:$F$378,0)*K249/_xlfn.XLOOKUP($A249,'00_SKU_Master'!$B$2:$B$378,'00_SKU_Master'!$O:$O,0),"")</f>
        <v>#NAME?</v>
      </c>
      <c r="T247" s="113" t="e">
        <f t="shared" si="6"/>
        <v>#VALUE!</v>
      </c>
      <c r="U247" s="114" t="str">
        <f>'05_Daily_Orders'!L247</f>
        <v>FB</v>
      </c>
    </row>
    <row r="248" spans="1:21">
      <c r="A248" s="108">
        <f>'05_Daily_Orders'!B248</f>
        <v>200737</v>
      </c>
      <c r="B248" s="50">
        <v>0</v>
      </c>
      <c r="C248" s="50">
        <v>0</v>
      </c>
      <c r="D248" s="109"/>
      <c r="E248" s="109"/>
      <c r="F248">
        <v>0</v>
      </c>
      <c r="L248" s="110">
        <f t="shared" si="7"/>
        <v>0</v>
      </c>
      <c r="M248" s="111">
        <f>_xlfn.IFNA(_xlfn.XLOOKUP(A248,'00_SKU_Master'!$B$2:$B$378,'00_SKU_Master'!$C$2:$C$378,0),"")</f>
        <v>61072</v>
      </c>
      <c r="N248" s="112" t="e">
        <f>_xlfn.IFNA(_xlfn.XLOOKUP(A248,'00_SKU_Master'!$B$2:$B$378,'00_SKU_Master'!$F$2:$F$378,0)*F248/_xlfn.XLOOKUP(A248,'00_SKU_Master'!$B$2:$B$378,'00_SKU_Master'!$O:$O,0),"")</f>
        <v>#VALUE!</v>
      </c>
      <c r="O248" s="112" t="e">
        <f ca="1">_xludf.IFNA(_xlfn.XLOOKUP($A250,'00_SKU_Master'!$B$2:$B$378,'00_SKU_Master'!$F$2:$F$378,0)*G250/_xlfn.XLOOKUP($A250,'00_SKU_Master'!$B$2:$B$378,'00_SKU_Master'!$O:$O,0),"")</f>
        <v>#NAME?</v>
      </c>
      <c r="P248" s="112" t="e">
        <f ca="1">_xludf.IFNA(_xlfn.XLOOKUP($A250,'00_SKU_Master'!$B$2:$B$378,'00_SKU_Master'!$F$2:$F$378,0)*H250/_xlfn.XLOOKUP($A250,'00_SKU_Master'!$B$2:$B$378,'00_SKU_Master'!$O:$O,0),"")</f>
        <v>#NAME?</v>
      </c>
      <c r="Q248" s="112" t="e">
        <f ca="1">_xludf.IFNA(_xlfn.XLOOKUP($A250,'00_SKU_Master'!$B$2:$B$378,'00_SKU_Master'!$F$2:$F$378,0)*I250/_xlfn.XLOOKUP($A250,'00_SKU_Master'!$B$2:$B$378,'00_SKU_Master'!$O:$O,0),"")</f>
        <v>#NAME?</v>
      </c>
      <c r="R248" s="112" t="e">
        <f ca="1">_xludf.IFNA(_xlfn.XLOOKUP($A250,'00_SKU_Master'!$B$2:$B$378,'00_SKU_Master'!$F$2:$F$378,0)*J250/_xlfn.XLOOKUP($A250,'00_SKU_Master'!$B$2:$B$378,'00_SKU_Master'!$O:$O,0),"")</f>
        <v>#NAME?</v>
      </c>
      <c r="S248" s="112" t="e">
        <f ca="1">_xludf.IFNA(_xlfn.XLOOKUP($A250,'00_SKU_Master'!$B$2:$B$378,'00_SKU_Master'!$F$2:$F$378,0)*K250/_xlfn.XLOOKUP($A250,'00_SKU_Master'!$B$2:$B$378,'00_SKU_Master'!$O:$O,0),"")</f>
        <v>#NAME?</v>
      </c>
      <c r="T248" s="113" t="e">
        <f t="shared" si="6"/>
        <v>#VALUE!</v>
      </c>
      <c r="U248" s="114" t="str">
        <f>'05_Daily_Orders'!L248</f>
        <v>FB</v>
      </c>
    </row>
    <row r="249" spans="1:21">
      <c r="A249" s="108">
        <f>'05_Daily_Orders'!B249</f>
        <v>200738</v>
      </c>
      <c r="B249" s="50">
        <v>0</v>
      </c>
      <c r="C249" s="50">
        <v>0</v>
      </c>
      <c r="D249" s="109"/>
      <c r="E249" s="109"/>
      <c r="F249">
        <v>0</v>
      </c>
      <c r="L249" s="110">
        <f t="shared" si="7"/>
        <v>0</v>
      </c>
      <c r="M249" s="111">
        <f>_xlfn.IFNA(_xlfn.XLOOKUP(A249,'00_SKU_Master'!$B$2:$B$378,'00_SKU_Master'!$C$2:$C$378,0),"")</f>
        <v>203021</v>
      </c>
      <c r="N249" s="112" t="e">
        <f>_xlfn.IFNA(_xlfn.XLOOKUP(A249,'00_SKU_Master'!$B$2:$B$378,'00_SKU_Master'!$F$2:$F$378,0)*F249/_xlfn.XLOOKUP(A249,'00_SKU_Master'!$B$2:$B$378,'00_SKU_Master'!$O:$O,0),"")</f>
        <v>#VALUE!</v>
      </c>
      <c r="O249" s="112" t="e">
        <f ca="1">_xludf.IFNA(_xlfn.XLOOKUP($A251,'00_SKU_Master'!$B$2:$B$378,'00_SKU_Master'!$F$2:$F$378,0)*G251/_xlfn.XLOOKUP($A251,'00_SKU_Master'!$B$2:$B$378,'00_SKU_Master'!$O:$O,0),"")</f>
        <v>#NAME?</v>
      </c>
      <c r="P249" s="112" t="e">
        <f ca="1">_xludf.IFNA(_xlfn.XLOOKUP($A251,'00_SKU_Master'!$B$2:$B$378,'00_SKU_Master'!$F$2:$F$378,0)*H251/_xlfn.XLOOKUP($A251,'00_SKU_Master'!$B$2:$B$378,'00_SKU_Master'!$O:$O,0),"")</f>
        <v>#NAME?</v>
      </c>
      <c r="Q249" s="112" t="e">
        <f ca="1">_xludf.IFNA(_xlfn.XLOOKUP($A251,'00_SKU_Master'!$B$2:$B$378,'00_SKU_Master'!$F$2:$F$378,0)*I251/_xlfn.XLOOKUP($A251,'00_SKU_Master'!$B$2:$B$378,'00_SKU_Master'!$O:$O,0),"")</f>
        <v>#NAME?</v>
      </c>
      <c r="R249" s="112" t="e">
        <f ca="1">_xludf.IFNA(_xlfn.XLOOKUP($A251,'00_SKU_Master'!$B$2:$B$378,'00_SKU_Master'!$F$2:$F$378,0)*J251/_xlfn.XLOOKUP($A251,'00_SKU_Master'!$B$2:$B$378,'00_SKU_Master'!$O:$O,0),"")</f>
        <v>#NAME?</v>
      </c>
      <c r="S249" s="112" t="e">
        <f ca="1">_xludf.IFNA(_xlfn.XLOOKUP($A251,'00_SKU_Master'!$B$2:$B$378,'00_SKU_Master'!$F$2:$F$378,0)*K251/_xlfn.XLOOKUP($A251,'00_SKU_Master'!$B$2:$B$378,'00_SKU_Master'!$O:$O,0),"")</f>
        <v>#NAME?</v>
      </c>
      <c r="T249" s="113" t="e">
        <f t="shared" si="6"/>
        <v>#VALUE!</v>
      </c>
      <c r="U249" s="114" t="str">
        <f>'05_Daily_Orders'!L249</f>
        <v>FB</v>
      </c>
    </row>
    <row r="250" spans="1:21">
      <c r="A250" s="108">
        <f>'05_Daily_Orders'!B250</f>
        <v>200745</v>
      </c>
      <c r="B250" s="50">
        <v>0</v>
      </c>
      <c r="C250" s="50">
        <v>0</v>
      </c>
      <c r="D250" s="109"/>
      <c r="E250" s="109"/>
      <c r="F250">
        <v>0</v>
      </c>
      <c r="L250" s="110">
        <f t="shared" si="7"/>
        <v>0</v>
      </c>
      <c r="M250" s="111" t="str">
        <f>_xlfn.IFNA(_xlfn.XLOOKUP(A250,'00_SKU_Master'!$B$2:$B$378,'00_SKU_Master'!$C$2:$C$378,0),"")</f>
        <v>61050F</v>
      </c>
      <c r="N250" s="112" t="e">
        <f>_xlfn.IFNA(_xlfn.XLOOKUP(A250,'00_SKU_Master'!$B$2:$B$378,'00_SKU_Master'!$F$2:$F$378,0)*F250/_xlfn.XLOOKUP(A250,'00_SKU_Master'!$B$2:$B$378,'00_SKU_Master'!$O:$O,0),"")</f>
        <v>#VALUE!</v>
      </c>
      <c r="O250" s="112" t="e">
        <f ca="1">_xludf.IFNA(_xlfn.XLOOKUP($A252,'00_SKU_Master'!$B$2:$B$378,'00_SKU_Master'!$F$2:$F$378,0)*G252/_xlfn.XLOOKUP($A252,'00_SKU_Master'!$B$2:$B$378,'00_SKU_Master'!$O:$O,0),"")</f>
        <v>#NAME?</v>
      </c>
      <c r="P250" s="112" t="e">
        <f ca="1">_xludf.IFNA(_xlfn.XLOOKUP($A252,'00_SKU_Master'!$B$2:$B$378,'00_SKU_Master'!$F$2:$F$378,0)*H252/_xlfn.XLOOKUP($A252,'00_SKU_Master'!$B$2:$B$378,'00_SKU_Master'!$O:$O,0),"")</f>
        <v>#NAME?</v>
      </c>
      <c r="Q250" s="112" t="e">
        <f ca="1">_xludf.IFNA(_xlfn.XLOOKUP($A252,'00_SKU_Master'!$B$2:$B$378,'00_SKU_Master'!$F$2:$F$378,0)*I252/_xlfn.XLOOKUP($A252,'00_SKU_Master'!$B$2:$B$378,'00_SKU_Master'!$O:$O,0),"")</f>
        <v>#NAME?</v>
      </c>
      <c r="R250" s="112" t="e">
        <f ca="1">_xludf.IFNA(_xlfn.XLOOKUP($A252,'00_SKU_Master'!$B$2:$B$378,'00_SKU_Master'!$F$2:$F$378,0)*J252/_xlfn.XLOOKUP($A252,'00_SKU_Master'!$B$2:$B$378,'00_SKU_Master'!$O:$O,0),"")</f>
        <v>#NAME?</v>
      </c>
      <c r="S250" s="112" t="e">
        <f ca="1">_xludf.IFNA(_xlfn.XLOOKUP($A252,'00_SKU_Master'!$B$2:$B$378,'00_SKU_Master'!$F$2:$F$378,0)*K252/_xlfn.XLOOKUP($A252,'00_SKU_Master'!$B$2:$B$378,'00_SKU_Master'!$O:$O,0),"")</f>
        <v>#NAME?</v>
      </c>
      <c r="T250" s="113" t="e">
        <f t="shared" si="6"/>
        <v>#VALUE!</v>
      </c>
      <c r="U250" s="114" t="str">
        <f>'05_Daily_Orders'!L250</f>
        <v>SHP</v>
      </c>
    </row>
    <row r="251" spans="1:21">
      <c r="A251" s="108">
        <f>'05_Daily_Orders'!B251</f>
        <v>200746</v>
      </c>
      <c r="B251" s="50">
        <v>0</v>
      </c>
      <c r="C251" s="50">
        <v>0</v>
      </c>
      <c r="D251" s="109"/>
      <c r="E251" s="109"/>
      <c r="F251">
        <v>0</v>
      </c>
      <c r="L251" s="110">
        <f t="shared" si="7"/>
        <v>0</v>
      </c>
      <c r="M251" s="111">
        <f>_xlfn.IFNA(_xlfn.XLOOKUP(A251,'00_SKU_Master'!$B$2:$B$378,'00_SKU_Master'!$C$2:$C$378,0),"")</f>
        <v>61077</v>
      </c>
      <c r="N251" s="112" t="e">
        <f>_xlfn.IFNA(_xlfn.XLOOKUP(A251,'00_SKU_Master'!$B$2:$B$378,'00_SKU_Master'!$F$2:$F$378,0)*F251/_xlfn.XLOOKUP(A251,'00_SKU_Master'!$B$2:$B$378,'00_SKU_Master'!$O:$O,0),"")</f>
        <v>#VALUE!</v>
      </c>
      <c r="O251" s="112" t="e">
        <f ca="1">_xludf.IFNA(_xlfn.XLOOKUP($A253,'00_SKU_Master'!$B$2:$B$378,'00_SKU_Master'!$F$2:$F$378,0)*G253/_xlfn.XLOOKUP($A253,'00_SKU_Master'!$B$2:$B$378,'00_SKU_Master'!$O:$O,0),"")</f>
        <v>#NAME?</v>
      </c>
      <c r="P251" s="112" t="e">
        <f ca="1">_xludf.IFNA(_xlfn.XLOOKUP($A253,'00_SKU_Master'!$B$2:$B$378,'00_SKU_Master'!$F$2:$F$378,0)*H253/_xlfn.XLOOKUP($A253,'00_SKU_Master'!$B$2:$B$378,'00_SKU_Master'!$O:$O,0),"")</f>
        <v>#NAME?</v>
      </c>
      <c r="Q251" s="112" t="e">
        <f ca="1">_xludf.IFNA(_xlfn.XLOOKUP($A253,'00_SKU_Master'!$B$2:$B$378,'00_SKU_Master'!$F$2:$F$378,0)*I253/_xlfn.XLOOKUP($A253,'00_SKU_Master'!$B$2:$B$378,'00_SKU_Master'!$O:$O,0),"")</f>
        <v>#NAME?</v>
      </c>
      <c r="R251" s="112" t="e">
        <f ca="1">_xludf.IFNA(_xlfn.XLOOKUP($A253,'00_SKU_Master'!$B$2:$B$378,'00_SKU_Master'!$F$2:$F$378,0)*J253/_xlfn.XLOOKUP($A253,'00_SKU_Master'!$B$2:$B$378,'00_SKU_Master'!$O:$O,0),"")</f>
        <v>#NAME?</v>
      </c>
      <c r="S251" s="112" t="e">
        <f ca="1">_xludf.IFNA(_xlfn.XLOOKUP($A253,'00_SKU_Master'!$B$2:$B$378,'00_SKU_Master'!$F$2:$F$378,0)*K253/_xlfn.XLOOKUP($A253,'00_SKU_Master'!$B$2:$B$378,'00_SKU_Master'!$O:$O,0),"")</f>
        <v>#NAME?</v>
      </c>
      <c r="T251" s="113" t="e">
        <f t="shared" si="6"/>
        <v>#VALUE!</v>
      </c>
      <c r="U251" s="114" t="str">
        <f>'05_Daily_Orders'!L251</f>
        <v>SHP</v>
      </c>
    </row>
    <row r="252" spans="1:21">
      <c r="A252" s="108">
        <f>'05_Daily_Orders'!B252</f>
        <v>200747</v>
      </c>
      <c r="B252" s="50">
        <v>0</v>
      </c>
      <c r="C252" s="50">
        <v>0</v>
      </c>
      <c r="D252" s="109"/>
      <c r="E252" s="109"/>
      <c r="F252">
        <v>0</v>
      </c>
      <c r="L252" s="110">
        <f t="shared" si="7"/>
        <v>0</v>
      </c>
      <c r="M252" s="111" t="str">
        <f>_xlfn.IFNA(_xlfn.XLOOKUP(A252,'00_SKU_Master'!$B$2:$B$378,'00_SKU_Master'!$C$2:$C$378,0),"")</f>
        <v>61086F</v>
      </c>
      <c r="N252" s="112" t="e">
        <f>_xlfn.IFNA(_xlfn.XLOOKUP(A252,'00_SKU_Master'!$B$2:$B$378,'00_SKU_Master'!$F$2:$F$378,0)*F252/_xlfn.XLOOKUP(A252,'00_SKU_Master'!$B$2:$B$378,'00_SKU_Master'!$O:$O,0),"")</f>
        <v>#VALUE!</v>
      </c>
      <c r="O252" s="112" t="e">
        <f ca="1">_xludf.IFNA(_xlfn.XLOOKUP($A254,'00_SKU_Master'!$B$2:$B$378,'00_SKU_Master'!$F$2:$F$378,0)*G254/_xlfn.XLOOKUP($A254,'00_SKU_Master'!$B$2:$B$378,'00_SKU_Master'!$O:$O,0),"")</f>
        <v>#NAME?</v>
      </c>
      <c r="P252" s="112" t="e">
        <f ca="1">_xludf.IFNA(_xlfn.XLOOKUP($A254,'00_SKU_Master'!$B$2:$B$378,'00_SKU_Master'!$F$2:$F$378,0)*H254/_xlfn.XLOOKUP($A254,'00_SKU_Master'!$B$2:$B$378,'00_SKU_Master'!$O:$O,0),"")</f>
        <v>#NAME?</v>
      </c>
      <c r="Q252" s="112" t="e">
        <f ca="1">_xludf.IFNA(_xlfn.XLOOKUP($A254,'00_SKU_Master'!$B$2:$B$378,'00_SKU_Master'!$F$2:$F$378,0)*I254/_xlfn.XLOOKUP($A254,'00_SKU_Master'!$B$2:$B$378,'00_SKU_Master'!$O:$O,0),"")</f>
        <v>#NAME?</v>
      </c>
      <c r="R252" s="112" t="e">
        <f ca="1">_xludf.IFNA(_xlfn.XLOOKUP($A254,'00_SKU_Master'!$B$2:$B$378,'00_SKU_Master'!$F$2:$F$378,0)*J254/_xlfn.XLOOKUP($A254,'00_SKU_Master'!$B$2:$B$378,'00_SKU_Master'!$O:$O,0),"")</f>
        <v>#NAME?</v>
      </c>
      <c r="S252" s="112" t="e">
        <f ca="1">_xludf.IFNA(_xlfn.XLOOKUP($A254,'00_SKU_Master'!$B$2:$B$378,'00_SKU_Master'!$F$2:$F$378,0)*K254/_xlfn.XLOOKUP($A254,'00_SKU_Master'!$B$2:$B$378,'00_SKU_Master'!$O:$O,0),"")</f>
        <v>#NAME?</v>
      </c>
      <c r="T252" s="113" t="e">
        <f t="shared" si="6"/>
        <v>#VALUE!</v>
      </c>
      <c r="U252" s="114" t="str">
        <f>'05_Daily_Orders'!L252</f>
        <v>SHP</v>
      </c>
    </row>
    <row r="253" spans="1:21">
      <c r="A253" s="108">
        <f>'05_Daily_Orders'!B253</f>
        <v>200748</v>
      </c>
      <c r="B253" s="50">
        <v>0</v>
      </c>
      <c r="C253" s="50">
        <v>0</v>
      </c>
      <c r="D253" s="109"/>
      <c r="E253" s="109"/>
      <c r="F253">
        <v>0</v>
      </c>
      <c r="L253" s="110">
        <f t="shared" si="7"/>
        <v>0</v>
      </c>
      <c r="M253" s="111">
        <f>_xlfn.IFNA(_xlfn.XLOOKUP(A253,'00_SKU_Master'!$B$2:$B$378,'00_SKU_Master'!$C$2:$C$378,0),"")</f>
        <v>61072</v>
      </c>
      <c r="N253" s="112" t="e">
        <f>_xlfn.IFNA(_xlfn.XLOOKUP(A253,'00_SKU_Master'!$B$2:$B$378,'00_SKU_Master'!$F$2:$F$378,0)*F253/_xlfn.XLOOKUP(A253,'00_SKU_Master'!$B$2:$B$378,'00_SKU_Master'!$O:$O,0),"")</f>
        <v>#VALUE!</v>
      </c>
      <c r="O253" s="112" t="e">
        <f ca="1">_xludf.IFNA(_xlfn.XLOOKUP($A255,'00_SKU_Master'!$B$2:$B$378,'00_SKU_Master'!$F$2:$F$378,0)*G255/_xlfn.XLOOKUP($A255,'00_SKU_Master'!$B$2:$B$378,'00_SKU_Master'!$O:$O,0),"")</f>
        <v>#NAME?</v>
      </c>
      <c r="P253" s="112" t="e">
        <f ca="1">_xludf.IFNA(_xlfn.XLOOKUP($A255,'00_SKU_Master'!$B$2:$B$378,'00_SKU_Master'!$F$2:$F$378,0)*H255/_xlfn.XLOOKUP($A255,'00_SKU_Master'!$B$2:$B$378,'00_SKU_Master'!$O:$O,0),"")</f>
        <v>#NAME?</v>
      </c>
      <c r="Q253" s="112" t="e">
        <f ca="1">_xludf.IFNA(_xlfn.XLOOKUP($A255,'00_SKU_Master'!$B$2:$B$378,'00_SKU_Master'!$F$2:$F$378,0)*I255/_xlfn.XLOOKUP($A255,'00_SKU_Master'!$B$2:$B$378,'00_SKU_Master'!$O:$O,0),"")</f>
        <v>#NAME?</v>
      </c>
      <c r="R253" s="112" t="e">
        <f ca="1">_xludf.IFNA(_xlfn.XLOOKUP($A255,'00_SKU_Master'!$B$2:$B$378,'00_SKU_Master'!$F$2:$F$378,0)*J255/_xlfn.XLOOKUP($A255,'00_SKU_Master'!$B$2:$B$378,'00_SKU_Master'!$O:$O,0),"")</f>
        <v>#NAME?</v>
      </c>
      <c r="S253" s="112" t="e">
        <f ca="1">_xludf.IFNA(_xlfn.XLOOKUP($A255,'00_SKU_Master'!$B$2:$B$378,'00_SKU_Master'!$F$2:$F$378,0)*K255/_xlfn.XLOOKUP($A255,'00_SKU_Master'!$B$2:$B$378,'00_SKU_Master'!$O:$O,0),"")</f>
        <v>#NAME?</v>
      </c>
      <c r="T253" s="113" t="e">
        <f t="shared" si="6"/>
        <v>#VALUE!</v>
      </c>
      <c r="U253" s="114" t="str">
        <f>'05_Daily_Orders'!L253</f>
        <v>SHP</v>
      </c>
    </row>
    <row r="254" spans="1:21">
      <c r="A254" s="108">
        <f>'05_Daily_Orders'!B254</f>
        <v>201851</v>
      </c>
      <c r="B254" s="50">
        <v>1</v>
      </c>
      <c r="C254" s="50">
        <v>0</v>
      </c>
      <c r="D254" s="109"/>
      <c r="E254" s="109"/>
      <c r="F254">
        <v>0</v>
      </c>
      <c r="L254" s="110">
        <f t="shared" si="7"/>
        <v>0</v>
      </c>
      <c r="M254" s="111">
        <f>_xlfn.IFNA(_xlfn.XLOOKUP(A254,'00_SKU_Master'!$B$2:$B$378,'00_SKU_Master'!$C$2:$C$378,0),"")</f>
        <v>61078</v>
      </c>
      <c r="N254" s="112" t="e">
        <f>_xlfn.IFNA(_xlfn.XLOOKUP(A254,'00_SKU_Master'!$B$2:$B$378,'00_SKU_Master'!$F$2:$F$378,0)*F254/_xlfn.XLOOKUP(A254,'00_SKU_Master'!$B$2:$B$378,'00_SKU_Master'!$O:$O,0),"")</f>
        <v>#VALUE!</v>
      </c>
      <c r="O254" s="112" t="e">
        <f ca="1">_xludf.IFNA(_xlfn.XLOOKUP($A256,'00_SKU_Master'!$B$2:$B$378,'00_SKU_Master'!$F$2:$F$378,0)*G256/_xlfn.XLOOKUP($A256,'00_SKU_Master'!$B$2:$B$378,'00_SKU_Master'!$O:$O,0),"")</f>
        <v>#NAME?</v>
      </c>
      <c r="P254" s="112" t="e">
        <f ca="1">_xludf.IFNA(_xlfn.XLOOKUP($A256,'00_SKU_Master'!$B$2:$B$378,'00_SKU_Master'!$F$2:$F$378,0)*H256/_xlfn.XLOOKUP($A256,'00_SKU_Master'!$B$2:$B$378,'00_SKU_Master'!$O:$O,0),"")</f>
        <v>#NAME?</v>
      </c>
      <c r="Q254" s="112" t="e">
        <f ca="1">_xludf.IFNA(_xlfn.XLOOKUP($A256,'00_SKU_Master'!$B$2:$B$378,'00_SKU_Master'!$F$2:$F$378,0)*I256/_xlfn.XLOOKUP($A256,'00_SKU_Master'!$B$2:$B$378,'00_SKU_Master'!$O:$O,0),"")</f>
        <v>#NAME?</v>
      </c>
      <c r="R254" s="112" t="e">
        <f ca="1">_xludf.IFNA(_xlfn.XLOOKUP($A256,'00_SKU_Master'!$B$2:$B$378,'00_SKU_Master'!$F$2:$F$378,0)*J256/_xlfn.XLOOKUP($A256,'00_SKU_Master'!$B$2:$B$378,'00_SKU_Master'!$O:$O,0),"")</f>
        <v>#NAME?</v>
      </c>
      <c r="S254" s="112" t="e">
        <f ca="1">_xludf.IFNA(_xlfn.XLOOKUP($A256,'00_SKU_Master'!$B$2:$B$378,'00_SKU_Master'!$F$2:$F$378,0)*K256/_xlfn.XLOOKUP($A256,'00_SKU_Master'!$B$2:$B$378,'00_SKU_Master'!$O:$O,0),"")</f>
        <v>#NAME?</v>
      </c>
      <c r="T254" s="113" t="e">
        <f t="shared" si="6"/>
        <v>#VALUE!</v>
      </c>
      <c r="U254" s="114" t="str">
        <f>'05_Daily_Orders'!L254</f>
        <v>COSTCO</v>
      </c>
    </row>
    <row r="255" spans="1:21">
      <c r="A255" s="108">
        <f>'05_Daily_Orders'!B255</f>
        <v>201853</v>
      </c>
      <c r="B255" s="50">
        <v>0</v>
      </c>
      <c r="C255" s="50">
        <v>805</v>
      </c>
      <c r="D255" s="109"/>
      <c r="E255" s="109"/>
      <c r="F255">
        <v>0</v>
      </c>
      <c r="L255" s="110">
        <f t="shared" si="7"/>
        <v>0</v>
      </c>
      <c r="M255" s="111" t="str">
        <f>_xlfn.IFNA(_xlfn.XLOOKUP(A255,'00_SKU_Master'!$B$2:$B$378,'00_SKU_Master'!$C$2:$C$378,0),"")</f>
        <v>61050C</v>
      </c>
      <c r="N255" s="112" t="e">
        <f>_xlfn.IFNA(_xlfn.XLOOKUP(A255,'00_SKU_Master'!$B$2:$B$378,'00_SKU_Master'!$F$2:$F$378,0)*F255/_xlfn.XLOOKUP(A255,'00_SKU_Master'!$B$2:$B$378,'00_SKU_Master'!$O:$O,0),"")</f>
        <v>#VALUE!</v>
      </c>
      <c r="O255" s="112" t="e">
        <f ca="1">_xludf.IFNA(_xlfn.XLOOKUP($A257,'00_SKU_Master'!$B$2:$B$378,'00_SKU_Master'!$F$2:$F$378,0)*G257/_xlfn.XLOOKUP($A257,'00_SKU_Master'!$B$2:$B$378,'00_SKU_Master'!$O:$O,0),"")</f>
        <v>#NAME?</v>
      </c>
      <c r="P255" s="112" t="e">
        <f ca="1">_xludf.IFNA(_xlfn.XLOOKUP($A257,'00_SKU_Master'!$B$2:$B$378,'00_SKU_Master'!$F$2:$F$378,0)*H257/_xlfn.XLOOKUP($A257,'00_SKU_Master'!$B$2:$B$378,'00_SKU_Master'!$O:$O,0),"")</f>
        <v>#NAME?</v>
      </c>
      <c r="Q255" s="112" t="e">
        <f ca="1">_xludf.IFNA(_xlfn.XLOOKUP($A257,'00_SKU_Master'!$B$2:$B$378,'00_SKU_Master'!$F$2:$F$378,0)*I257/_xlfn.XLOOKUP($A257,'00_SKU_Master'!$B$2:$B$378,'00_SKU_Master'!$O:$O,0),"")</f>
        <v>#NAME?</v>
      </c>
      <c r="R255" s="112" t="e">
        <f ca="1">_xludf.IFNA(_xlfn.XLOOKUP($A257,'00_SKU_Master'!$B$2:$B$378,'00_SKU_Master'!$F$2:$F$378,0)*J257/_xlfn.XLOOKUP($A257,'00_SKU_Master'!$B$2:$B$378,'00_SKU_Master'!$O:$O,0),"")</f>
        <v>#NAME?</v>
      </c>
      <c r="S255" s="112" t="e">
        <f ca="1">_xludf.IFNA(_xlfn.XLOOKUP($A257,'00_SKU_Master'!$B$2:$B$378,'00_SKU_Master'!$F$2:$F$378,0)*K257/_xlfn.XLOOKUP($A257,'00_SKU_Master'!$B$2:$B$378,'00_SKU_Master'!$O:$O,0),"")</f>
        <v>#NAME?</v>
      </c>
      <c r="T255" s="113" t="e">
        <f t="shared" si="6"/>
        <v>#VALUE!</v>
      </c>
      <c r="U255" s="114" t="str">
        <f>'05_Daily_Orders'!L255</f>
        <v>COSTCO</v>
      </c>
    </row>
    <row r="256" spans="1:21">
      <c r="A256" s="108">
        <f>'05_Daily_Orders'!B256</f>
        <v>201854</v>
      </c>
      <c r="B256" s="50">
        <v>0</v>
      </c>
      <c r="C256" s="50">
        <v>0</v>
      </c>
      <c r="D256" s="109"/>
      <c r="E256" s="109"/>
      <c r="F256">
        <v>0</v>
      </c>
      <c r="L256" s="110">
        <f t="shared" si="7"/>
        <v>0</v>
      </c>
      <c r="M256" s="111" t="str">
        <f>_xlfn.IFNA(_xlfn.XLOOKUP(A256,'00_SKU_Master'!$B$2:$B$378,'00_SKU_Master'!$C$2:$C$378,0),"")</f>
        <v>61086C</v>
      </c>
      <c r="N256" s="112" t="e">
        <f>_xlfn.IFNA(_xlfn.XLOOKUP(A256,'00_SKU_Master'!$B$2:$B$378,'00_SKU_Master'!$F$2:$F$378,0)*F256/_xlfn.XLOOKUP(A256,'00_SKU_Master'!$B$2:$B$378,'00_SKU_Master'!$O:$O,0),"")</f>
        <v>#VALUE!</v>
      </c>
      <c r="O256" s="112" t="e">
        <f ca="1">_xludf.IFNA(_xlfn.XLOOKUP($A258,'00_SKU_Master'!$B$2:$B$378,'00_SKU_Master'!$F$2:$F$378,0)*G258/_xlfn.XLOOKUP($A258,'00_SKU_Master'!$B$2:$B$378,'00_SKU_Master'!$O:$O,0),"")</f>
        <v>#NAME?</v>
      </c>
      <c r="P256" s="112" t="e">
        <f ca="1">_xludf.IFNA(_xlfn.XLOOKUP($A258,'00_SKU_Master'!$B$2:$B$378,'00_SKU_Master'!$F$2:$F$378,0)*H258/_xlfn.XLOOKUP($A258,'00_SKU_Master'!$B$2:$B$378,'00_SKU_Master'!$O:$O,0),"")</f>
        <v>#NAME?</v>
      </c>
      <c r="Q256" s="112" t="e">
        <f ca="1">_xludf.IFNA(_xlfn.XLOOKUP($A258,'00_SKU_Master'!$B$2:$B$378,'00_SKU_Master'!$F$2:$F$378,0)*I258/_xlfn.XLOOKUP($A258,'00_SKU_Master'!$B$2:$B$378,'00_SKU_Master'!$O:$O,0),"")</f>
        <v>#NAME?</v>
      </c>
      <c r="R256" s="112" t="e">
        <f ca="1">_xludf.IFNA(_xlfn.XLOOKUP($A258,'00_SKU_Master'!$B$2:$B$378,'00_SKU_Master'!$F$2:$F$378,0)*J258/_xlfn.XLOOKUP($A258,'00_SKU_Master'!$B$2:$B$378,'00_SKU_Master'!$O:$O,0),"")</f>
        <v>#NAME?</v>
      </c>
      <c r="S256" s="112" t="e">
        <f ca="1">_xludf.IFNA(_xlfn.XLOOKUP($A258,'00_SKU_Master'!$B$2:$B$378,'00_SKU_Master'!$F$2:$F$378,0)*K258/_xlfn.XLOOKUP($A258,'00_SKU_Master'!$B$2:$B$378,'00_SKU_Master'!$O:$O,0),"")</f>
        <v>#NAME?</v>
      </c>
      <c r="T256" s="113" t="e">
        <f t="shared" si="6"/>
        <v>#VALUE!</v>
      </c>
      <c r="U256" s="114" t="str">
        <f>'05_Daily_Orders'!L256</f>
        <v>COSTCO</v>
      </c>
    </row>
    <row r="257" spans="1:21">
      <c r="A257" s="108">
        <f>'05_Daily_Orders'!B257</f>
        <v>201855</v>
      </c>
      <c r="B257" s="50">
        <v>1</v>
      </c>
      <c r="C257" s="50">
        <v>0</v>
      </c>
      <c r="D257" s="109"/>
      <c r="E257" s="109"/>
      <c r="F257">
        <v>0</v>
      </c>
      <c r="L257" s="110">
        <f t="shared" si="7"/>
        <v>0</v>
      </c>
      <c r="M257" s="111">
        <f>_xlfn.IFNA(_xlfn.XLOOKUP(A257,'00_SKU_Master'!$B$2:$B$378,'00_SKU_Master'!$C$2:$C$378,0),"")</f>
        <v>61072</v>
      </c>
      <c r="N257" s="112" t="e">
        <f>_xlfn.IFNA(_xlfn.XLOOKUP(A257,'00_SKU_Master'!$B$2:$B$378,'00_SKU_Master'!$F$2:$F$378,0)*F257/_xlfn.XLOOKUP(A257,'00_SKU_Master'!$B$2:$B$378,'00_SKU_Master'!$O:$O,0),"")</f>
        <v>#VALUE!</v>
      </c>
      <c r="O257" s="112" t="e">
        <f ca="1">_xludf.IFNA(_xlfn.XLOOKUP($A259,'00_SKU_Master'!$B$2:$B$378,'00_SKU_Master'!$F$2:$F$378,0)*G259/_xlfn.XLOOKUP($A259,'00_SKU_Master'!$B$2:$B$378,'00_SKU_Master'!$O:$O,0),"")</f>
        <v>#NAME?</v>
      </c>
      <c r="P257" s="112" t="e">
        <f ca="1">_xludf.IFNA(_xlfn.XLOOKUP($A259,'00_SKU_Master'!$B$2:$B$378,'00_SKU_Master'!$F$2:$F$378,0)*H259/_xlfn.XLOOKUP($A259,'00_SKU_Master'!$B$2:$B$378,'00_SKU_Master'!$O:$O,0),"")</f>
        <v>#NAME?</v>
      </c>
      <c r="Q257" s="112" t="e">
        <f ca="1">_xludf.IFNA(_xlfn.XLOOKUP($A259,'00_SKU_Master'!$B$2:$B$378,'00_SKU_Master'!$F$2:$F$378,0)*I259/_xlfn.XLOOKUP($A259,'00_SKU_Master'!$B$2:$B$378,'00_SKU_Master'!$O:$O,0),"")</f>
        <v>#NAME?</v>
      </c>
      <c r="R257" s="112" t="e">
        <f ca="1">_xludf.IFNA(_xlfn.XLOOKUP($A259,'00_SKU_Master'!$B$2:$B$378,'00_SKU_Master'!$F$2:$F$378,0)*J259/_xlfn.XLOOKUP($A259,'00_SKU_Master'!$B$2:$B$378,'00_SKU_Master'!$O:$O,0),"")</f>
        <v>#NAME?</v>
      </c>
      <c r="S257" s="112" t="e">
        <f ca="1">_xludf.IFNA(_xlfn.XLOOKUP($A259,'00_SKU_Master'!$B$2:$B$378,'00_SKU_Master'!$F$2:$F$378,0)*K259/_xlfn.XLOOKUP($A259,'00_SKU_Master'!$B$2:$B$378,'00_SKU_Master'!$O:$O,0),"")</f>
        <v>#NAME?</v>
      </c>
      <c r="T257" s="113" t="e">
        <f t="shared" si="6"/>
        <v>#VALUE!</v>
      </c>
      <c r="U257" s="114" t="str">
        <f>'05_Daily_Orders'!L257</f>
        <v>COSTCO</v>
      </c>
    </row>
    <row r="258" spans="1:21">
      <c r="A258" s="108">
        <f>'05_Daily_Orders'!B258</f>
        <v>201856</v>
      </c>
      <c r="B258" s="50">
        <v>0</v>
      </c>
      <c r="C258" s="50">
        <v>95</v>
      </c>
      <c r="D258" s="109"/>
      <c r="E258" s="109"/>
      <c r="F258">
        <v>0</v>
      </c>
      <c r="L258" s="110">
        <f t="shared" si="7"/>
        <v>0</v>
      </c>
      <c r="M258" s="111">
        <f>_xlfn.IFNA(_xlfn.XLOOKUP(A258,'00_SKU_Master'!$B$2:$B$378,'00_SKU_Master'!$C$2:$C$378,0),"")</f>
        <v>61014</v>
      </c>
      <c r="N258" s="112" t="e">
        <f>_xlfn.IFNA(_xlfn.XLOOKUP(A258,'00_SKU_Master'!$B$2:$B$378,'00_SKU_Master'!$F$2:$F$378,0)*F258/_xlfn.XLOOKUP(A258,'00_SKU_Master'!$B$2:$B$378,'00_SKU_Master'!$O:$O,0),"")</f>
        <v>#VALUE!</v>
      </c>
      <c r="O258" s="112" t="e">
        <f ca="1">_xludf.IFNA(_xlfn.XLOOKUP($A260,'00_SKU_Master'!$B$2:$B$378,'00_SKU_Master'!$F$2:$F$378,0)*G260/_xlfn.XLOOKUP($A260,'00_SKU_Master'!$B$2:$B$378,'00_SKU_Master'!$O:$O,0),"")</f>
        <v>#NAME?</v>
      </c>
      <c r="P258" s="112" t="e">
        <f ca="1">_xludf.IFNA(_xlfn.XLOOKUP($A260,'00_SKU_Master'!$B$2:$B$378,'00_SKU_Master'!$F$2:$F$378,0)*H260/_xlfn.XLOOKUP($A260,'00_SKU_Master'!$B$2:$B$378,'00_SKU_Master'!$O:$O,0),"")</f>
        <v>#NAME?</v>
      </c>
      <c r="Q258" s="112" t="e">
        <f ca="1">_xludf.IFNA(_xlfn.XLOOKUP($A260,'00_SKU_Master'!$B$2:$B$378,'00_SKU_Master'!$F$2:$F$378,0)*I260/_xlfn.XLOOKUP($A260,'00_SKU_Master'!$B$2:$B$378,'00_SKU_Master'!$O:$O,0),"")</f>
        <v>#NAME?</v>
      </c>
      <c r="R258" s="112" t="e">
        <f ca="1">_xludf.IFNA(_xlfn.XLOOKUP($A260,'00_SKU_Master'!$B$2:$B$378,'00_SKU_Master'!$F$2:$F$378,0)*J260/_xlfn.XLOOKUP($A260,'00_SKU_Master'!$B$2:$B$378,'00_SKU_Master'!$O:$O,0),"")</f>
        <v>#NAME?</v>
      </c>
      <c r="S258" s="112" t="e">
        <f ca="1">_xludf.IFNA(_xlfn.XLOOKUP($A260,'00_SKU_Master'!$B$2:$B$378,'00_SKU_Master'!$F$2:$F$378,0)*K260/_xlfn.XLOOKUP($A260,'00_SKU_Master'!$B$2:$B$378,'00_SKU_Master'!$O:$O,0),"")</f>
        <v>#NAME?</v>
      </c>
      <c r="T258" s="113" t="e">
        <f t="shared" ref="T258:T265" si="8">SUM(N260:S260)</f>
        <v>#VALUE!</v>
      </c>
      <c r="U258" s="114" t="str">
        <f>'05_Daily_Orders'!L258</f>
        <v>COSTCO</v>
      </c>
    </row>
    <row r="259" spans="1:21">
      <c r="A259" s="108">
        <f>'05_Daily_Orders'!B259</f>
        <v>207101</v>
      </c>
      <c r="B259" s="50">
        <v>0</v>
      </c>
      <c r="C259" s="50">
        <v>0</v>
      </c>
      <c r="D259" s="109"/>
      <c r="E259" s="109"/>
      <c r="F259">
        <v>0</v>
      </c>
      <c r="L259" s="110">
        <f t="shared" ref="L259:L265" si="9">IF($E$1="n",0,(SUM(F259:K259)-B259))</f>
        <v>0</v>
      </c>
      <c r="M259" s="111">
        <f>_xlfn.IFNA(_xlfn.XLOOKUP(A259,'00_SKU_Master'!$B$2:$B$378,'00_SKU_Master'!$C$2:$C$378,0),"")</f>
        <v>61077</v>
      </c>
      <c r="N259" s="112" t="e">
        <f>_xlfn.IFNA(_xlfn.XLOOKUP(A259,'00_SKU_Master'!$B$2:$B$378,'00_SKU_Master'!$F$2:$F$378,0)*F259/_xlfn.XLOOKUP(A259,'00_SKU_Master'!$B$2:$B$378,'00_SKU_Master'!$O:$O,0),"")</f>
        <v>#VALUE!</v>
      </c>
      <c r="O259" s="112" t="e">
        <f ca="1">_xludf.IFNA(_xlfn.XLOOKUP($A261,'00_SKU_Master'!$B$2:$B$378,'00_SKU_Master'!$F$2:$F$378,0)*G261/_xlfn.XLOOKUP($A261,'00_SKU_Master'!$B$2:$B$378,'00_SKU_Master'!$O:$O,0),"")</f>
        <v>#NAME?</v>
      </c>
      <c r="P259" s="112" t="e">
        <f ca="1">_xludf.IFNA(_xlfn.XLOOKUP($A261,'00_SKU_Master'!$B$2:$B$378,'00_SKU_Master'!$F$2:$F$378,0)*H261/_xlfn.XLOOKUP($A261,'00_SKU_Master'!$B$2:$B$378,'00_SKU_Master'!$O:$O,0),"")</f>
        <v>#NAME?</v>
      </c>
      <c r="Q259" s="112" t="e">
        <f ca="1">_xludf.IFNA(_xlfn.XLOOKUP($A261,'00_SKU_Master'!$B$2:$B$378,'00_SKU_Master'!$F$2:$F$378,0)*I261/_xlfn.XLOOKUP($A261,'00_SKU_Master'!$B$2:$B$378,'00_SKU_Master'!$O:$O,0),"")</f>
        <v>#NAME?</v>
      </c>
      <c r="R259" s="112" t="e">
        <f ca="1">_xludf.IFNA(_xlfn.XLOOKUP($A261,'00_SKU_Master'!$B$2:$B$378,'00_SKU_Master'!$F$2:$F$378,0)*J261/_xlfn.XLOOKUP($A261,'00_SKU_Master'!$B$2:$B$378,'00_SKU_Master'!$O:$O,0),"")</f>
        <v>#NAME?</v>
      </c>
      <c r="S259" s="112" t="e">
        <f ca="1">_xludf.IFNA(_xlfn.XLOOKUP($A261,'00_SKU_Master'!$B$2:$B$378,'00_SKU_Master'!$F$2:$F$378,0)*K261/_xlfn.XLOOKUP($A261,'00_SKU_Master'!$B$2:$B$378,'00_SKU_Master'!$O:$O,0),"")</f>
        <v>#NAME?</v>
      </c>
      <c r="T259" s="113" t="e">
        <f t="shared" si="8"/>
        <v>#VALUE!</v>
      </c>
      <c r="U259" s="114" t="str">
        <f>'05_Daily_Orders'!L259</f>
        <v>LCL</v>
      </c>
    </row>
    <row r="260" spans="1:21">
      <c r="A260" s="108">
        <f>'05_Daily_Orders'!B260</f>
        <v>207102</v>
      </c>
      <c r="B260" s="50">
        <v>0</v>
      </c>
      <c r="C260" s="50">
        <v>0</v>
      </c>
      <c r="D260" s="109"/>
      <c r="E260" s="109"/>
      <c r="F260">
        <v>0</v>
      </c>
      <c r="L260" s="110">
        <f t="shared" si="9"/>
        <v>0</v>
      </c>
      <c r="M260" s="111">
        <f>_xlfn.IFNA(_xlfn.XLOOKUP(A260,'00_SKU_Master'!$B$2:$B$378,'00_SKU_Master'!$C$2:$C$378,0),"")</f>
        <v>61072</v>
      </c>
      <c r="N260" s="112" t="e">
        <f>_xlfn.IFNA(_xlfn.XLOOKUP(A260,'00_SKU_Master'!$B$2:$B$378,'00_SKU_Master'!$F$2:$F$378,0)*F260/_xlfn.XLOOKUP(A260,'00_SKU_Master'!$B$2:$B$378,'00_SKU_Master'!$O:$O,0),"")</f>
        <v>#VALUE!</v>
      </c>
      <c r="O260" s="112" t="e">
        <f ca="1">_xludf.IFNA(_xlfn.XLOOKUP($A262,'00_SKU_Master'!$B$2:$B$378,'00_SKU_Master'!$F$2:$F$378,0)*G262/_xlfn.XLOOKUP($A262,'00_SKU_Master'!$B$2:$B$378,'00_SKU_Master'!$O:$O,0),"")</f>
        <v>#NAME?</v>
      </c>
      <c r="P260" s="112" t="e">
        <f ca="1">_xludf.IFNA(_xlfn.XLOOKUP($A262,'00_SKU_Master'!$B$2:$B$378,'00_SKU_Master'!$F$2:$F$378,0)*H262/_xlfn.XLOOKUP($A262,'00_SKU_Master'!$B$2:$B$378,'00_SKU_Master'!$O:$O,0),"")</f>
        <v>#NAME?</v>
      </c>
      <c r="Q260" s="112" t="e">
        <f ca="1">_xludf.IFNA(_xlfn.XLOOKUP($A262,'00_SKU_Master'!$B$2:$B$378,'00_SKU_Master'!$F$2:$F$378,0)*I262/_xlfn.XLOOKUP($A262,'00_SKU_Master'!$B$2:$B$378,'00_SKU_Master'!$O:$O,0),"")</f>
        <v>#NAME?</v>
      </c>
      <c r="R260" s="112" t="e">
        <f ca="1">_xludf.IFNA(_xlfn.XLOOKUP($A262,'00_SKU_Master'!$B$2:$B$378,'00_SKU_Master'!$F$2:$F$378,0)*J262/_xlfn.XLOOKUP($A262,'00_SKU_Master'!$B$2:$B$378,'00_SKU_Master'!$O:$O,0),"")</f>
        <v>#NAME?</v>
      </c>
      <c r="S260" s="112" t="e">
        <f ca="1">_xludf.IFNA(_xlfn.XLOOKUP($A262,'00_SKU_Master'!$B$2:$B$378,'00_SKU_Master'!$F$2:$F$378,0)*K262/_xlfn.XLOOKUP($A262,'00_SKU_Master'!$B$2:$B$378,'00_SKU_Master'!$O:$O,0),"")</f>
        <v>#NAME?</v>
      </c>
      <c r="T260" s="113" t="e">
        <f t="shared" si="8"/>
        <v>#VALUE!</v>
      </c>
      <c r="U260" s="114" t="str">
        <f>'05_Daily_Orders'!L260</f>
        <v>LCL</v>
      </c>
    </row>
    <row r="261" spans="1:21">
      <c r="A261" s="108">
        <f>'05_Daily_Orders'!B261</f>
        <v>207103</v>
      </c>
      <c r="B261" s="50">
        <v>0</v>
      </c>
      <c r="C261" s="50">
        <v>0</v>
      </c>
      <c r="D261" s="109"/>
      <c r="E261" s="109"/>
      <c r="F261">
        <v>0</v>
      </c>
      <c r="L261" s="110">
        <f t="shared" si="9"/>
        <v>0</v>
      </c>
      <c r="M261" s="111">
        <f>_xlfn.IFNA(_xlfn.XLOOKUP(A261,'00_SKU_Master'!$B$2:$B$378,'00_SKU_Master'!$C$2:$C$378,0),"")</f>
        <v>203136</v>
      </c>
      <c r="N261" s="112" t="e">
        <f>_xlfn.IFNA(_xlfn.XLOOKUP(A261,'00_SKU_Master'!$B$2:$B$378,'00_SKU_Master'!$F$2:$F$378,0)*F261/_xlfn.XLOOKUP(A261,'00_SKU_Master'!$B$2:$B$378,'00_SKU_Master'!$O:$O,0),"")</f>
        <v>#VALUE!</v>
      </c>
      <c r="O261" s="112" t="e">
        <f ca="1">_xludf.IFNA(_xlfn.XLOOKUP($A263,'00_SKU_Master'!$B$2:$B$378,'00_SKU_Master'!$F$2:$F$378,0)*G263/_xlfn.XLOOKUP($A263,'00_SKU_Master'!$B$2:$B$378,'00_SKU_Master'!$O:$O,0),"")</f>
        <v>#NAME?</v>
      </c>
      <c r="P261" s="112" t="e">
        <f ca="1">_xludf.IFNA(_xlfn.XLOOKUP($A263,'00_SKU_Master'!$B$2:$B$378,'00_SKU_Master'!$F$2:$F$378,0)*H263/_xlfn.XLOOKUP($A263,'00_SKU_Master'!$B$2:$B$378,'00_SKU_Master'!$O:$O,0),"")</f>
        <v>#NAME?</v>
      </c>
      <c r="Q261" s="112" t="e">
        <f ca="1">_xludf.IFNA(_xlfn.XLOOKUP($A263,'00_SKU_Master'!$B$2:$B$378,'00_SKU_Master'!$F$2:$F$378,0)*I263/_xlfn.XLOOKUP($A263,'00_SKU_Master'!$B$2:$B$378,'00_SKU_Master'!$O:$O,0),"")</f>
        <v>#NAME?</v>
      </c>
      <c r="R261" s="112" t="e">
        <f ca="1">_xludf.IFNA(_xlfn.XLOOKUP($A263,'00_SKU_Master'!$B$2:$B$378,'00_SKU_Master'!$F$2:$F$378,0)*J263/_xlfn.XLOOKUP($A263,'00_SKU_Master'!$B$2:$B$378,'00_SKU_Master'!$O:$O,0),"")</f>
        <v>#NAME?</v>
      </c>
      <c r="S261" s="112" t="e">
        <f ca="1">_xludf.IFNA(_xlfn.XLOOKUP($A263,'00_SKU_Master'!$B$2:$B$378,'00_SKU_Master'!$F$2:$F$378,0)*K263/_xlfn.XLOOKUP($A263,'00_SKU_Master'!$B$2:$B$378,'00_SKU_Master'!$O:$O,0),"")</f>
        <v>#NAME?</v>
      </c>
      <c r="T261" s="113" t="e">
        <f t="shared" si="8"/>
        <v>#VALUE!</v>
      </c>
      <c r="U261" s="114" t="str">
        <f>'05_Daily_Orders'!L261</f>
        <v>LCL</v>
      </c>
    </row>
    <row r="262" spans="1:21">
      <c r="A262" s="108">
        <f>'05_Daily_Orders'!B262</f>
        <v>207104</v>
      </c>
      <c r="B262" s="50">
        <v>0</v>
      </c>
      <c r="C262" s="50">
        <v>0</v>
      </c>
      <c r="D262" s="109"/>
      <c r="E262" s="109"/>
      <c r="F262">
        <v>0</v>
      </c>
      <c r="L262" s="110">
        <f t="shared" si="9"/>
        <v>0</v>
      </c>
      <c r="M262" s="111">
        <f>_xlfn.IFNA(_xlfn.XLOOKUP(A262,'00_SKU_Master'!$B$2:$B$378,'00_SKU_Master'!$C$2:$C$378,0),"")</f>
        <v>61050</v>
      </c>
      <c r="N262" s="112" t="e">
        <f>_xlfn.IFNA(_xlfn.XLOOKUP(A262,'00_SKU_Master'!$B$2:$B$378,'00_SKU_Master'!$F$2:$F$378,0)*F262/_xlfn.XLOOKUP(A262,'00_SKU_Master'!$B$2:$B$378,'00_SKU_Master'!$O:$O,0),"")</f>
        <v>#VALUE!</v>
      </c>
      <c r="O262" s="112" t="e">
        <f ca="1">_xludf.IFNA(_xlfn.XLOOKUP($A264,'00_SKU_Master'!$B$2:$B$378,'00_SKU_Master'!$F$2:$F$378,0)*G264/_xlfn.XLOOKUP($A264,'00_SKU_Master'!$B$2:$B$378,'00_SKU_Master'!$O:$O,0),"")</f>
        <v>#NAME?</v>
      </c>
      <c r="P262" s="112" t="e">
        <f ca="1">_xludf.IFNA(_xlfn.XLOOKUP($A264,'00_SKU_Master'!$B$2:$B$378,'00_SKU_Master'!$F$2:$F$378,0)*H264/_xlfn.XLOOKUP($A264,'00_SKU_Master'!$B$2:$B$378,'00_SKU_Master'!$O:$O,0),"")</f>
        <v>#NAME?</v>
      </c>
      <c r="Q262" s="112" t="e">
        <f ca="1">_xludf.IFNA(_xlfn.XLOOKUP($A264,'00_SKU_Master'!$B$2:$B$378,'00_SKU_Master'!$F$2:$F$378,0)*I264/_xlfn.XLOOKUP($A264,'00_SKU_Master'!$B$2:$B$378,'00_SKU_Master'!$O:$O,0),"")</f>
        <v>#NAME?</v>
      </c>
      <c r="R262" s="112" t="e">
        <f ca="1">_xludf.IFNA(_xlfn.XLOOKUP($A264,'00_SKU_Master'!$B$2:$B$378,'00_SKU_Master'!$F$2:$F$378,0)*J264/_xlfn.XLOOKUP($A264,'00_SKU_Master'!$B$2:$B$378,'00_SKU_Master'!$O:$O,0),"")</f>
        <v>#NAME?</v>
      </c>
      <c r="S262" s="112" t="e">
        <f ca="1">_xludf.IFNA(_xlfn.XLOOKUP($A264,'00_SKU_Master'!$B$2:$B$378,'00_SKU_Master'!$F$2:$F$378,0)*K264/_xlfn.XLOOKUP($A264,'00_SKU_Master'!$B$2:$B$378,'00_SKU_Master'!$O:$O,0),"")</f>
        <v>#NAME?</v>
      </c>
      <c r="T262" s="113" t="e">
        <f t="shared" si="8"/>
        <v>#VALUE!</v>
      </c>
      <c r="U262" s="114" t="str">
        <f>'05_Daily_Orders'!L262</f>
        <v>LCL</v>
      </c>
    </row>
    <row r="263" spans="1:21">
      <c r="A263" s="108">
        <f>'05_Daily_Orders'!B263</f>
        <v>207127</v>
      </c>
      <c r="B263" s="50">
        <v>0</v>
      </c>
      <c r="C263" s="50">
        <v>0</v>
      </c>
      <c r="D263" s="109"/>
      <c r="E263" s="109"/>
      <c r="F263">
        <v>0</v>
      </c>
      <c r="L263" s="110">
        <f t="shared" si="9"/>
        <v>0</v>
      </c>
      <c r="M263" s="111">
        <f>_xlfn.IFNA(_xlfn.XLOOKUP(A263,'00_SKU_Master'!$B$2:$B$378,'00_SKU_Master'!$C$2:$C$378,0),"")</f>
        <v>61014</v>
      </c>
      <c r="N263" s="112" t="e">
        <f>_xlfn.IFNA(_xlfn.XLOOKUP(A263,'00_SKU_Master'!$B$2:$B$378,'00_SKU_Master'!$F$2:$F$378,0)*F263/_xlfn.XLOOKUP(A263,'00_SKU_Master'!$B$2:$B$378,'00_SKU_Master'!$O:$O,0),"")</f>
        <v>#VALUE!</v>
      </c>
      <c r="O263" s="112" t="e">
        <f ca="1">_xludf.IFNA(_xlfn.XLOOKUP($A265,'00_SKU_Master'!$B$2:$B$378,'00_SKU_Master'!$F$2:$F$378,0)*G265/_xlfn.XLOOKUP($A265,'00_SKU_Master'!$B$2:$B$378,'00_SKU_Master'!$O:$O,0),"")</f>
        <v>#NAME?</v>
      </c>
      <c r="P263" s="112" t="e">
        <f ca="1">_xludf.IFNA(_xlfn.XLOOKUP($A265,'00_SKU_Master'!$B$2:$B$378,'00_SKU_Master'!$F$2:$F$378,0)*H265/_xlfn.XLOOKUP($A265,'00_SKU_Master'!$B$2:$B$378,'00_SKU_Master'!$O:$O,0),"")</f>
        <v>#NAME?</v>
      </c>
      <c r="Q263" s="112" t="e">
        <f ca="1">_xludf.IFNA(_xlfn.XLOOKUP($A265,'00_SKU_Master'!$B$2:$B$378,'00_SKU_Master'!$F$2:$F$378,0)*I265/_xlfn.XLOOKUP($A265,'00_SKU_Master'!$B$2:$B$378,'00_SKU_Master'!$O:$O,0),"")</f>
        <v>#NAME?</v>
      </c>
      <c r="R263" s="112" t="e">
        <f ca="1">_xludf.IFNA(_xlfn.XLOOKUP($A265,'00_SKU_Master'!$B$2:$B$378,'00_SKU_Master'!$F$2:$F$378,0)*J265/_xlfn.XLOOKUP($A265,'00_SKU_Master'!$B$2:$B$378,'00_SKU_Master'!$O:$O,0),"")</f>
        <v>#NAME?</v>
      </c>
      <c r="S263" s="112" t="e">
        <f ca="1">_xludf.IFNA(_xlfn.XLOOKUP($A265,'00_SKU_Master'!$B$2:$B$378,'00_SKU_Master'!$F$2:$F$378,0)*K265/_xlfn.XLOOKUP($A265,'00_SKU_Master'!$B$2:$B$378,'00_SKU_Master'!$O:$O,0),"")</f>
        <v>#NAME?</v>
      </c>
      <c r="T263" s="113" t="e">
        <f t="shared" si="8"/>
        <v>#VALUE!</v>
      </c>
      <c r="U263" s="114" t="str">
        <f>'05_Daily_Orders'!L263</f>
        <v>LCL</v>
      </c>
    </row>
    <row r="264" spans="1:21">
      <c r="A264" s="108">
        <f>'05_Daily_Orders'!B264</f>
        <v>207128</v>
      </c>
      <c r="B264" s="50">
        <v>0</v>
      </c>
      <c r="C264" s="50">
        <v>0</v>
      </c>
      <c r="D264" s="109"/>
      <c r="E264" s="109"/>
      <c r="F264">
        <v>0</v>
      </c>
      <c r="L264" s="110">
        <f t="shared" si="9"/>
        <v>0</v>
      </c>
      <c r="M264" s="111">
        <f>_xlfn.IFNA(_xlfn.XLOOKUP(A264,'00_SKU_Master'!$B$2:$B$378,'00_SKU_Master'!$C$2:$C$378,0),"")</f>
        <v>203021</v>
      </c>
      <c r="N264" s="112" t="e">
        <f>_xlfn.IFNA(_xlfn.XLOOKUP(A264,'00_SKU_Master'!$B$2:$B$378,'00_SKU_Master'!$F$2:$F$378,0)*F264/_xlfn.XLOOKUP(A264,'00_SKU_Master'!$B$2:$B$378,'00_SKU_Master'!$O:$O,0),"")</f>
        <v>#VALUE!</v>
      </c>
      <c r="O264" s="112" t="e">
        <f ca="1">_xludf.IFNA(_xlfn.XLOOKUP($A266,'00_SKU_Master'!$B$2:$B$378,'00_SKU_Master'!$F$2:$F$378,0)*G266/_xlfn.XLOOKUP($A266,'00_SKU_Master'!$B$2:$B$378,'00_SKU_Master'!$O:$O,0),"")</f>
        <v>#NAME?</v>
      </c>
      <c r="P264" s="112" t="e">
        <f ca="1">_xludf.IFNA(_xlfn.XLOOKUP($A266,'00_SKU_Master'!$B$2:$B$378,'00_SKU_Master'!$F$2:$F$378,0)*H266/_xlfn.XLOOKUP($A266,'00_SKU_Master'!$B$2:$B$378,'00_SKU_Master'!$O:$O,0),"")</f>
        <v>#NAME?</v>
      </c>
      <c r="Q264" s="112" t="e">
        <f ca="1">_xludf.IFNA(_xlfn.XLOOKUP($A266,'00_SKU_Master'!$B$2:$B$378,'00_SKU_Master'!$F$2:$F$378,0)*I266/_xlfn.XLOOKUP($A266,'00_SKU_Master'!$B$2:$B$378,'00_SKU_Master'!$O:$O,0),"")</f>
        <v>#NAME?</v>
      </c>
      <c r="R264" s="112" t="e">
        <f ca="1">_xludf.IFNA(_xlfn.XLOOKUP($A266,'00_SKU_Master'!$B$2:$B$378,'00_SKU_Master'!$F$2:$F$378,0)*J266/_xlfn.XLOOKUP($A266,'00_SKU_Master'!$B$2:$B$378,'00_SKU_Master'!$O:$O,0),"")</f>
        <v>#NAME?</v>
      </c>
      <c r="S264" s="112" t="e">
        <f ca="1">_xludf.IFNA(_xlfn.XLOOKUP($A266,'00_SKU_Master'!$B$2:$B$378,'00_SKU_Master'!$F$2:$F$378,0)*K266/_xlfn.XLOOKUP($A266,'00_SKU_Master'!$B$2:$B$378,'00_SKU_Master'!$O:$O,0),"")</f>
        <v>#NAME?</v>
      </c>
      <c r="T264" s="113">
        <f t="shared" si="8"/>
        <v>0</v>
      </c>
      <c r="U264" s="114" t="str">
        <f>'05_Daily_Orders'!L264</f>
        <v>LCL</v>
      </c>
    </row>
    <row r="265" spans="1:21">
      <c r="A265" s="108">
        <f>'05_Daily_Orders'!B265</f>
        <v>0</v>
      </c>
      <c r="B265" s="50">
        <v>0</v>
      </c>
      <c r="C265" s="50">
        <v>0</v>
      </c>
      <c r="D265" s="109"/>
      <c r="E265" s="109"/>
      <c r="F265">
        <v>0</v>
      </c>
      <c r="L265" s="110">
        <f t="shared" si="9"/>
        <v>0</v>
      </c>
      <c r="M265" s="111">
        <f>_xlfn.IFNA(_xlfn.XLOOKUP(A265,'00_SKU_Master'!$B$2:$B$378,'00_SKU_Master'!$C$2:$C$378,0),"")</f>
        <v>0</v>
      </c>
      <c r="N265" s="112" t="e">
        <f>_xlfn.IFNA(_xlfn.XLOOKUP(A265,'00_SKU_Master'!$B$2:$B$378,'00_SKU_Master'!$F$2:$F$378,0)*F265/_xlfn.XLOOKUP(A265,'00_SKU_Master'!$B$2:$B$378,'00_SKU_Master'!$O:$O,0),"")</f>
        <v>#VALUE!</v>
      </c>
      <c r="O265" s="112" t="e">
        <f ca="1">_xludf.IFNA(_xlfn.XLOOKUP($A267,'00_SKU_Master'!$B$2:$B$378,'00_SKU_Master'!$F$2:$F$378,0)*G267/_xlfn.XLOOKUP($A267,'00_SKU_Master'!$B$2:$B$378,'00_SKU_Master'!$O:$O,0),"")</f>
        <v>#NAME?</v>
      </c>
      <c r="P265" s="112" t="e">
        <f ca="1">_xludf.IFNA(_xlfn.XLOOKUP($A267,'00_SKU_Master'!$B$2:$B$378,'00_SKU_Master'!$F$2:$F$378,0)*H267/_xlfn.XLOOKUP($A267,'00_SKU_Master'!$B$2:$B$378,'00_SKU_Master'!$O:$O,0),"")</f>
        <v>#NAME?</v>
      </c>
      <c r="Q265" s="112" t="e">
        <f ca="1">_xludf.IFNA(_xlfn.XLOOKUP($A267,'00_SKU_Master'!$B$2:$B$378,'00_SKU_Master'!$F$2:$F$378,0)*I267/_xlfn.XLOOKUP($A267,'00_SKU_Master'!$B$2:$B$378,'00_SKU_Master'!$O:$O,0),"")</f>
        <v>#NAME?</v>
      </c>
      <c r="R265" s="112" t="e">
        <f ca="1">_xludf.IFNA(_xlfn.XLOOKUP($A267,'00_SKU_Master'!$B$2:$B$378,'00_SKU_Master'!$F$2:$F$378,0)*J267/_xlfn.XLOOKUP($A267,'00_SKU_Master'!$B$2:$B$378,'00_SKU_Master'!$O:$O,0),"")</f>
        <v>#NAME?</v>
      </c>
      <c r="S265" s="112" t="e">
        <f ca="1">_xludf.IFNA(_xlfn.XLOOKUP($A267,'00_SKU_Master'!$B$2:$B$378,'00_SKU_Master'!$F$2:$F$378,0)*K267/_xlfn.XLOOKUP($A267,'00_SKU_Master'!$B$2:$B$378,'00_SKU_Master'!$O:$O,0),"")</f>
        <v>#NAME?</v>
      </c>
      <c r="T265" s="113">
        <f t="shared" si="8"/>
        <v>0</v>
      </c>
      <c r="U265" s="114">
        <f>'05_Daily_Orders'!L265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H67"/>
  <sheetViews>
    <sheetView workbookViewId="0"/>
  </sheetViews>
  <sheetFormatPr defaultRowHeight="14.4"/>
  <cols>
    <col min="1" max="1" width="11.5546875" customWidth="1"/>
    <col min="2" max="2" width="29.77734375" customWidth="1"/>
    <col min="3" max="3" width="11.109375" customWidth="1"/>
    <col min="6" max="6" width="2.21875" customWidth="1"/>
  </cols>
  <sheetData>
    <row r="1" spans="1:5">
      <c r="B1" s="58"/>
      <c r="C1" s="58"/>
      <c r="D1" s="58"/>
      <c r="E1" s="58"/>
    </row>
    <row r="2" spans="1:5" ht="23.55" customHeight="1">
      <c r="B2" s="40" t="s">
        <v>460</v>
      </c>
      <c r="C2" s="14">
        <v>265</v>
      </c>
      <c r="D2" s="115"/>
      <c r="E2" s="115"/>
    </row>
    <row r="3" spans="1:5">
      <c r="B3" s="15" t="s">
        <v>461</v>
      </c>
      <c r="C3" s="15" t="s">
        <v>895</v>
      </c>
      <c r="D3" s="15"/>
      <c r="E3" s="15"/>
    </row>
    <row r="4" spans="1:5">
      <c r="B4" s="15"/>
      <c r="C4" s="15"/>
      <c r="D4" s="15"/>
      <c r="E4" s="15"/>
    </row>
    <row r="5" spans="1:5">
      <c r="B5" s="15" t="s">
        <v>462</v>
      </c>
      <c r="C5" s="15" t="s">
        <v>463</v>
      </c>
      <c r="D5" s="15"/>
      <c r="E5" s="15"/>
    </row>
    <row r="6" spans="1:5">
      <c r="B6" s="15"/>
      <c r="C6" s="15" t="s">
        <v>464</v>
      </c>
      <c r="D6" s="15" t="s">
        <v>465</v>
      </c>
      <c r="E6" s="15" t="s">
        <v>457</v>
      </c>
    </row>
    <row r="7" spans="1:5">
      <c r="A7" s="116"/>
      <c r="B7" s="15" t="s">
        <v>466</v>
      </c>
      <c r="C7" s="15">
        <v>160</v>
      </c>
      <c r="D7" s="15">
        <v>115</v>
      </c>
      <c r="E7" s="15">
        <v>275</v>
      </c>
    </row>
    <row r="8" spans="1:5">
      <c r="A8" s="116"/>
      <c r="B8" s="15" t="s">
        <v>467</v>
      </c>
      <c r="C8" s="15">
        <v>107</v>
      </c>
      <c r="D8" s="15">
        <v>45</v>
      </c>
      <c r="E8" s="15">
        <v>152</v>
      </c>
    </row>
    <row r="9" spans="1:5">
      <c r="A9" s="116"/>
      <c r="B9" s="15" t="s">
        <v>468</v>
      </c>
      <c r="C9" s="15">
        <v>55</v>
      </c>
      <c r="D9" s="15">
        <v>15</v>
      </c>
      <c r="E9" s="15">
        <v>70</v>
      </c>
    </row>
    <row r="10" spans="1:5">
      <c r="A10" s="116"/>
      <c r="B10" s="15" t="s">
        <v>469</v>
      </c>
      <c r="C10" s="15">
        <v>26</v>
      </c>
      <c r="D10" s="15">
        <v>0</v>
      </c>
      <c r="E10" s="15">
        <v>26</v>
      </c>
    </row>
    <row r="11" spans="1:5">
      <c r="A11" s="116"/>
      <c r="B11" s="15" t="s">
        <v>432</v>
      </c>
      <c r="C11" s="15">
        <v>30</v>
      </c>
      <c r="D11" s="15">
        <v>10</v>
      </c>
      <c r="E11" s="15">
        <v>40</v>
      </c>
    </row>
    <row r="12" spans="1:5">
      <c r="A12" s="117"/>
      <c r="B12" s="15" t="s">
        <v>442</v>
      </c>
      <c r="C12" s="15">
        <v>70</v>
      </c>
      <c r="D12" s="15">
        <v>50</v>
      </c>
      <c r="E12" s="15">
        <v>120</v>
      </c>
    </row>
    <row r="13" spans="1:5">
      <c r="A13" s="116"/>
      <c r="B13" s="15" t="s">
        <v>470</v>
      </c>
      <c r="C13" s="15">
        <v>195</v>
      </c>
      <c r="D13" s="15">
        <v>60</v>
      </c>
      <c r="E13" s="15">
        <v>255</v>
      </c>
    </row>
    <row r="14" spans="1:5">
      <c r="A14" s="116"/>
      <c r="B14" s="15" t="s">
        <v>471</v>
      </c>
      <c r="C14" s="15">
        <v>85</v>
      </c>
      <c r="D14" s="15">
        <v>45</v>
      </c>
      <c r="E14" s="15">
        <v>130</v>
      </c>
    </row>
    <row r="15" spans="1:5">
      <c r="A15" s="116"/>
      <c r="B15" s="15" t="s">
        <v>472</v>
      </c>
      <c r="C15" s="15">
        <v>95</v>
      </c>
      <c r="D15" s="15">
        <v>40</v>
      </c>
      <c r="E15" s="15">
        <v>135</v>
      </c>
    </row>
    <row r="16" spans="1:5">
      <c r="A16" s="116"/>
      <c r="B16" s="15"/>
      <c r="C16" s="15"/>
      <c r="D16" s="15"/>
      <c r="E16" s="15"/>
    </row>
    <row r="17" spans="1:8">
      <c r="A17" s="118"/>
      <c r="B17" s="15" t="s">
        <v>473</v>
      </c>
      <c r="C17" s="15" t="s">
        <v>474</v>
      </c>
      <c r="D17" s="15"/>
      <c r="E17" s="15"/>
      <c r="G17" s="119"/>
      <c r="H17" s="119"/>
    </row>
    <row r="18" spans="1:8">
      <c r="A18" s="118"/>
      <c r="B18" s="15"/>
      <c r="C18" s="15" t="s">
        <v>464</v>
      </c>
      <c r="D18" s="15" t="s">
        <v>465</v>
      </c>
      <c r="E18" s="15" t="s">
        <v>457</v>
      </c>
      <c r="G18" s="119"/>
      <c r="H18" s="119"/>
    </row>
    <row r="19" spans="1:8">
      <c r="A19" s="118">
        <v>61062</v>
      </c>
      <c r="B19" s="15" t="s">
        <v>475</v>
      </c>
      <c r="C19" s="15">
        <v>3</v>
      </c>
      <c r="D19" s="15">
        <v>1</v>
      </c>
      <c r="E19" s="15">
        <v>4</v>
      </c>
      <c r="G19" s="120">
        <f>IFERROR(SUMIF('13_Progress_Track'!$A$2:$A$108,A19,'13_Progress_Track'!$E$2:$E$108),"0")</f>
        <v>0</v>
      </c>
      <c r="H19" s="119">
        <f>SUM(C19:D19)</f>
        <v>4</v>
      </c>
    </row>
    <row r="20" spans="1:8">
      <c r="A20" s="118">
        <v>61073</v>
      </c>
      <c r="B20" s="15" t="s">
        <v>146</v>
      </c>
      <c r="C20" s="15">
        <v>4</v>
      </c>
      <c r="D20" s="15">
        <v>2</v>
      </c>
      <c r="E20" s="15">
        <v>6</v>
      </c>
      <c r="G20" s="120">
        <f>IFERROR(SUMIF('13_Progress_Track'!$A$2:$A$108,A20,'13_Progress_Track'!$E$2:$E$108),"0")</f>
        <v>0</v>
      </c>
      <c r="H20" s="119">
        <f>SUM(C20:D20)</f>
        <v>6</v>
      </c>
    </row>
    <row r="21" spans="1:8">
      <c r="A21" s="118">
        <v>61018</v>
      </c>
      <c r="B21" s="15" t="s">
        <v>469</v>
      </c>
      <c r="C21" s="15">
        <v>6</v>
      </c>
      <c r="D21" s="15">
        <v>1</v>
      </c>
      <c r="E21" s="15">
        <v>7</v>
      </c>
      <c r="G21" s="120">
        <f>IFERROR(SUMIF('13_Progress_Track'!$A$2:$A$108,A21,'13_Progress_Track'!$E$2:$E$108),"0")</f>
        <v>0</v>
      </c>
      <c r="H21" s="119">
        <f>SUM(C21:D21)</f>
        <v>7</v>
      </c>
    </row>
    <row r="22" spans="1:8">
      <c r="A22" s="118" t="s">
        <v>99</v>
      </c>
      <c r="B22" s="15" t="s">
        <v>476</v>
      </c>
      <c r="C22" s="15"/>
      <c r="D22" s="15"/>
      <c r="E22" s="15">
        <v>0</v>
      </c>
      <c r="G22" s="120">
        <f>IFERROR(SUMIF('13_Progress_Track'!$A$2:$A$108,A22,'13_Progress_Track'!$E$2:$E$108),"0")</f>
        <v>0</v>
      </c>
      <c r="H22" s="119">
        <f>SUM(C22:D22)</f>
        <v>0</v>
      </c>
    </row>
    <row r="23" spans="1:8">
      <c r="A23" s="118"/>
      <c r="B23" s="15"/>
      <c r="C23" s="15"/>
      <c r="D23" s="15"/>
      <c r="E23" s="15"/>
      <c r="G23" s="120">
        <f>IFERROR(SUMIF('13_Progress_Track'!$A$2:$A$108,A23,'13_Progress_Track'!$E$2:$E$108),"0")</f>
        <v>0</v>
      </c>
      <c r="H23" s="119"/>
    </row>
    <row r="24" spans="1:8">
      <c r="A24" s="118"/>
      <c r="B24" s="15"/>
      <c r="C24" s="15"/>
      <c r="D24" s="15"/>
      <c r="E24" s="15"/>
      <c r="G24" s="120">
        <f>IFERROR(SUMIF('13_Progress_Track'!$A$2:$A$108,A24,'13_Progress_Track'!$E$2:$E$108),"0")</f>
        <v>0</v>
      </c>
      <c r="H24" s="119"/>
    </row>
    <row r="25" spans="1:8">
      <c r="A25" s="118" t="str">
        <f t="array" aca="1" ref="A25" ca="1">IFERROR(VALUE(LEFT(B25, MATCH(FALSE, ISNUMBER(MID(B25, ROW(INDIRECT("1:"&amp;LEN(B25)+1)), 1) *1), 0) -1)),"")</f>
        <v/>
      </c>
      <c r="B25" s="15" t="s">
        <v>477</v>
      </c>
      <c r="C25" s="15"/>
      <c r="D25" s="15"/>
      <c r="E25" s="15"/>
      <c r="G25" s="120">
        <f ca="1">IFERROR(SUMIF('13_Progress_Track'!$A$2:$A$108,A25,'13_Progress_Track'!$E$2:$E$108),"0")</f>
        <v>0</v>
      </c>
      <c r="H25" s="119"/>
    </row>
    <row r="26" spans="1:8">
      <c r="A26" s="118">
        <f t="array" aca="1" ref="A26" ca="1">IFERROR(VALUE(LEFT(B26, MATCH(FALSE, ISNUMBER(MID(B26, ROW(INDIRECT("1:"&amp;LEN(B26)+1)), 1) *1), 0) -1)),"")</f>
        <v>203035</v>
      </c>
      <c r="B26" s="15" t="s">
        <v>478</v>
      </c>
      <c r="C26" s="15">
        <v>174</v>
      </c>
      <c r="D26" s="15" t="s">
        <v>896</v>
      </c>
      <c r="E26" s="15"/>
      <c r="G26" s="120">
        <f ca="1">IFERROR(SUMIF('13_Progress_Track'!$A$2:$A$108,A26,'13_Progress_Track'!$E$2:$E$108),"0")</f>
        <v>0</v>
      </c>
      <c r="H26" s="119">
        <f t="shared" ref="H26:H67" ca="1" si="0">IFERROR(C26-G26,"")</f>
        <v>174</v>
      </c>
    </row>
    <row r="27" spans="1:8">
      <c r="A27" s="118">
        <f t="array" aca="1" ref="A27" ca="1">IFERROR(VALUE(LEFT(B27, MATCH(FALSE, ISNUMBER(MID(B27, ROW(INDIRECT("1:"&amp;LEN(B27)+1)), 1) *1), 0) -1)),"")</f>
        <v>203172</v>
      </c>
      <c r="B27" s="15" t="s">
        <v>479</v>
      </c>
      <c r="C27" s="15"/>
      <c r="D27" s="15" t="s">
        <v>897</v>
      </c>
      <c r="E27" s="15"/>
      <c r="G27" s="120">
        <f ca="1">IFERROR(SUMIF('13_Progress_Track'!$A$2:$A$108,A27,'13_Progress_Track'!$E$2:$E$108),"0")</f>
        <v>0</v>
      </c>
      <c r="H27" s="119">
        <f t="shared" ca="1" si="0"/>
        <v>0</v>
      </c>
    </row>
    <row r="28" spans="1:8">
      <c r="A28" s="118">
        <f t="array" aca="1" ref="A28" ca="1">IFERROR(VALUE(LEFT(B28, MATCH(FALSE, ISNUMBER(MID(B28, ROW(INDIRECT("1:"&amp;LEN(B28)+1)), 1) *1), 0) -1)),"")</f>
        <v>868</v>
      </c>
      <c r="B28" s="15" t="s">
        <v>480</v>
      </c>
      <c r="C28" s="15"/>
      <c r="D28" s="15" t="s">
        <v>898</v>
      </c>
      <c r="E28" s="15"/>
      <c r="G28" s="120">
        <f ca="1">IFERROR(SUMIF('13_Progress_Track'!$A$2:$A$108,A28,'13_Progress_Track'!$E$2:$E$108),"0")</f>
        <v>0</v>
      </c>
      <c r="H28" s="119">
        <f t="shared" ca="1" si="0"/>
        <v>0</v>
      </c>
    </row>
    <row r="29" spans="1:8">
      <c r="A29" s="118">
        <f t="array" aca="1" ref="A29" ca="1">IFERROR(VALUE(LEFT(B29, MATCH(FALSE, ISNUMBER(MID(B29, ROW(INDIRECT("1:"&amp;LEN(B29)+1)), 1) *1), 0) -1)),"")</f>
        <v>200868</v>
      </c>
      <c r="B29" s="15" t="s">
        <v>481</v>
      </c>
      <c r="C29" s="15">
        <v>120</v>
      </c>
      <c r="D29" s="15" t="s">
        <v>899</v>
      </c>
      <c r="E29" s="15"/>
      <c r="G29" s="120">
        <f ca="1">IFERROR(SUMIF('13_Progress_Track'!$A$2:$A$108,A29,'13_Progress_Track'!$E$2:$E$108),"0")</f>
        <v>4</v>
      </c>
      <c r="H29" s="119">
        <f t="shared" ca="1" si="0"/>
        <v>116</v>
      </c>
    </row>
    <row r="30" spans="1:8">
      <c r="A30" s="118">
        <f t="array" aca="1" ref="A30" ca="1">IFERROR(VALUE(LEFT(B30, MATCH(FALSE, ISNUMBER(MID(B30, ROW(INDIRECT("1:"&amp;LEN(B30)+1)), 1) *1), 0) -1)),"")</f>
        <v>40021</v>
      </c>
      <c r="B30" s="15" t="s">
        <v>482</v>
      </c>
      <c r="C30" s="15"/>
      <c r="D30" s="15"/>
      <c r="E30" s="15"/>
      <c r="G30" s="120">
        <f ca="1">IFERROR(SUMIF('13_Progress_Track'!$A$2:$A$108,A30,'13_Progress_Track'!$E$2:$E$108),"0")</f>
        <v>0</v>
      </c>
      <c r="H30" s="119">
        <f t="shared" ca="1" si="0"/>
        <v>0</v>
      </c>
    </row>
    <row r="31" spans="1:8">
      <c r="A31" s="118">
        <f t="array" aca="1" ref="A31" ca="1">IFERROR(VALUE(LEFT(B31, MATCH(FALSE, ISNUMBER(MID(B31, ROW(INDIRECT("1:"&amp;LEN(B31)+1)), 1) *1), 0) -1)),"")</f>
        <v>904</v>
      </c>
      <c r="B31" s="15" t="s">
        <v>483</v>
      </c>
      <c r="C31" s="15"/>
      <c r="D31" s="15"/>
      <c r="E31" s="15"/>
      <c r="G31" s="120">
        <f ca="1">IFERROR(SUMIF('13_Progress_Track'!$A$2:$A$108,A31,'13_Progress_Track'!$E$2:$E$108),"0")</f>
        <v>0</v>
      </c>
      <c r="H31" s="119">
        <f t="shared" ca="1" si="0"/>
        <v>0</v>
      </c>
    </row>
    <row r="32" spans="1:8">
      <c r="A32" s="118">
        <f t="array" aca="1" ref="A32" ca="1">IFERROR(VALUE(LEFT(B32, MATCH(FALSE, ISNUMBER(MID(B32, ROW(INDIRECT("1:"&amp;LEN(B32)+1)), 1) *1), 0) -1)),"")</f>
        <v>200904</v>
      </c>
      <c r="B32" s="15" t="s">
        <v>484</v>
      </c>
      <c r="C32" s="15"/>
      <c r="D32" s="15"/>
      <c r="E32" s="15"/>
      <c r="G32" s="120">
        <f ca="1">IFERROR(SUMIF('13_Progress_Track'!$A$2:$A$108,A32,'13_Progress_Track'!$E$2:$E$108),"0")</f>
        <v>0</v>
      </c>
      <c r="H32" s="119">
        <f t="shared" ca="1" si="0"/>
        <v>0</v>
      </c>
    </row>
    <row r="33" spans="1:8">
      <c r="A33" s="118">
        <f t="array" aca="1" ref="A33" ca="1">IFERROR(VALUE(LEFT(B33, MATCH(FALSE, ISNUMBER(MID(B33, ROW(INDIRECT("1:"&amp;LEN(B33)+1)), 1) *1), 0) -1)),"")</f>
        <v>200905</v>
      </c>
      <c r="B33" s="15" t="s">
        <v>485</v>
      </c>
      <c r="C33" s="15"/>
      <c r="D33" s="15"/>
      <c r="E33" s="15"/>
      <c r="G33" s="120">
        <f ca="1">IFERROR(SUMIF('13_Progress_Track'!$A$2:$A$108,A33,'13_Progress_Track'!$E$2:$E$108),"0")</f>
        <v>0</v>
      </c>
      <c r="H33" s="119">
        <f t="shared" ca="1" si="0"/>
        <v>0</v>
      </c>
    </row>
    <row r="34" spans="1:8">
      <c r="A34" s="118">
        <f t="array" aca="1" ref="A34" ca="1">IFERROR(VALUE(LEFT(B34, MATCH(FALSE, ISNUMBER(MID(B34, ROW(INDIRECT("1:"&amp;LEN(B34)+1)), 1) *1), 0) -1)),"")</f>
        <v>895</v>
      </c>
      <c r="B34" s="15" t="s">
        <v>486</v>
      </c>
      <c r="C34" s="15"/>
      <c r="D34" s="15"/>
      <c r="E34" s="15"/>
      <c r="G34" s="120">
        <f ca="1">IFERROR(SUMIF('13_Progress_Track'!$A$2:$A$108,A34,'13_Progress_Track'!$E$2:$E$108),"0")</f>
        <v>0</v>
      </c>
      <c r="H34" s="119">
        <f t="shared" ca="1" si="0"/>
        <v>0</v>
      </c>
    </row>
    <row r="35" spans="1:8">
      <c r="A35" s="118">
        <f t="array" aca="1" ref="A35" ca="1">IFERROR(VALUE(LEFT(B35, MATCH(FALSE, ISNUMBER(MID(B35, ROW(INDIRECT("1:"&amp;LEN(B35)+1)), 1) *1), 0) -1)),"")</f>
        <v>200095</v>
      </c>
      <c r="B35" s="15" t="s">
        <v>487</v>
      </c>
      <c r="C35" s="15">
        <v>250</v>
      </c>
      <c r="D35" s="15"/>
      <c r="E35" s="15"/>
      <c r="G35" s="120">
        <f ca="1">IFERROR(SUMIF('13_Progress_Track'!$A$2:$A$108,A35,'13_Progress_Track'!$E$2:$E$108),"0")</f>
        <v>80</v>
      </c>
      <c r="H35" s="119">
        <f t="shared" ca="1" si="0"/>
        <v>170</v>
      </c>
    </row>
    <row r="36" spans="1:8">
      <c r="A36" s="118">
        <f t="array" aca="1" ref="A36" ca="1">IFERROR(VALUE(LEFT(B36, MATCH(FALSE, ISNUMBER(MID(B36, ROW(INDIRECT("1:"&amp;LEN(B36)+1)), 1) *1), 0) -1)),"")</f>
        <v>160</v>
      </c>
      <c r="B36" s="15" t="s">
        <v>488</v>
      </c>
      <c r="C36" s="15"/>
      <c r="D36" s="15"/>
      <c r="E36" s="15"/>
      <c r="G36" s="120">
        <f ca="1">IFERROR(SUMIF('13_Progress_Track'!$A$2:$A$108,A36,'13_Progress_Track'!$E$2:$E$108),"0")</f>
        <v>0</v>
      </c>
      <c r="H36" s="119">
        <f t="shared" ca="1" si="0"/>
        <v>0</v>
      </c>
    </row>
    <row r="37" spans="1:8">
      <c r="A37" s="118">
        <f t="array" aca="1" ref="A37" ca="1">IFERROR(VALUE(LEFT(B37, MATCH(FALSE, ISNUMBER(MID(B37, ROW(INDIRECT("1:"&amp;LEN(B37)+1)), 1) *1), 0) -1)),"")</f>
        <v>203271</v>
      </c>
      <c r="B37" s="15" t="s">
        <v>489</v>
      </c>
      <c r="C37" s="15"/>
      <c r="D37" s="15" t="s">
        <v>900</v>
      </c>
      <c r="E37" s="15"/>
      <c r="G37" s="120">
        <f ca="1">IFERROR(SUMIF('13_Progress_Track'!$A$2:$A$108,A37,'13_Progress_Track'!$E$2:$E$108),"0")</f>
        <v>0</v>
      </c>
      <c r="H37" s="119">
        <f t="shared" ca="1" si="0"/>
        <v>0</v>
      </c>
    </row>
    <row r="38" spans="1:8">
      <c r="A38" s="118">
        <f t="array" aca="1" ref="A38" ca="1">IFERROR(VALUE(LEFT(B38, MATCH(FALSE, ISNUMBER(MID(B38, ROW(INDIRECT("1:"&amp;LEN(B38)+1)), 1) *1), 0) -1)),"")</f>
        <v>159</v>
      </c>
      <c r="B38" s="15" t="s">
        <v>490</v>
      </c>
      <c r="C38" s="15">
        <v>480</v>
      </c>
      <c r="D38" s="15"/>
      <c r="E38" s="15"/>
      <c r="G38" s="120">
        <f ca="1">IFERROR(SUMIF('13_Progress_Track'!$A$2:$A$108,A38,'13_Progress_Track'!$E$2:$E$108),"0")</f>
        <v>0</v>
      </c>
      <c r="H38" s="119">
        <f t="shared" ca="1" si="0"/>
        <v>480</v>
      </c>
    </row>
    <row r="39" spans="1:8">
      <c r="A39" s="118">
        <f t="array" aca="1" ref="A39" ca="1">IFERROR(VALUE(LEFT(B39, MATCH(FALSE, ISNUMBER(MID(B39, ROW(INDIRECT("1:"&amp;LEN(B39)+1)), 1) *1), 0) -1)),"")</f>
        <v>200159</v>
      </c>
      <c r="B39" s="15" t="s">
        <v>491</v>
      </c>
      <c r="C39" s="15"/>
      <c r="D39" s="15"/>
      <c r="E39" s="15"/>
      <c r="G39" s="120">
        <f ca="1">IFERROR(SUMIF('13_Progress_Track'!$A$2:$A$108,A39,'13_Progress_Track'!$E$2:$E$108),"0")</f>
        <v>0</v>
      </c>
      <c r="H39" s="119">
        <f t="shared" ca="1" si="0"/>
        <v>0</v>
      </c>
    </row>
    <row r="40" spans="1:8">
      <c r="A40" s="118">
        <f t="array" aca="1" ref="A40" ca="1">IFERROR(VALUE(LEFT(B40, MATCH(FALSE, ISNUMBER(MID(B40, ROW(INDIRECT("1:"&amp;LEN(B40)+1)), 1) *1), 0) -1)),"")</f>
        <v>200903</v>
      </c>
      <c r="B40" s="15" t="s">
        <v>492</v>
      </c>
      <c r="C40" s="15">
        <v>510</v>
      </c>
      <c r="D40" s="15"/>
      <c r="E40" s="15"/>
      <c r="G40" s="120">
        <f ca="1">IFERROR(SUMIF('13_Progress_Track'!$A$2:$A$108,A40,'13_Progress_Track'!$E$2:$E$108),"0")</f>
        <v>61</v>
      </c>
      <c r="H40" s="119">
        <f t="shared" ca="1" si="0"/>
        <v>449</v>
      </c>
    </row>
    <row r="41" spans="1:8">
      <c r="A41" s="118">
        <f t="array" aca="1" ref="A41" ca="1">IFERROR(VALUE(LEFT(B41, MATCH(FALSE, ISNUMBER(MID(B41, ROW(INDIRECT("1:"&amp;LEN(B41)+1)), 1) *1), 0) -1)),"")</f>
        <v>165</v>
      </c>
      <c r="B41" s="15" t="s">
        <v>493</v>
      </c>
      <c r="C41" s="15"/>
      <c r="D41" s="15"/>
      <c r="E41" s="15"/>
      <c r="G41" s="120">
        <f ca="1">IFERROR(SUMIF('13_Progress_Track'!$A$2:$A$108,A41,'13_Progress_Track'!$E$2:$E$108),"0")</f>
        <v>0</v>
      </c>
      <c r="H41" s="119">
        <f t="shared" ca="1" si="0"/>
        <v>0</v>
      </c>
    </row>
    <row r="42" spans="1:8">
      <c r="A42" s="118">
        <f t="array" aca="1" ref="A42" ca="1">IFERROR(VALUE(LEFT(B42, MATCH(FALSE, ISNUMBER(MID(B42, ROW(INDIRECT("1:"&amp;LEN(B42)+1)), 1) *1), 0) -1)),"")</f>
        <v>1894</v>
      </c>
      <c r="B42" s="15" t="s">
        <v>494</v>
      </c>
      <c r="C42" s="15"/>
      <c r="D42" s="15"/>
      <c r="E42" s="15"/>
      <c r="G42" s="120">
        <f ca="1">IFERROR(SUMIF('13_Progress_Track'!$A$2:$A$108,A42,'13_Progress_Track'!$E$2:$E$108),"0")</f>
        <v>0</v>
      </c>
      <c r="H42" s="119">
        <f t="shared" ca="1" si="0"/>
        <v>0</v>
      </c>
    </row>
    <row r="43" spans="1:8">
      <c r="A43" s="118">
        <f t="array" aca="1" ref="A43" ca="1">IFERROR(VALUE(LEFT(B43, MATCH(FALSE, ISNUMBER(MID(B43, ROW(INDIRECT("1:"&amp;LEN(B43)+1)), 1) *1), 0) -1)),"")</f>
        <v>201894</v>
      </c>
      <c r="B43" s="15" t="s">
        <v>495</v>
      </c>
      <c r="C43" s="15">
        <v>390</v>
      </c>
      <c r="D43" s="15"/>
      <c r="E43" s="15"/>
      <c r="G43" s="120">
        <f ca="1">IFERROR(SUMIF('13_Progress_Track'!$A$2:$A$108,A43,'13_Progress_Track'!$E$2:$E$108),"0")</f>
        <v>40</v>
      </c>
      <c r="H43" s="119">
        <f t="shared" ca="1" si="0"/>
        <v>350</v>
      </c>
    </row>
    <row r="44" spans="1:8">
      <c r="A44" s="118">
        <f t="array" aca="1" ref="A44" ca="1">IFERROR(VALUE(LEFT(B44, MATCH(FALSE, ISNUMBER(MID(B44, ROW(INDIRECT("1:"&amp;LEN(B44)+1)), 1) *1), 0) -1)),"")</f>
        <v>201895</v>
      </c>
      <c r="B44" s="15" t="s">
        <v>496</v>
      </c>
      <c r="C44" s="15"/>
      <c r="D44" s="15"/>
      <c r="E44" s="15"/>
      <c r="G44" s="120">
        <f ca="1">IFERROR(SUMIF('13_Progress_Track'!$A$2:$A$108,A44,'13_Progress_Track'!$E$2:$E$108),"0")</f>
        <v>0</v>
      </c>
      <c r="H44" s="119">
        <f t="shared" ca="1" si="0"/>
        <v>0</v>
      </c>
    </row>
    <row r="45" spans="1:8">
      <c r="A45" s="118">
        <f t="array" aca="1" ref="A45" ca="1">IFERROR(VALUE(LEFT(B45, MATCH(FALSE, ISNUMBER(MID(B45, ROW(INDIRECT("1:"&amp;LEN(B45)+1)), 1) *1), 0) -1)),"")</f>
        <v>834</v>
      </c>
      <c r="B45" s="15" t="s">
        <v>497</v>
      </c>
      <c r="C45" s="15"/>
      <c r="D45" s="15"/>
      <c r="E45" s="15"/>
      <c r="G45" s="120">
        <f ca="1">IFERROR(SUMIF('13_Progress_Track'!$A$2:$A$108,A45,'13_Progress_Track'!$E$2:$E$108),"0")</f>
        <v>0</v>
      </c>
      <c r="H45" s="119">
        <f t="shared" ca="1" si="0"/>
        <v>0</v>
      </c>
    </row>
    <row r="46" spans="1:8">
      <c r="A46" s="118">
        <f t="array" aca="1" ref="A46" ca="1">IFERROR(VALUE(LEFT(B46, MATCH(FALSE, ISNUMBER(MID(B46, ROW(INDIRECT("1:"&amp;LEN(B46)+1)), 1) *1), 0) -1)),"")</f>
        <v>200902</v>
      </c>
      <c r="B46" s="15" t="s">
        <v>498</v>
      </c>
      <c r="C46" s="15"/>
      <c r="D46" s="15"/>
      <c r="E46" s="15"/>
      <c r="G46" s="120">
        <f ca="1">IFERROR(SUMIF('13_Progress_Track'!$A$2:$A$108,A46,'13_Progress_Track'!$E$2:$E$108),"0")</f>
        <v>0</v>
      </c>
      <c r="H46" s="119">
        <f t="shared" ca="1" si="0"/>
        <v>0</v>
      </c>
    </row>
    <row r="47" spans="1:8">
      <c r="A47" s="118">
        <f t="array" aca="1" ref="A47" ca="1">IFERROR(VALUE(LEFT(B47, MATCH(FALSE, ISNUMBER(MID(B47, ROW(INDIRECT("1:"&amp;LEN(B47)+1)), 1) *1), 0) -1)),"")</f>
        <v>161</v>
      </c>
      <c r="B47" s="15" t="s">
        <v>499</v>
      </c>
      <c r="C47" s="15"/>
      <c r="D47" s="15"/>
      <c r="E47" s="15"/>
      <c r="G47" s="120">
        <f ca="1">IFERROR(SUMIF('13_Progress_Track'!$A$2:$A$108,A47,'13_Progress_Track'!$E$2:$E$108),"0")</f>
        <v>0</v>
      </c>
      <c r="H47" s="119">
        <f t="shared" ca="1" si="0"/>
        <v>0</v>
      </c>
    </row>
    <row r="48" spans="1:8">
      <c r="A48" s="118">
        <f t="array" aca="1" ref="A48" ca="1">IFERROR(VALUE(LEFT(B48, MATCH(FALSE, ISNUMBER(MID(B48, ROW(INDIRECT("1:"&amp;LEN(B48)+1)), 1) *1), 0) -1)),"")</f>
        <v>200064</v>
      </c>
      <c r="B48" s="15" t="s">
        <v>500</v>
      </c>
      <c r="C48" s="15">
        <v>65</v>
      </c>
      <c r="D48" s="15" t="s">
        <v>901</v>
      </c>
      <c r="E48" s="15"/>
      <c r="G48" s="120">
        <f ca="1">IFERROR(SUMIF('13_Progress_Track'!$A$2:$A$108,A48,'13_Progress_Track'!$E$2:$E$108),"0")</f>
        <v>0</v>
      </c>
      <c r="H48" s="119">
        <f t="shared" ca="1" si="0"/>
        <v>65</v>
      </c>
    </row>
    <row r="49" spans="1:8">
      <c r="A49" s="118">
        <f t="array" aca="1" ref="A49" ca="1">IFERROR(VALUE(LEFT(B49, MATCH(FALSE, ISNUMBER(MID(B49, ROW(INDIRECT("1:"&amp;LEN(B49)+1)), 1) *1), 0) -1)),"")</f>
        <v>64</v>
      </c>
      <c r="B49" s="15" t="s">
        <v>501</v>
      </c>
      <c r="C49" s="15">
        <v>40</v>
      </c>
      <c r="D49" s="15" t="s">
        <v>902</v>
      </c>
      <c r="E49" s="15"/>
      <c r="G49" s="120">
        <f ca="1">IFERROR(SUMIF('13_Progress_Track'!$A$2:$A$108,A49,'13_Progress_Track'!$E$2:$E$108),"0")</f>
        <v>0</v>
      </c>
      <c r="H49" s="119">
        <f t="shared" ca="1" si="0"/>
        <v>40</v>
      </c>
    </row>
    <row r="50" spans="1:8">
      <c r="A50" s="118" t="str">
        <f t="array" aca="1" ref="A50" ca="1">IFERROR(VALUE(LEFT(B50, MATCH(FALSE, ISNUMBER(MID(B50, ROW(INDIRECT("1:"&amp;LEN(B50)+1)), 1) *1), 0) -1)),"")</f>
        <v/>
      </c>
      <c r="B50" s="15"/>
      <c r="C50" s="15"/>
      <c r="D50" s="15"/>
      <c r="E50" s="15"/>
      <c r="G50" s="120">
        <f ca="1">IFERROR(SUMIF('13_Progress_Track'!$A$2:$A$108,A50,'13_Progress_Track'!$E$2:$E$108),"0")</f>
        <v>0</v>
      </c>
      <c r="H50" s="119">
        <f t="shared" ca="1" si="0"/>
        <v>0</v>
      </c>
    </row>
    <row r="51" spans="1:8">
      <c r="A51" s="118" t="str">
        <f t="array" aca="1" ref="A51" ca="1">IFERROR(VALUE(LEFT(B51, MATCH(FALSE, ISNUMBER(MID(B51, ROW(INDIRECT("1:"&amp;LEN(B51)+1)), 1) *1), 0) -1)),"")</f>
        <v/>
      </c>
      <c r="B51" s="15"/>
      <c r="C51" s="15"/>
      <c r="D51" s="15"/>
      <c r="E51" s="15"/>
      <c r="G51" s="120">
        <f ca="1">IFERROR(SUMIF('13_Progress_Track'!$A$2:$A$108,A51,'13_Progress_Track'!$E$2:$E$108),"0")</f>
        <v>0</v>
      </c>
      <c r="H51" s="119">
        <f t="shared" ca="1" si="0"/>
        <v>0</v>
      </c>
    </row>
    <row r="52" spans="1:8">
      <c r="A52" s="118" t="str">
        <f t="array" aca="1" ref="A52" ca="1">IFERROR(VALUE(LEFT(B52, MATCH(FALSE, ISNUMBER(MID(B52, ROW(INDIRECT("1:"&amp;LEN(B52)+1)), 1) *1), 0) -1)),"")</f>
        <v/>
      </c>
      <c r="B52" s="15"/>
      <c r="C52" s="15"/>
      <c r="D52" s="15"/>
      <c r="E52" s="15"/>
      <c r="G52" s="120">
        <f ca="1">IFERROR(SUMIF('13_Progress_Track'!$A$2:$A$108,A52,'13_Progress_Track'!$E$2:$E$108),"0")</f>
        <v>0</v>
      </c>
      <c r="H52" s="119">
        <f t="shared" ca="1" si="0"/>
        <v>0</v>
      </c>
    </row>
    <row r="53" spans="1:8">
      <c r="A53" s="118" t="str">
        <f t="array" aca="1" ref="A53" ca="1">IFERROR(VALUE(LEFT(B53, MATCH(FALSE, ISNUMBER(MID(B53, ROW(INDIRECT("1:"&amp;LEN(B53)+1)), 1) *1), 0) -1)),"")</f>
        <v/>
      </c>
      <c r="B53" s="15"/>
      <c r="C53" s="15"/>
      <c r="D53" s="15"/>
      <c r="E53" s="15"/>
      <c r="G53" s="120">
        <f ca="1">IFERROR(SUMIF('13_Progress_Track'!$A$2:$A$108,A53,'13_Progress_Track'!$E$2:$E$108),"0")</f>
        <v>0</v>
      </c>
      <c r="H53" s="119">
        <f t="shared" ca="1" si="0"/>
        <v>0</v>
      </c>
    </row>
    <row r="54" spans="1:8">
      <c r="A54" s="118" t="str">
        <f t="array" aca="1" ref="A54" ca="1">IFERROR(VALUE(LEFT(B54, MATCH(FALSE, ISNUMBER(MID(B54, ROW(INDIRECT("1:"&amp;LEN(B54)+1)), 1) *1), 0) -1)),"")</f>
        <v/>
      </c>
      <c r="B54" s="15"/>
      <c r="C54" s="15"/>
      <c r="D54" s="15"/>
      <c r="E54" s="15"/>
      <c r="G54" s="120">
        <f ca="1">IFERROR(SUMIF('13_Progress_Track'!$A$2:$A$108,A54,'13_Progress_Track'!$E$2:$E$108),"0")</f>
        <v>0</v>
      </c>
      <c r="H54" s="119">
        <f t="shared" ca="1" si="0"/>
        <v>0</v>
      </c>
    </row>
    <row r="55" spans="1:8">
      <c r="A55" s="118" t="str">
        <f t="array" aca="1" ref="A55" ca="1">IFERROR(VALUE(LEFT(B55, MATCH(FALSE, ISNUMBER(MID(B55, ROW(INDIRECT("1:"&amp;LEN(B55)+1)), 1) *1), 0) -1)),"")</f>
        <v/>
      </c>
      <c r="B55" s="15"/>
      <c r="C55" s="15"/>
      <c r="D55" s="15"/>
      <c r="E55" s="15"/>
      <c r="G55" s="120">
        <f ca="1">IFERROR(SUMIF('13_Progress_Track'!$A$2:$A$108,A55,'13_Progress_Track'!$E$2:$E$108),"0")</f>
        <v>0</v>
      </c>
      <c r="H55" s="119">
        <f t="shared" ca="1" si="0"/>
        <v>0</v>
      </c>
    </row>
    <row r="56" spans="1:8">
      <c r="A56" s="118" t="str">
        <f t="array" aca="1" ref="A56" ca="1">IFERROR(VALUE(LEFT(B56, MATCH(FALSE, ISNUMBER(MID(B56, ROW(INDIRECT("1:"&amp;LEN(B56)+1)), 1) *1), 0) -1)),"")</f>
        <v/>
      </c>
      <c r="B56" s="15"/>
      <c r="C56" s="15"/>
      <c r="D56" s="15"/>
      <c r="E56" s="15"/>
      <c r="G56" s="120">
        <f ca="1">IFERROR(SUMIF('13_Progress_Track'!$A$2:$A$108,A56,'13_Progress_Track'!$E$2:$E$108),"0")</f>
        <v>0</v>
      </c>
      <c r="H56" s="119">
        <f t="shared" ca="1" si="0"/>
        <v>0</v>
      </c>
    </row>
    <row r="57" spans="1:8">
      <c r="A57" s="118" t="str">
        <f t="array" aca="1" ref="A57" ca="1">IFERROR(VALUE(LEFT(B57, MATCH(FALSE, ISNUMBER(MID(B57, ROW(INDIRECT("1:"&amp;LEN(B57)+1)), 1) *1), 0) -1)),"")</f>
        <v/>
      </c>
      <c r="B57" s="15"/>
      <c r="C57" s="15"/>
      <c r="D57" s="15"/>
      <c r="E57" s="15"/>
      <c r="G57" s="120">
        <f ca="1">IFERROR(SUMIF('13_Progress_Track'!$A$2:$A$108,A57,'13_Progress_Track'!$E$2:$E$108),"0")</f>
        <v>0</v>
      </c>
      <c r="H57" s="119">
        <f t="shared" ca="1" si="0"/>
        <v>0</v>
      </c>
    </row>
    <row r="58" spans="1:8">
      <c r="A58" s="118" t="str">
        <f t="array" aca="1" ref="A58" ca="1">IFERROR(VALUE(LEFT(B58, MATCH(FALSE, ISNUMBER(MID(B58, ROW(INDIRECT("1:"&amp;LEN(B58)+1)), 1) *1), 0) -1)),"")</f>
        <v/>
      </c>
      <c r="B58" s="15"/>
      <c r="C58" s="15"/>
      <c r="D58" s="15"/>
      <c r="E58" s="15"/>
      <c r="G58" s="120">
        <f ca="1">IFERROR(SUMIF('13_Progress_Track'!$A$2:$A$108,A58,'13_Progress_Track'!$E$2:$E$108),"0")</f>
        <v>0</v>
      </c>
      <c r="H58" s="119">
        <f t="shared" ca="1" si="0"/>
        <v>0</v>
      </c>
    </row>
    <row r="59" spans="1:8">
      <c r="A59" s="118" t="str">
        <f t="array" aca="1" ref="A59" ca="1">IFERROR(VALUE(LEFT(B59, MATCH(FALSE, ISNUMBER(MID(B59, ROW(INDIRECT("1:"&amp;LEN(B59)+1)), 1) *1), 0) -1)),"")</f>
        <v/>
      </c>
      <c r="B59" s="15"/>
      <c r="C59" s="15"/>
      <c r="D59" s="15"/>
      <c r="E59" s="15"/>
      <c r="G59" s="120">
        <f ca="1">IFERROR(SUMIF('13_Progress_Track'!$A$2:$A$108,A59,'13_Progress_Track'!$E$2:$E$108),"0")</f>
        <v>0</v>
      </c>
      <c r="H59" s="119">
        <f t="shared" ca="1" si="0"/>
        <v>0</v>
      </c>
    </row>
    <row r="60" spans="1:8">
      <c r="A60" s="118" t="str">
        <f t="array" aca="1" ref="A60" ca="1">IFERROR(VALUE(LEFT(B60, MATCH(FALSE, ISNUMBER(MID(B60, ROW(INDIRECT("1:"&amp;LEN(B60)+1)), 1) *1), 0) -1)),"")</f>
        <v/>
      </c>
      <c r="B60" s="15"/>
      <c r="C60" s="15"/>
      <c r="D60" s="15"/>
      <c r="E60" s="15"/>
      <c r="G60" s="120">
        <f ca="1">IFERROR(SUMIF('13_Progress_Track'!$A$2:$A$108,A60,'13_Progress_Track'!$E$2:$E$108),"0")</f>
        <v>0</v>
      </c>
      <c r="H60" s="119">
        <f t="shared" ca="1" si="0"/>
        <v>0</v>
      </c>
    </row>
    <row r="61" spans="1:8">
      <c r="A61" s="118">
        <v>2233</v>
      </c>
      <c r="B61" s="15"/>
      <c r="C61" s="15"/>
      <c r="D61" s="15"/>
      <c r="E61" s="15"/>
      <c r="G61" s="120">
        <f>IFERROR(SUMIF('13_Progress_Track'!$A$2:$A$108,A61,'13_Progress_Track'!$E$2:$E$108),"0")</f>
        <v>0</v>
      </c>
      <c r="H61" s="119">
        <f t="shared" si="0"/>
        <v>0</v>
      </c>
    </row>
    <row r="62" spans="1:8">
      <c r="A62" s="118">
        <v>2235</v>
      </c>
      <c r="B62" s="15"/>
      <c r="C62" s="15"/>
      <c r="D62" s="15"/>
      <c r="E62" s="15"/>
      <c r="G62" s="120">
        <f>IFERROR(SUMIF('13_Progress_Track'!$A$2:$A$108,A62,'13_Progress_Track'!$E$2:$E$108),"0")</f>
        <v>0</v>
      </c>
      <c r="H62" s="119">
        <f t="shared" si="0"/>
        <v>0</v>
      </c>
    </row>
    <row r="63" spans="1:8">
      <c r="A63" s="118">
        <v>2236</v>
      </c>
      <c r="B63" s="15"/>
      <c r="C63" s="15"/>
      <c r="D63" s="15"/>
      <c r="E63" s="15"/>
      <c r="G63" s="120">
        <f>IFERROR(SUMIF('13_Progress_Track'!$A$2:$A$108,A63,'13_Progress_Track'!$E$2:$E$108),"0")</f>
        <v>0</v>
      </c>
      <c r="H63" s="119">
        <f t="shared" si="0"/>
        <v>0</v>
      </c>
    </row>
    <row r="64" spans="1:8">
      <c r="A64" s="118">
        <v>423002</v>
      </c>
      <c r="B64" s="15"/>
      <c r="C64" s="15"/>
      <c r="D64" s="15"/>
      <c r="E64" s="15"/>
      <c r="G64" s="120">
        <f>IFERROR(SUMIF('13_Progress_Track'!$A$2:$A$108,A64,'13_Progress_Track'!$E$2:$E$108),"0")</f>
        <v>18</v>
      </c>
      <c r="H64" s="119">
        <f t="shared" si="0"/>
        <v>-18</v>
      </c>
    </row>
    <row r="65" spans="1:8">
      <c r="A65" s="118">
        <v>203010</v>
      </c>
      <c r="B65" s="15"/>
      <c r="C65" s="15"/>
      <c r="D65" s="15"/>
      <c r="E65" s="15"/>
      <c r="G65" s="120">
        <f>IFERROR(SUMIF('13_Progress_Track'!$A$2:$A$108,A65,'13_Progress_Track'!$E$2:$E$108),"0")</f>
        <v>0</v>
      </c>
      <c r="H65" s="119">
        <f t="shared" si="0"/>
        <v>0</v>
      </c>
    </row>
    <row r="66" spans="1:8">
      <c r="A66" s="118">
        <v>423625</v>
      </c>
      <c r="B66" s="15"/>
      <c r="C66" s="15"/>
      <c r="D66" s="15"/>
      <c r="E66" s="15"/>
      <c r="G66" s="120">
        <f>IFERROR(SUMIF('13_Progress_Track'!$A$2:$A$108,A66,'13_Progress_Track'!$E$2:$E$108),"0")</f>
        <v>0</v>
      </c>
      <c r="H66" s="119">
        <f t="shared" si="0"/>
        <v>0</v>
      </c>
    </row>
    <row r="67" spans="1:8">
      <c r="A67" s="118">
        <v>203624</v>
      </c>
      <c r="B67" s="15"/>
      <c r="C67" s="15"/>
      <c r="D67" s="15"/>
      <c r="E67" s="15"/>
      <c r="G67" s="120">
        <f>IFERROR(SUMIF('13_Progress_Track'!$A$2:$A$108,A67,'13_Progress_Track'!$E$2:$E$108),"0")</f>
        <v>5</v>
      </c>
      <c r="H67" s="119">
        <f t="shared" si="0"/>
        <v>-5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B1:T43"/>
  <sheetViews>
    <sheetView workbookViewId="0"/>
  </sheetViews>
  <sheetFormatPr defaultRowHeight="14.4"/>
  <cols>
    <col min="1" max="1" width="2.5546875" customWidth="1"/>
    <col min="2" max="2" width="13.77734375" customWidth="1"/>
    <col min="3" max="3" width="12.44140625" customWidth="1"/>
    <col min="4" max="4" width="8.5546875" customWidth="1"/>
    <col min="5" max="5" width="10" customWidth="1"/>
    <col min="6" max="6" width="8.5546875" customWidth="1"/>
    <col min="7" max="7" width="3.109375" customWidth="1"/>
    <col min="8" max="8" width="8.5546875" customWidth="1"/>
    <col min="16" max="16" width="8.77734375" customWidth="1"/>
    <col min="17" max="17" width="7.77734375" customWidth="1"/>
    <col min="18" max="18" width="10" customWidth="1"/>
  </cols>
  <sheetData>
    <row r="1" spans="2:20" ht="23.55" customHeight="1">
      <c r="H1" s="121"/>
      <c r="R1" s="122"/>
    </row>
    <row r="2" spans="2:20">
      <c r="B2" s="123" t="s">
        <v>502</v>
      </c>
      <c r="C2" s="15"/>
      <c r="D2" s="15"/>
      <c r="E2" s="15"/>
      <c r="F2" s="15"/>
      <c r="G2" s="124"/>
      <c r="H2" s="124"/>
      <c r="I2" s="124"/>
      <c r="J2" s="124"/>
      <c r="K2" s="124">
        <v>1356</v>
      </c>
      <c r="L2" s="124">
        <v>2103</v>
      </c>
      <c r="M2" s="124">
        <v>1149</v>
      </c>
      <c r="N2" s="124"/>
      <c r="O2" s="124"/>
      <c r="R2" s="124"/>
    </row>
    <row r="3" spans="2:20">
      <c r="B3" s="125" t="s">
        <v>503</v>
      </c>
      <c r="C3" s="15"/>
      <c r="D3" s="15"/>
      <c r="E3" s="126"/>
      <c r="F3" s="15"/>
      <c r="G3" s="127"/>
      <c r="H3" s="127"/>
      <c r="I3" s="128">
        <f>SUMIF(I5:I25,"&gt;0")</f>
        <v>1040</v>
      </c>
      <c r="J3" s="128">
        <f>SUM(J5:J22)</f>
        <v>0</v>
      </c>
      <c r="K3" s="128">
        <f>SUMIF(K5:K23,"&gt;0")</f>
        <v>1040</v>
      </c>
      <c r="L3" s="127"/>
      <c r="M3" s="127"/>
      <c r="N3" s="127" t="s">
        <v>504</v>
      </c>
      <c r="O3" s="127"/>
      <c r="Q3">
        <f ca="1">SUM(Q5:Q22)</f>
        <v>0</v>
      </c>
      <c r="R3" s="124">
        <f ca="1">SUM(R5:R22)</f>
        <v>0</v>
      </c>
      <c r="S3">
        <f ca="1">SUM(S5:S22)</f>
        <v>0</v>
      </c>
    </row>
    <row r="4" spans="2:20">
      <c r="B4" s="129" t="s">
        <v>1</v>
      </c>
      <c r="C4" s="15"/>
      <c r="D4" s="15"/>
      <c r="E4" s="15"/>
      <c r="F4" s="15"/>
      <c r="G4" s="130"/>
      <c r="H4" s="131" t="s">
        <v>1</v>
      </c>
      <c r="I4" s="131" t="s">
        <v>505</v>
      </c>
      <c r="J4" s="132" t="s">
        <v>506</v>
      </c>
      <c r="K4" s="133" t="s">
        <v>507</v>
      </c>
      <c r="L4" s="131" t="s">
        <v>508</v>
      </c>
      <c r="M4" s="131" t="s">
        <v>509</v>
      </c>
      <c r="N4" s="131" t="s">
        <v>4</v>
      </c>
      <c r="O4" s="131" t="s">
        <v>5</v>
      </c>
      <c r="P4" s="134" t="s">
        <v>510</v>
      </c>
      <c r="Q4" s="50" t="s">
        <v>511</v>
      </c>
      <c r="R4" s="135" t="s">
        <v>512</v>
      </c>
      <c r="S4" t="s">
        <v>513</v>
      </c>
    </row>
    <row r="5" spans="2:20">
      <c r="B5" s="136">
        <f>'00_SKU_Master'!B357</f>
        <v>2050</v>
      </c>
      <c r="C5" s="15"/>
      <c r="D5" s="15">
        <v>140</v>
      </c>
      <c r="E5" s="15"/>
      <c r="F5" s="15"/>
      <c r="G5" s="137"/>
      <c r="H5" s="138">
        <f t="shared" ref="H5:H22" si="0">B5</f>
        <v>2050</v>
      </c>
      <c r="I5" s="139">
        <f t="shared" ref="I5:I22" si="1">SUM(C5:F5)</f>
        <v>140</v>
      </c>
      <c r="J5" s="138">
        <f>SUMIF('13_Progress_Track'!$A$2:$A$108,B5,'13_Progress_Track'!$E$2:$E$108)</f>
        <v>0</v>
      </c>
      <c r="K5" s="140">
        <f t="shared" ref="K5:K22" si="2">I5-J5</f>
        <v>140</v>
      </c>
      <c r="L5" s="139">
        <f>_xlfn.IFNA(_xlfn.XLOOKUP(H5,$B$27:$B$41,$C$27:$C$41,0)*K5,"")</f>
        <v>1586.6683229813668</v>
      </c>
      <c r="M5" s="141">
        <f>_xlfn.IFNA(L5/_xlfn.XLOOKUP(H5,$B$27:$B$43,$F$27:$F$43,0),"")</f>
        <v>2.6444472049689449</v>
      </c>
      <c r="N5" s="141" t="str">
        <f ca="1">IFERROR(_xludf.XLOOKUP(B5,'00_SKU_Master'!$B$2:$B$378,'00_SKU_Master'!$E$2:$E$378,""),"")</f>
        <v/>
      </c>
      <c r="O5" s="138">
        <f>IFERROR(_xlfn.SINGLE(_xlfn.XLOOKUP(B5,'00_SKU_Master'!$B$2:$B$378,'00_SKU_Master'!$F$2:$F$378,0)),0)</f>
        <v>0</v>
      </c>
      <c r="P5" s="44">
        <f ca="1">IFERROR(_xludf.XLOOKUP(N5,'00_Yield_Rates'!$B$2:$B$33,'00_Yield_Rates'!$E$2:$E$33,0)/100,0)</f>
        <v>0</v>
      </c>
      <c r="Q5">
        <f t="shared" ref="Q5:Q22" si="3">IF(AND(ISNUMBER(I5),ISNUMBER(O5)),I5*O5,0)</f>
        <v>0</v>
      </c>
      <c r="R5" s="142">
        <f t="shared" ref="R5:R22" ca="1" si="4">IF(AND(ISNUMBER(Q5),P5&gt;0),Q5/P5,0)</f>
        <v>0</v>
      </c>
      <c r="S5">
        <f t="shared" ref="S5:S22" ca="1" si="5">IF(R5&gt;0,ROUNDUP(R5/680,1),0)</f>
        <v>0</v>
      </c>
    </row>
    <row r="6" spans="2:20">
      <c r="B6" s="136">
        <f>'00_SKU_Master'!B358</f>
        <v>2051</v>
      </c>
      <c r="C6" s="15"/>
      <c r="D6" s="15">
        <v>380</v>
      </c>
      <c r="E6" s="15"/>
      <c r="F6" s="15"/>
      <c r="G6" s="137"/>
      <c r="H6" s="138">
        <f t="shared" si="0"/>
        <v>2051</v>
      </c>
      <c r="I6" s="139">
        <f t="shared" si="1"/>
        <v>380</v>
      </c>
      <c r="J6" s="138">
        <f>SUMIF('13_Progress_Track'!$A$2:$A$108,B6,'13_Progress_Track'!$E$2:$E$108)</f>
        <v>0</v>
      </c>
      <c r="K6" s="140">
        <f t="shared" si="2"/>
        <v>380</v>
      </c>
      <c r="L6" s="139">
        <f t="shared" ref="L6:L22" si="6">_xlfn.IFNA(_xlfn.XLOOKUP(H6,$B$27:$B$41,$C$27:$C$41,0)*K6,"")</f>
        <v>4159.1856815286637</v>
      </c>
      <c r="M6" s="141">
        <f t="shared" ref="M6:M22" si="7">_xlfn.IFNA(L6/_xlfn.XLOOKUP(H6,$B$27:$B$43,$F$27:$F$43,0),"")</f>
        <v>5.19898210191083</v>
      </c>
      <c r="N6" s="141" t="str">
        <f ca="1">IFERROR(_xludf.XLOOKUP(B6,'00_SKU_Master'!$B$2:$B$378,'00_SKU_Master'!$E$2:$E$378,""),"")</f>
        <v/>
      </c>
      <c r="O6" s="138">
        <f ca="1">IFERROR(_xludf.XLOOKUP(B6,'00_SKU_Master'!$B$2:$B$378,'00_SKU_Master'!$F$2:$F$378,0),0)</f>
        <v>0</v>
      </c>
      <c r="P6" s="44">
        <f ca="1">IFERROR(_xludf.XLOOKUP(N6,'00_Yield_Rates'!$B$2:$B$33,'00_Yield_Rates'!$E$2:$E$33,0)/100,0)</f>
        <v>0</v>
      </c>
      <c r="Q6">
        <f t="shared" ca="1" si="3"/>
        <v>0</v>
      </c>
      <c r="R6" s="142">
        <f t="shared" ca="1" si="4"/>
        <v>0</v>
      </c>
      <c r="S6">
        <f t="shared" ca="1" si="5"/>
        <v>0</v>
      </c>
      <c r="T6" s="143"/>
    </row>
    <row r="7" spans="2:20">
      <c r="B7" s="136">
        <f>'00_SKU_Master'!B359</f>
        <v>2081</v>
      </c>
      <c r="C7" s="15"/>
      <c r="D7" s="15">
        <v>225</v>
      </c>
      <c r="E7" s="15"/>
      <c r="F7" s="15"/>
      <c r="G7" s="137"/>
      <c r="H7" s="138">
        <f t="shared" si="0"/>
        <v>2081</v>
      </c>
      <c r="I7" s="139">
        <f t="shared" si="1"/>
        <v>225</v>
      </c>
      <c r="J7" s="138">
        <f>SUMIF('13_Progress_Track'!$A$2:$A$108,B7,'13_Progress_Track'!$E$2:$E$108)</f>
        <v>0</v>
      </c>
      <c r="K7" s="140">
        <f t="shared" si="2"/>
        <v>225</v>
      </c>
      <c r="L7" s="139">
        <f t="shared" si="6"/>
        <v>2530.0209374999999</v>
      </c>
      <c r="M7" s="141">
        <f t="shared" si="7"/>
        <v>4.2167015624999999</v>
      </c>
      <c r="N7" s="141" t="str">
        <f ca="1">IFERROR(_xludf.XLOOKUP(B7,'00_SKU_Master'!$B$2:$B$378,'00_SKU_Master'!$E$2:$E$378,""),"")</f>
        <v/>
      </c>
      <c r="O7" s="138">
        <f ca="1">IFERROR(_xludf.XLOOKUP(B7,'00_SKU_Master'!$B$2:$B$378,'00_SKU_Master'!$F$2:$F$378,0),0)</f>
        <v>0</v>
      </c>
      <c r="P7" s="44">
        <f ca="1">IFERROR(_xludf.XLOOKUP(N7,'00_Yield_Rates'!$B$2:$B$33,'00_Yield_Rates'!$E$2:$E$33,0)/100,0)</f>
        <v>0</v>
      </c>
      <c r="Q7">
        <f t="shared" ca="1" si="3"/>
        <v>0</v>
      </c>
      <c r="R7" s="142">
        <f t="shared" ca="1" si="4"/>
        <v>0</v>
      </c>
      <c r="S7">
        <f t="shared" ca="1" si="5"/>
        <v>0</v>
      </c>
      <c r="T7" s="143"/>
    </row>
    <row r="8" spans="2:20">
      <c r="B8" s="136">
        <f>'00_SKU_Master'!B360</f>
        <v>7113</v>
      </c>
      <c r="C8" s="15"/>
      <c r="D8" s="15">
        <v>0</v>
      </c>
      <c r="E8" s="15"/>
      <c r="F8" s="15"/>
      <c r="G8" s="137"/>
      <c r="H8" s="138">
        <f t="shared" si="0"/>
        <v>7113</v>
      </c>
      <c r="I8" s="139">
        <f t="shared" si="1"/>
        <v>0</v>
      </c>
      <c r="J8" s="138">
        <f>SUMIF('13_Progress_Track'!$A$2:$A$108,B8,'13_Progress_Track'!$E$2:$E$108)</f>
        <v>0</v>
      </c>
      <c r="K8" s="140">
        <f t="shared" si="2"/>
        <v>0</v>
      </c>
      <c r="L8" s="139">
        <f t="shared" si="6"/>
        <v>0</v>
      </c>
      <c r="M8" s="141">
        <f t="shared" si="7"/>
        <v>0</v>
      </c>
      <c r="N8" s="141" t="str">
        <f ca="1">IFERROR(_xludf.XLOOKUP(B8,'00_SKU_Master'!$B$2:$B$378,'00_SKU_Master'!$E$2:$E$378,""),"")</f>
        <v/>
      </c>
      <c r="O8" s="138">
        <f ca="1">IFERROR(_xludf.XLOOKUP(B8,'00_SKU_Master'!$B$2:$B$378,'00_SKU_Master'!$F$2:$F$378,0),0)</f>
        <v>0</v>
      </c>
      <c r="P8" s="44">
        <f ca="1">IFERROR(_xludf.XLOOKUP(N8,'00_Yield_Rates'!$B$2:$B$33,'00_Yield_Rates'!$E$2:$E$33,0)/100,0)</f>
        <v>0</v>
      </c>
      <c r="Q8">
        <f t="shared" ca="1" si="3"/>
        <v>0</v>
      </c>
      <c r="R8" s="142">
        <f t="shared" ca="1" si="4"/>
        <v>0</v>
      </c>
      <c r="S8">
        <f t="shared" ca="1" si="5"/>
        <v>0</v>
      </c>
      <c r="T8" s="143"/>
    </row>
    <row r="9" spans="2:20">
      <c r="B9" s="136">
        <f>'00_SKU_Master'!B361</f>
        <v>200179</v>
      </c>
      <c r="C9" s="15"/>
      <c r="D9" s="15">
        <v>0</v>
      </c>
      <c r="E9" s="15"/>
      <c r="F9" s="15"/>
      <c r="G9" s="137"/>
      <c r="H9" s="138">
        <f t="shared" si="0"/>
        <v>200179</v>
      </c>
      <c r="I9" s="139">
        <f t="shared" si="1"/>
        <v>0</v>
      </c>
      <c r="J9" s="138">
        <f>SUMIF('13_Progress_Track'!$A$2:$A$108,B9,'13_Progress_Track'!$E$2:$E$108)</f>
        <v>0</v>
      </c>
      <c r="K9" s="140">
        <f t="shared" si="2"/>
        <v>0</v>
      </c>
      <c r="L9" s="139">
        <f t="shared" si="6"/>
        <v>0</v>
      </c>
      <c r="M9" s="141" t="e">
        <f>_xlfn.IFNA(L9/_xlfn.XLOOKUP(H9,$B$27:$B$43,$F$27:$F$43,0),"")</f>
        <v>#DIV/0!</v>
      </c>
      <c r="N9" s="141" t="str">
        <f ca="1">IFERROR(_xludf.XLOOKUP(B9,'00_SKU_Master'!$B$2:$B$378,'00_SKU_Master'!$E$2:$E$378,""),"")</f>
        <v/>
      </c>
      <c r="O9" s="138">
        <f ca="1">IFERROR(_xludf.XLOOKUP(B9,'00_SKU_Master'!$B$2:$B$378,'00_SKU_Master'!$F$2:$F$378,0),0)</f>
        <v>0</v>
      </c>
      <c r="P9" s="44">
        <f ca="1">IFERROR(_xludf.XLOOKUP(N9,'00_Yield_Rates'!$B$2:$B$33,'00_Yield_Rates'!$E$2:$E$33,0)/100,0)</f>
        <v>0</v>
      </c>
      <c r="Q9">
        <f t="shared" ca="1" si="3"/>
        <v>0</v>
      </c>
      <c r="R9" s="142">
        <f t="shared" ca="1" si="4"/>
        <v>0</v>
      </c>
      <c r="S9">
        <f t="shared" ca="1" si="5"/>
        <v>0</v>
      </c>
    </row>
    <row r="10" spans="2:20">
      <c r="B10" s="136">
        <f>'00_SKU_Master'!B362</f>
        <v>200182</v>
      </c>
      <c r="C10" s="15"/>
      <c r="D10" s="15">
        <v>75</v>
      </c>
      <c r="E10" s="15"/>
      <c r="F10" s="15"/>
      <c r="G10" s="137"/>
      <c r="H10" s="138">
        <f t="shared" si="0"/>
        <v>200182</v>
      </c>
      <c r="I10" s="139">
        <f t="shared" si="1"/>
        <v>75</v>
      </c>
      <c r="J10" s="138">
        <f>SUMIF('13_Progress_Track'!$A$2:$A$108,B10,'13_Progress_Track'!$E$2:$E$108)</f>
        <v>0</v>
      </c>
      <c r="K10" s="140">
        <f t="shared" si="2"/>
        <v>75</v>
      </c>
      <c r="L10" s="139">
        <f t="shared" si="6"/>
        <v>744.76666666666677</v>
      </c>
      <c r="M10" s="141">
        <f t="shared" si="7"/>
        <v>1.2412777777777779</v>
      </c>
      <c r="N10" s="141" t="str">
        <f ca="1">IFERROR(_xludf.XLOOKUP(B10,'00_SKU_Master'!$B$2:$B$378,'00_SKU_Master'!$E$2:$E$378,""),"")</f>
        <v/>
      </c>
      <c r="O10" s="138">
        <f ca="1">IFERROR(_xludf.XLOOKUP(B10,'00_SKU_Master'!$B$2:$B$378,'00_SKU_Master'!$F$2:$F$378,0),0)</f>
        <v>0</v>
      </c>
      <c r="P10" s="44">
        <f ca="1">IFERROR(_xludf.XLOOKUP(N10,'00_Yield_Rates'!$B$2:$B$33,'00_Yield_Rates'!$E$2:$E$33,0)/100,0)</f>
        <v>0</v>
      </c>
      <c r="Q10">
        <f t="shared" ca="1" si="3"/>
        <v>0</v>
      </c>
      <c r="R10" s="142">
        <f t="shared" ca="1" si="4"/>
        <v>0</v>
      </c>
      <c r="S10">
        <f t="shared" ca="1" si="5"/>
        <v>0</v>
      </c>
    </row>
    <row r="11" spans="2:20">
      <c r="B11" s="136">
        <f>'00_SKU_Master'!B363</f>
        <v>200183</v>
      </c>
      <c r="C11" s="15"/>
      <c r="D11" s="15">
        <v>97</v>
      </c>
      <c r="E11" s="15"/>
      <c r="F11" s="15"/>
      <c r="G11" s="137"/>
      <c r="H11" s="138">
        <f t="shared" si="0"/>
        <v>200183</v>
      </c>
      <c r="I11" s="139">
        <f t="shared" si="1"/>
        <v>97</v>
      </c>
      <c r="J11" s="138">
        <f>SUMIF('13_Progress_Track'!$A$2:$A$108,B11,'13_Progress_Track'!$E$2:$E$108)</f>
        <v>0</v>
      </c>
      <c r="K11" s="140">
        <f t="shared" si="2"/>
        <v>97</v>
      </c>
      <c r="L11" s="139">
        <f t="shared" si="6"/>
        <v>881.98840163934437</v>
      </c>
      <c r="M11" s="141">
        <f t="shared" si="7"/>
        <v>1.1024855020491804</v>
      </c>
      <c r="N11" s="141" t="str">
        <f ca="1">IFERROR(_xludf.XLOOKUP(B11,'00_SKU_Master'!$B$2:$B$378,'00_SKU_Master'!$E$2:$E$378,""),"")</f>
        <v/>
      </c>
      <c r="O11" s="138">
        <f ca="1">IFERROR(_xludf.XLOOKUP(B11,'00_SKU_Master'!$B$2:$B$378,'00_SKU_Master'!$F$2:$F$378,0),0)</f>
        <v>0</v>
      </c>
      <c r="P11" s="44">
        <f ca="1">IFERROR(_xludf.XLOOKUP(N11,'00_Yield_Rates'!$B$2:$B$33,'00_Yield_Rates'!$E$2:$E$33,0)/100,0)</f>
        <v>0</v>
      </c>
      <c r="Q11">
        <f t="shared" ca="1" si="3"/>
        <v>0</v>
      </c>
      <c r="R11" s="142">
        <f t="shared" ca="1" si="4"/>
        <v>0</v>
      </c>
      <c r="S11">
        <f t="shared" ca="1" si="5"/>
        <v>0</v>
      </c>
    </row>
    <row r="12" spans="2:20">
      <c r="B12" s="136">
        <f>'00_SKU_Master'!B364</f>
        <v>200184</v>
      </c>
      <c r="C12" s="15"/>
      <c r="D12" s="15">
        <v>39</v>
      </c>
      <c r="E12" s="15"/>
      <c r="F12" s="15"/>
      <c r="G12" s="137"/>
      <c r="H12" s="138">
        <f t="shared" si="0"/>
        <v>200184</v>
      </c>
      <c r="I12" s="139">
        <f t="shared" si="1"/>
        <v>39</v>
      </c>
      <c r="J12" s="138">
        <f>SUMIF('13_Progress_Track'!$A$2:$A$108,B12,'13_Progress_Track'!$E$2:$E$108)</f>
        <v>0</v>
      </c>
      <c r="K12" s="140">
        <f t="shared" si="2"/>
        <v>39</v>
      </c>
      <c r="L12" s="139">
        <f t="shared" si="6"/>
        <v>350.30162790697676</v>
      </c>
      <c r="M12" s="141">
        <f t="shared" si="7"/>
        <v>0.43787703488372093</v>
      </c>
      <c r="N12" s="141" t="str">
        <f ca="1">IFERROR(_xludf.XLOOKUP(B12,'00_SKU_Master'!$B$2:$B$378,'00_SKU_Master'!$E$2:$E$378,""),"")</f>
        <v/>
      </c>
      <c r="O12" s="138">
        <f ca="1">IFERROR(_xludf.XLOOKUP(B12,'00_SKU_Master'!$B$2:$B$378,'00_SKU_Master'!$F$2:$F$378,0),0)</f>
        <v>0</v>
      </c>
      <c r="P12" s="44">
        <f ca="1">IFERROR(_xludf.XLOOKUP(N12,'00_Yield_Rates'!$B$2:$B$33,'00_Yield_Rates'!$E$2:$E$33,0)/100,0)</f>
        <v>0</v>
      </c>
      <c r="Q12">
        <f t="shared" ca="1" si="3"/>
        <v>0</v>
      </c>
      <c r="R12" s="142">
        <f t="shared" ca="1" si="4"/>
        <v>0</v>
      </c>
      <c r="S12">
        <f t="shared" ca="1" si="5"/>
        <v>0</v>
      </c>
    </row>
    <row r="13" spans="2:20">
      <c r="B13" s="136">
        <f>'00_SKU_Master'!B365</f>
        <v>2511</v>
      </c>
      <c r="C13" s="15"/>
      <c r="D13" s="15">
        <v>0</v>
      </c>
      <c r="E13" s="15"/>
      <c r="F13" s="15"/>
      <c r="G13" s="137"/>
      <c r="H13" s="138">
        <f t="shared" si="0"/>
        <v>2511</v>
      </c>
      <c r="I13" s="139">
        <f t="shared" si="1"/>
        <v>0</v>
      </c>
      <c r="J13" s="138">
        <f>SUMIF('13_Progress_Track'!$A$2:$A$108,B13,'13_Progress_Track'!$E$2:$E$108)</f>
        <v>0</v>
      </c>
      <c r="K13" s="140">
        <f t="shared" si="2"/>
        <v>0</v>
      </c>
      <c r="L13" s="139">
        <f t="shared" si="6"/>
        <v>0</v>
      </c>
      <c r="M13" s="141">
        <f t="shared" si="7"/>
        <v>0</v>
      </c>
      <c r="N13" s="141" t="str">
        <f ca="1">IFERROR(_xludf.XLOOKUP(B13,'00_SKU_Master'!$B$2:$B$378,'00_SKU_Master'!$E$2:$E$378,""),"")</f>
        <v/>
      </c>
      <c r="O13" s="138">
        <f ca="1">IFERROR(_xludf.XLOOKUP(B13,'00_SKU_Master'!$B$2:$B$378,'00_SKU_Master'!$F$2:$F$378,0),0)</f>
        <v>0</v>
      </c>
      <c r="P13" s="44">
        <f ca="1">IFERROR(_xludf.XLOOKUP(N13,'00_Yield_Rates'!$B$2:$B$33,'00_Yield_Rates'!$E$2:$E$33,0)/100,0)</f>
        <v>0</v>
      </c>
      <c r="Q13">
        <f t="shared" ca="1" si="3"/>
        <v>0</v>
      </c>
      <c r="R13" s="142">
        <f t="shared" ca="1" si="4"/>
        <v>0</v>
      </c>
      <c r="S13">
        <f t="shared" ca="1" si="5"/>
        <v>0</v>
      </c>
    </row>
    <row r="14" spans="2:20">
      <c r="B14" s="136">
        <f>'00_SKU_Master'!B366</f>
        <v>1077</v>
      </c>
      <c r="C14" s="15"/>
      <c r="D14" s="15">
        <v>0</v>
      </c>
      <c r="E14" s="15"/>
      <c r="F14" s="15"/>
      <c r="G14" s="137"/>
      <c r="H14" s="138">
        <f t="shared" si="0"/>
        <v>1077</v>
      </c>
      <c r="I14" s="139">
        <f t="shared" si="1"/>
        <v>0</v>
      </c>
      <c r="J14" s="138">
        <f>SUMIF('13_Progress_Track'!$A$2:$A$108,B14,'13_Progress_Track'!$E$2:$E$108)</f>
        <v>0</v>
      </c>
      <c r="K14" s="140">
        <f t="shared" si="2"/>
        <v>0</v>
      </c>
      <c r="L14" s="139">
        <f t="shared" si="6"/>
        <v>0</v>
      </c>
      <c r="M14" s="141" t="e">
        <f t="shared" si="7"/>
        <v>#DIV/0!</v>
      </c>
      <c r="N14" s="141" t="str">
        <f ca="1">IFERROR(_xludf.XLOOKUP(B14,'00_SKU_Master'!$B$2:$B$378,'00_SKU_Master'!$E$2:$E$378,""),"")</f>
        <v/>
      </c>
      <c r="O14" s="138">
        <f ca="1">IFERROR(_xludf.XLOOKUP(B14,'00_SKU_Master'!$B$2:$B$378,'00_SKU_Master'!$F$2:$F$378,0),0)</f>
        <v>0</v>
      </c>
      <c r="P14" s="44">
        <f ca="1">IFERROR(_xludf.XLOOKUP(N14,'00_Yield_Rates'!$B$2:$B$33,'00_Yield_Rates'!$E$2:$E$33,0)/100,0)</f>
        <v>0</v>
      </c>
      <c r="Q14">
        <f t="shared" ca="1" si="3"/>
        <v>0</v>
      </c>
      <c r="R14" s="142">
        <f t="shared" ca="1" si="4"/>
        <v>0</v>
      </c>
      <c r="S14">
        <f t="shared" ca="1" si="5"/>
        <v>0</v>
      </c>
    </row>
    <row r="15" spans="2:20">
      <c r="B15" s="136">
        <f>'00_SKU_Master'!B367</f>
        <v>1078</v>
      </c>
      <c r="C15" s="15"/>
      <c r="D15" s="15">
        <v>0</v>
      </c>
      <c r="E15" s="15"/>
      <c r="F15" s="15"/>
      <c r="G15" s="137"/>
      <c r="H15" s="138">
        <f t="shared" si="0"/>
        <v>1078</v>
      </c>
      <c r="I15" s="139">
        <f t="shared" si="1"/>
        <v>0</v>
      </c>
      <c r="J15" s="138">
        <f>SUMIF('13_Progress_Track'!$A$2:$A$108,B15,'13_Progress_Track'!$E$2:$E$108)</f>
        <v>0</v>
      </c>
      <c r="K15" s="140">
        <f t="shared" si="2"/>
        <v>0</v>
      </c>
      <c r="L15" s="139">
        <f t="shared" si="6"/>
        <v>0</v>
      </c>
      <c r="M15" s="141" t="e">
        <f t="shared" si="7"/>
        <v>#DIV/0!</v>
      </c>
      <c r="N15" s="141" t="str">
        <f ca="1">IFERROR(_xludf.XLOOKUP(B15,'00_SKU_Master'!$B$2:$B$378,'00_SKU_Master'!$E$2:$E$378,""),"")</f>
        <v/>
      </c>
      <c r="O15" s="138">
        <f ca="1">IFERROR(_xludf.XLOOKUP(B15,'00_SKU_Master'!$B$2:$B$378,'00_SKU_Master'!$F$2:$F$378,0),0)</f>
        <v>0</v>
      </c>
      <c r="P15" s="44">
        <f ca="1">IFERROR(_xludf.XLOOKUP(N15,'00_Yield_Rates'!$B$2:$B$33,'00_Yield_Rates'!$E$2:$E$33,0)/100,0)</f>
        <v>0</v>
      </c>
      <c r="Q15">
        <f t="shared" ca="1" si="3"/>
        <v>0</v>
      </c>
      <c r="R15" s="142">
        <f t="shared" ca="1" si="4"/>
        <v>0</v>
      </c>
      <c r="S15">
        <f t="shared" ca="1" si="5"/>
        <v>0</v>
      </c>
    </row>
    <row r="16" spans="2:20">
      <c r="B16" s="136">
        <f>'00_SKU_Master'!B368</f>
        <v>1080</v>
      </c>
      <c r="C16" s="15"/>
      <c r="D16" s="15">
        <v>0</v>
      </c>
      <c r="E16" s="15"/>
      <c r="F16" s="15"/>
      <c r="G16" s="137"/>
      <c r="H16" s="138">
        <f t="shared" si="0"/>
        <v>1080</v>
      </c>
      <c r="I16" s="139">
        <f t="shared" si="1"/>
        <v>0</v>
      </c>
      <c r="J16" s="138">
        <f>SUMIF('13_Progress_Track'!$A$2:$A$108,B16,'13_Progress_Track'!$E$2:$E$108)</f>
        <v>0</v>
      </c>
      <c r="K16" s="140">
        <f t="shared" si="2"/>
        <v>0</v>
      </c>
      <c r="L16" s="139">
        <f t="shared" si="6"/>
        <v>0</v>
      </c>
      <c r="M16" s="141" t="e">
        <f t="shared" si="7"/>
        <v>#DIV/0!</v>
      </c>
      <c r="N16" s="141" t="str">
        <f ca="1">IFERROR(_xludf.XLOOKUP(B16,'00_SKU_Master'!$B$2:$B$378,'00_SKU_Master'!$E$2:$E$378,""),"")</f>
        <v/>
      </c>
      <c r="O16" s="138">
        <f ca="1">IFERROR(_xludf.XLOOKUP(B16,'00_SKU_Master'!$B$2:$B$378,'00_SKU_Master'!$F$2:$F$378,0),0)</f>
        <v>0</v>
      </c>
      <c r="P16" s="44">
        <f ca="1">IFERROR(_xludf.XLOOKUP(N16,'00_Yield_Rates'!$B$2:$B$33,'00_Yield_Rates'!$E$2:$E$33,0)/100,0)</f>
        <v>0</v>
      </c>
      <c r="Q16">
        <f t="shared" ca="1" si="3"/>
        <v>0</v>
      </c>
      <c r="R16" s="142">
        <f t="shared" ca="1" si="4"/>
        <v>0</v>
      </c>
      <c r="S16">
        <f t="shared" ca="1" si="5"/>
        <v>0</v>
      </c>
    </row>
    <row r="17" spans="2:20">
      <c r="B17" s="136">
        <f>'00_SKU_Master'!B369</f>
        <v>1574</v>
      </c>
      <c r="C17" s="15"/>
      <c r="D17" s="15">
        <v>0</v>
      </c>
      <c r="E17" s="15"/>
      <c r="F17" s="15"/>
      <c r="G17" s="137"/>
      <c r="H17" s="138">
        <f t="shared" si="0"/>
        <v>1574</v>
      </c>
      <c r="I17" s="139">
        <f t="shared" si="1"/>
        <v>0</v>
      </c>
      <c r="J17" s="138">
        <f>SUMIF('13_Progress_Track'!$A$2:$A$108,B17,'13_Progress_Track'!$E$2:$E$108)</f>
        <v>0</v>
      </c>
      <c r="K17" s="140">
        <f t="shared" si="2"/>
        <v>0</v>
      </c>
      <c r="L17" s="139">
        <f t="shared" si="6"/>
        <v>0</v>
      </c>
      <c r="M17" s="141" t="e">
        <f t="shared" si="7"/>
        <v>#DIV/0!</v>
      </c>
      <c r="N17" s="141" t="str">
        <f ca="1">IFERROR(_xludf.XLOOKUP(B17,'00_SKU_Master'!$B$2:$B$378,'00_SKU_Master'!$E$2:$E$378,""),"")</f>
        <v/>
      </c>
      <c r="O17" s="138">
        <f ca="1">IFERROR(_xludf.XLOOKUP(B17,'00_SKU_Master'!$B$2:$B$378,'00_SKU_Master'!$F$2:$F$378,0),0)</f>
        <v>0</v>
      </c>
      <c r="P17" s="44">
        <f ca="1">IFERROR(_xludf.XLOOKUP(N17,'00_Yield_Rates'!$B$2:$B$33,'00_Yield_Rates'!$E$2:$E$33,0)/100,0)</f>
        <v>0</v>
      </c>
      <c r="Q17">
        <f t="shared" ca="1" si="3"/>
        <v>0</v>
      </c>
      <c r="R17" s="142">
        <f t="shared" ca="1" si="4"/>
        <v>0</v>
      </c>
      <c r="S17">
        <f t="shared" ca="1" si="5"/>
        <v>0</v>
      </c>
    </row>
    <row r="18" spans="2:20">
      <c r="B18" s="136">
        <f>'00_SKU_Master'!B370</f>
        <v>2112</v>
      </c>
      <c r="C18" s="15"/>
      <c r="D18" s="15">
        <v>0</v>
      </c>
      <c r="E18" s="15"/>
      <c r="F18" s="15"/>
      <c r="G18" s="144"/>
      <c r="H18" s="138">
        <f t="shared" si="0"/>
        <v>2112</v>
      </c>
      <c r="I18" s="139">
        <f t="shared" si="1"/>
        <v>0</v>
      </c>
      <c r="J18" s="138">
        <f>SUMIF('13_Progress_Track'!$A$2:$A$108,B18,'13_Progress_Track'!$E$2:$E$108)</f>
        <v>0</v>
      </c>
      <c r="K18" s="140">
        <f t="shared" si="2"/>
        <v>0</v>
      </c>
      <c r="L18" s="139">
        <f t="shared" si="6"/>
        <v>0</v>
      </c>
      <c r="M18" s="141">
        <f t="shared" si="7"/>
        <v>0</v>
      </c>
      <c r="N18" s="141" t="str">
        <f ca="1">IFERROR(_xludf.XLOOKUP(B18,'00_SKU_Master'!$B$2:$B$378,'00_SKU_Master'!$E$2:$E$378,""),"")</f>
        <v/>
      </c>
      <c r="O18" s="138">
        <f ca="1">IFERROR(_xludf.XLOOKUP(B18,'00_SKU_Master'!$B$2:$B$378,'00_SKU_Master'!$F$2:$F$378,0),0)</f>
        <v>0</v>
      </c>
      <c r="P18" s="44">
        <f ca="1">IFERROR(_xludf.XLOOKUP(N18,'00_Yield_Rates'!$B$2:$B$33,'00_Yield_Rates'!$E$2:$E$33,0)/100,0)</f>
        <v>0</v>
      </c>
      <c r="Q18">
        <f t="shared" ca="1" si="3"/>
        <v>0</v>
      </c>
      <c r="R18" s="142">
        <f t="shared" ca="1" si="4"/>
        <v>0</v>
      </c>
      <c r="S18">
        <f t="shared" ca="1" si="5"/>
        <v>0</v>
      </c>
    </row>
    <row r="19" spans="2:20">
      <c r="B19" s="136">
        <f>'00_SKU_Master'!B371</f>
        <v>2513</v>
      </c>
      <c r="C19" s="15"/>
      <c r="D19" s="15">
        <v>84</v>
      </c>
      <c r="E19" s="15"/>
      <c r="F19" s="15"/>
      <c r="G19" s="144"/>
      <c r="H19" s="138">
        <f t="shared" si="0"/>
        <v>2513</v>
      </c>
      <c r="I19" s="139">
        <f t="shared" si="1"/>
        <v>84</v>
      </c>
      <c r="J19" s="138">
        <f>SUMIF('13_Progress_Track'!$A$2:$A$108,B19,'13_Progress_Track'!$E$2:$E$108)</f>
        <v>0</v>
      </c>
      <c r="K19" s="140">
        <f t="shared" si="2"/>
        <v>84</v>
      </c>
      <c r="L19" s="139">
        <f t="shared" si="6"/>
        <v>0</v>
      </c>
      <c r="M19" s="141" t="e">
        <f t="shared" si="7"/>
        <v>#DIV/0!</v>
      </c>
      <c r="N19" s="141" t="str">
        <f ca="1">IFERROR(_xludf.XLOOKUP(B19,'00_SKU_Master'!$B$2:$B$378,'00_SKU_Master'!$E$2:$E$378,""),"")</f>
        <v/>
      </c>
      <c r="O19" s="138">
        <f ca="1">IFERROR(_xludf.XLOOKUP(B19,'00_SKU_Master'!$B$2:$B$378,'00_SKU_Master'!$F$2:$F$378,0),0)</f>
        <v>0</v>
      </c>
      <c r="P19" s="44">
        <f ca="1">IFERROR(_xludf.XLOOKUP(N19,'00_Yield_Rates'!$B$2:$B$33,'00_Yield_Rates'!$E$2:$E$33,0)/100,0)</f>
        <v>0</v>
      </c>
      <c r="Q19">
        <f t="shared" ca="1" si="3"/>
        <v>0</v>
      </c>
      <c r="R19" s="142">
        <f t="shared" ca="1" si="4"/>
        <v>0</v>
      </c>
      <c r="S19">
        <f t="shared" ca="1" si="5"/>
        <v>0</v>
      </c>
    </row>
    <row r="20" spans="2:20">
      <c r="B20" s="136">
        <f>'00_SKU_Master'!B372</f>
        <v>7011</v>
      </c>
      <c r="C20" s="15"/>
      <c r="D20" s="15">
        <v>0</v>
      </c>
      <c r="E20" s="15"/>
      <c r="F20" s="15"/>
      <c r="G20" s="144"/>
      <c r="H20" s="138">
        <f t="shared" si="0"/>
        <v>7011</v>
      </c>
      <c r="I20" s="139">
        <f t="shared" si="1"/>
        <v>0</v>
      </c>
      <c r="J20" s="138">
        <f>SUMIF('13_Progress_Track'!$A$2:$A$108,B20,'13_Progress_Track'!$E$2:$E$108)</f>
        <v>0</v>
      </c>
      <c r="K20" s="140">
        <f t="shared" si="2"/>
        <v>0</v>
      </c>
      <c r="L20" s="139">
        <f t="shared" si="6"/>
        <v>0</v>
      </c>
      <c r="M20" s="141">
        <f t="shared" si="7"/>
        <v>0</v>
      </c>
      <c r="N20" s="141" t="str">
        <f ca="1">IFERROR(_xludf.XLOOKUP(B20,'00_SKU_Master'!$B$2:$B$378,'00_SKU_Master'!$E$2:$E$378,""),"")</f>
        <v/>
      </c>
      <c r="O20" s="138">
        <f ca="1">IFERROR(_xludf.XLOOKUP(B20,'00_SKU_Master'!$B$2:$B$378,'00_SKU_Master'!$F$2:$F$378,0),0)</f>
        <v>0</v>
      </c>
      <c r="P20" s="44">
        <f ca="1">IFERROR(_xludf.XLOOKUP(N20,'00_Yield_Rates'!$B$2:$B$33,'00_Yield_Rates'!$E$2:$E$33,0)/100,0)</f>
        <v>0</v>
      </c>
      <c r="Q20">
        <f t="shared" ca="1" si="3"/>
        <v>0</v>
      </c>
      <c r="R20" s="142">
        <f t="shared" ca="1" si="4"/>
        <v>0</v>
      </c>
      <c r="S20">
        <f t="shared" ca="1" si="5"/>
        <v>0</v>
      </c>
    </row>
    <row r="21" spans="2:20">
      <c r="B21" s="136">
        <f>'00_SKU_Master'!B373</f>
        <v>7170</v>
      </c>
      <c r="C21" s="15"/>
      <c r="D21" s="15">
        <v>0</v>
      </c>
      <c r="E21" s="15"/>
      <c r="F21" s="15"/>
      <c r="G21" s="145"/>
      <c r="H21" s="138">
        <f t="shared" si="0"/>
        <v>7170</v>
      </c>
      <c r="I21" s="139">
        <f t="shared" si="1"/>
        <v>0</v>
      </c>
      <c r="J21" s="138">
        <f>SUMIF('13_Progress_Track'!$A$2:$A$108,B21,'13_Progress_Track'!$E$2:$E$108)</f>
        <v>0</v>
      </c>
      <c r="K21" s="140">
        <f t="shared" si="2"/>
        <v>0</v>
      </c>
      <c r="L21" s="139">
        <f t="shared" si="6"/>
        <v>0</v>
      </c>
      <c r="M21" s="141" t="e">
        <f t="shared" si="7"/>
        <v>#DIV/0!</v>
      </c>
      <c r="N21" s="141" t="str">
        <f ca="1">IFERROR(_xludf.XLOOKUP(B21,'00_SKU_Master'!$B$2:$B$378,'00_SKU_Master'!$E$2:$E$378,""),"")</f>
        <v/>
      </c>
      <c r="O21" s="138">
        <f ca="1">IFERROR(_xludf.XLOOKUP(B21,'00_SKU_Master'!$B$2:$B$378,'00_SKU_Master'!$F$2:$F$378,0),0)</f>
        <v>0</v>
      </c>
      <c r="P21" s="44">
        <f ca="1">IFERROR(_xludf.XLOOKUP(N21,'00_Yield_Rates'!$B$2:$B$33,'00_Yield_Rates'!$E$2:$E$33,0)/100,0)</f>
        <v>0</v>
      </c>
      <c r="Q21">
        <f t="shared" ca="1" si="3"/>
        <v>0</v>
      </c>
      <c r="R21" s="142">
        <f t="shared" ca="1" si="4"/>
        <v>0</v>
      </c>
      <c r="S21">
        <f t="shared" ca="1" si="5"/>
        <v>0</v>
      </c>
    </row>
    <row r="22" spans="2:20">
      <c r="B22" s="136">
        <f>'00_SKU_Master'!B374</f>
        <v>7176</v>
      </c>
      <c r="C22" s="15"/>
      <c r="D22" s="15">
        <v>0</v>
      </c>
      <c r="E22" s="15"/>
      <c r="F22" s="15"/>
      <c r="G22" s="145"/>
      <c r="H22" s="138">
        <f t="shared" si="0"/>
        <v>7176</v>
      </c>
      <c r="I22" s="139">
        <f t="shared" si="1"/>
        <v>0</v>
      </c>
      <c r="J22" s="138">
        <f>SUMIF('13_Progress_Track'!$A$2:$A$108,B22,'13_Progress_Track'!$E$2:$E$108)</f>
        <v>0</v>
      </c>
      <c r="K22" s="140">
        <f t="shared" si="2"/>
        <v>0</v>
      </c>
      <c r="L22" s="139">
        <f t="shared" si="6"/>
        <v>0</v>
      </c>
      <c r="M22" s="141" t="e">
        <f t="shared" si="7"/>
        <v>#DIV/0!</v>
      </c>
      <c r="N22" s="141" t="str">
        <f ca="1">IFERROR(_xludf.XLOOKUP(B22,'00_SKU_Master'!$B$2:$B$378,'00_SKU_Master'!$E$2:$E$378,""),"")</f>
        <v/>
      </c>
      <c r="O22" s="138">
        <f ca="1">IFERROR(_xludf.XLOOKUP(B22,'00_SKU_Master'!$B$2:$B$378,'00_SKU_Master'!$F$2:$F$378,0),0)</f>
        <v>0</v>
      </c>
      <c r="P22" s="44">
        <f ca="1">IFERROR(_xludf.XLOOKUP(N22,'00_Yield_Rates'!$B$2:$B$33,'00_Yield_Rates'!$E$2:$E$33,0)/100,0)</f>
        <v>0</v>
      </c>
      <c r="Q22">
        <f t="shared" ca="1" si="3"/>
        <v>0</v>
      </c>
      <c r="R22" s="142">
        <f t="shared" ca="1" si="4"/>
        <v>0</v>
      </c>
      <c r="S22">
        <f t="shared" ca="1" si="5"/>
        <v>0</v>
      </c>
    </row>
    <row r="23" spans="2:20">
      <c r="B23" s="136"/>
      <c r="C23" s="15"/>
      <c r="D23" s="15"/>
      <c r="E23" s="15"/>
      <c r="F23" s="15"/>
      <c r="G23" s="145"/>
      <c r="H23" s="138"/>
      <c r="I23" s="139"/>
      <c r="J23" s="138"/>
      <c r="K23" s="654"/>
      <c r="L23" s="655"/>
      <c r="M23" s="656"/>
      <c r="N23" s="656"/>
      <c r="O23" s="654"/>
      <c r="P23" s="44"/>
      <c r="Q23" s="4"/>
      <c r="R23" s="142"/>
    </row>
    <row r="24" spans="2:20">
      <c r="B24" s="136"/>
      <c r="C24" s="138"/>
      <c r="D24" s="138"/>
      <c r="E24" s="138"/>
      <c r="F24" s="138"/>
      <c r="G24" s="145"/>
      <c r="H24" s="138"/>
      <c r="I24" s="138"/>
      <c r="J24" s="138"/>
      <c r="K24" s="138"/>
      <c r="L24" s="139"/>
      <c r="M24" s="138"/>
      <c r="N24" s="141"/>
      <c r="O24" s="138"/>
      <c r="P24" s="44"/>
      <c r="Q24" s="4"/>
      <c r="R24" s="33"/>
    </row>
    <row r="25" spans="2:20">
      <c r="B25" s="136"/>
      <c r="C25" s="14"/>
      <c r="D25" s="138"/>
      <c r="E25" s="14"/>
      <c r="F25" s="14"/>
      <c r="G25" s="50"/>
      <c r="H25" s="138"/>
      <c r="I25" s="138"/>
      <c r="J25" s="138"/>
      <c r="K25" s="138"/>
      <c r="L25" s="139"/>
      <c r="M25" s="14"/>
      <c r="N25" s="141"/>
      <c r="O25" s="138"/>
      <c r="P25" s="44"/>
      <c r="Q25" s="4"/>
      <c r="R25" s="33"/>
    </row>
    <row r="26" spans="2:20">
      <c r="B26" s="145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Q26" s="22" t="s">
        <v>514</v>
      </c>
    </row>
    <row r="27" spans="2:20">
      <c r="B27" s="146">
        <v>2050</v>
      </c>
      <c r="C27" s="147">
        <v>11.33334516415262</v>
      </c>
      <c r="D27" s="148">
        <v>0.46</v>
      </c>
      <c r="E27" s="14">
        <v>61062</v>
      </c>
      <c r="F27" s="14">
        <v>600</v>
      </c>
      <c r="I27" t="s">
        <v>515</v>
      </c>
      <c r="J27" s="14">
        <v>61062</v>
      </c>
      <c r="K27" s="14"/>
      <c r="L27" s="149">
        <v>1151</v>
      </c>
      <c r="O27" s="15">
        <v>61062</v>
      </c>
      <c r="P27" s="150">
        <f ca="1">SUMIF($O$5:$O$25,O27,$L$5:$L$25)</f>
        <v>0</v>
      </c>
      <c r="Q27" s="151">
        <f ca="1">P27-L27</f>
        <v>-1151</v>
      </c>
      <c r="R27" s="152">
        <f ca="1">Q27/_xlfn.XLOOKUP(O27,$E$27:$E$41,$F$27:$F$41)</f>
        <v>-1.9183333333333332</v>
      </c>
      <c r="T27" s="143"/>
    </row>
    <row r="28" spans="2:20">
      <c r="B28" s="146">
        <v>2051</v>
      </c>
      <c r="C28" s="147">
        <v>10.945225477707011</v>
      </c>
      <c r="D28" s="148">
        <v>0.14000000000000001</v>
      </c>
      <c r="E28" s="14">
        <v>61073</v>
      </c>
      <c r="F28" s="14">
        <v>800</v>
      </c>
      <c r="J28" s="14">
        <v>61073</v>
      </c>
      <c r="K28" s="40"/>
      <c r="L28" s="149">
        <v>2266</v>
      </c>
      <c r="O28" s="15">
        <v>61073</v>
      </c>
      <c r="P28" s="150">
        <f ca="1">SUMIF($O$5:$O$25,O28,$L$5:$L$25)</f>
        <v>0</v>
      </c>
      <c r="Q28" s="151">
        <f ca="1">P28-L28</f>
        <v>-2266</v>
      </c>
      <c r="R28" s="152">
        <f ca="1">Q28/_xlfn.XLOOKUP(O28,$E$27:$E$41,$F$27:$F$41)</f>
        <v>-2.8325</v>
      </c>
    </row>
    <row r="29" spans="2:20">
      <c r="B29" s="146">
        <v>2051</v>
      </c>
      <c r="C29" s="147">
        <v>10.6</v>
      </c>
      <c r="D29" s="148">
        <v>0.14000000000000001</v>
      </c>
      <c r="E29" s="23">
        <v>61073</v>
      </c>
      <c r="F29" s="23">
        <v>800</v>
      </c>
      <c r="J29" s="14">
        <v>61018</v>
      </c>
      <c r="K29" s="40"/>
      <c r="L29" s="149">
        <v>788</v>
      </c>
      <c r="O29" s="15">
        <v>61018</v>
      </c>
      <c r="P29" s="150">
        <f ca="1">SUMIF($O$5:$O$25,O29,$L$5:$L$25)</f>
        <v>0</v>
      </c>
      <c r="Q29" s="151">
        <f ca="1">P29-L29</f>
        <v>-788</v>
      </c>
      <c r="R29" s="152">
        <f ca="1">Q29/_xlfn.XLOOKUP(O29,$E$27:$E$41,$F$27:$F$41)</f>
        <v>-1.3133333333333332</v>
      </c>
    </row>
    <row r="30" spans="2:20">
      <c r="B30" s="146">
        <v>2081</v>
      </c>
      <c r="C30" s="147">
        <v>11.2445375</v>
      </c>
      <c r="D30" s="148">
        <v>0.105</v>
      </c>
      <c r="E30" s="23">
        <v>61018</v>
      </c>
      <c r="F30" s="23">
        <v>600</v>
      </c>
      <c r="J30" s="14" t="s">
        <v>99</v>
      </c>
      <c r="K30" s="14"/>
      <c r="L30" s="14"/>
      <c r="O30" s="153" t="s">
        <v>99</v>
      </c>
      <c r="P30" s="150">
        <f ca="1">SUMIF($O$5:$O$25,O30,$L$5:$L$25)</f>
        <v>0</v>
      </c>
      <c r="Q30" s="151">
        <f ca="1">P30-L30</f>
        <v>0</v>
      </c>
      <c r="R30" s="152">
        <f ca="1">P30/_xlfn.XLOOKUP(O30,$E$27:$E$41,$F$27:$F$41)</f>
        <v>0</v>
      </c>
    </row>
    <row r="31" spans="2:20">
      <c r="B31" s="146">
        <v>2112</v>
      </c>
      <c r="C31" s="147">
        <v>13.5</v>
      </c>
      <c r="D31" s="148">
        <v>0.46</v>
      </c>
      <c r="E31" s="14">
        <v>61062</v>
      </c>
      <c r="F31" s="14">
        <v>800</v>
      </c>
      <c r="J31" s="14">
        <v>200157</v>
      </c>
      <c r="K31" s="23"/>
      <c r="L31" s="14"/>
    </row>
    <row r="32" spans="2:20">
      <c r="B32" s="146">
        <v>2511</v>
      </c>
      <c r="C32" s="147">
        <v>14</v>
      </c>
      <c r="D32" s="148">
        <v>9.5000000000000001E-2</v>
      </c>
      <c r="E32" s="14" t="s">
        <v>99</v>
      </c>
      <c r="F32" s="14">
        <v>600</v>
      </c>
      <c r="L32" s="50"/>
    </row>
    <row r="33" spans="2:16">
      <c r="B33" s="146">
        <v>7011</v>
      </c>
      <c r="C33" s="147">
        <v>9.6</v>
      </c>
      <c r="D33" s="154"/>
      <c r="E33" s="23" t="s">
        <v>516</v>
      </c>
      <c r="F33" s="23">
        <v>600</v>
      </c>
      <c r="J33" s="155" t="s">
        <v>517</v>
      </c>
      <c r="K33" s="23">
        <f>SUMIF(G5:G25,J33,D5:D25)</f>
        <v>0</v>
      </c>
      <c r="L33" s="50"/>
    </row>
    <row r="34" spans="2:16">
      <c r="B34" s="146">
        <v>7113</v>
      </c>
      <c r="C34" s="147">
        <v>12.853</v>
      </c>
      <c r="D34" s="148"/>
      <c r="E34" s="23" t="s">
        <v>516</v>
      </c>
      <c r="F34" s="23">
        <v>600</v>
      </c>
      <c r="J34" s="155" t="s">
        <v>130</v>
      </c>
      <c r="K34" s="23">
        <f>SUMIF(G5:G25,J34,D5:D25)</f>
        <v>0</v>
      </c>
      <c r="L34" s="50"/>
    </row>
    <row r="35" spans="2:16">
      <c r="B35" s="146">
        <v>7301</v>
      </c>
      <c r="C35" s="147">
        <v>12.6</v>
      </c>
      <c r="D35" s="154">
        <v>0.46</v>
      </c>
      <c r="E35" s="23">
        <v>61062</v>
      </c>
      <c r="F35" s="23">
        <v>800</v>
      </c>
      <c r="L35" s="50"/>
    </row>
    <row r="36" spans="2:16">
      <c r="B36" s="146">
        <v>200182</v>
      </c>
      <c r="C36" s="147">
        <v>9.9302222222222234</v>
      </c>
      <c r="D36" s="154">
        <v>0.105</v>
      </c>
      <c r="E36" s="23">
        <v>61018</v>
      </c>
      <c r="F36" s="23">
        <v>600</v>
      </c>
    </row>
    <row r="37" spans="2:16">
      <c r="B37" s="146">
        <v>200183</v>
      </c>
      <c r="C37" s="156">
        <v>9.0926639344262306</v>
      </c>
      <c r="D37" s="154">
        <v>0.46</v>
      </c>
      <c r="E37" s="23">
        <v>61062</v>
      </c>
      <c r="F37" s="23">
        <v>800</v>
      </c>
      <c r="O37" s="157"/>
      <c r="P37" s="157"/>
    </row>
    <row r="38" spans="2:16">
      <c r="B38" s="146">
        <v>200184</v>
      </c>
      <c r="C38" s="156">
        <v>8.982093023255814</v>
      </c>
      <c r="D38" s="154">
        <v>0.14000000000000001</v>
      </c>
      <c r="E38" s="23">
        <v>61073</v>
      </c>
      <c r="F38" s="23">
        <v>800</v>
      </c>
      <c r="O38" s="157"/>
      <c r="P38" s="157"/>
    </row>
    <row r="39" spans="2:16">
      <c r="B39" s="146">
        <v>207526</v>
      </c>
      <c r="C39" s="156">
        <v>12</v>
      </c>
      <c r="D39" s="154">
        <v>0.46</v>
      </c>
      <c r="E39" s="23">
        <v>61062</v>
      </c>
      <c r="F39" s="23">
        <v>800</v>
      </c>
      <c r="O39" s="157"/>
      <c r="P39" s="157"/>
    </row>
    <row r="40" spans="2:16">
      <c r="B40" s="146">
        <v>207527</v>
      </c>
      <c r="C40" s="156">
        <v>12</v>
      </c>
      <c r="D40" s="154">
        <v>0.46</v>
      </c>
      <c r="E40" s="23">
        <v>61062</v>
      </c>
      <c r="F40" s="23">
        <v>800</v>
      </c>
      <c r="P40" s="157"/>
    </row>
    <row r="41" spans="2:16">
      <c r="B41" s="158">
        <v>2513</v>
      </c>
      <c r="C41" s="159"/>
      <c r="D41" s="160"/>
      <c r="E41" s="161"/>
      <c r="F41" s="161"/>
      <c r="P41" s="157"/>
    </row>
    <row r="42" spans="2:16">
      <c r="P42" s="157"/>
    </row>
    <row r="43" spans="2:16">
      <c r="O43" s="157"/>
      <c r="P43" s="15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S328"/>
  <sheetViews>
    <sheetView workbookViewId="0">
      <selection activeCell="S4" sqref="S4"/>
    </sheetView>
  </sheetViews>
  <sheetFormatPr defaultRowHeight="14.4"/>
  <cols>
    <col min="1" max="1" width="39.77734375" customWidth="1"/>
    <col min="2" max="2" width="9.5546875" customWidth="1"/>
    <col min="9" max="9" width="9.5546875" customWidth="1"/>
    <col min="12" max="12" width="9.5546875" customWidth="1"/>
    <col min="14" max="15" width="15.21875" customWidth="1"/>
    <col min="16" max="16" width="8.5546875" customWidth="1"/>
  </cols>
  <sheetData>
    <row r="1" spans="1:19" ht="52.05" customHeight="1">
      <c r="A1" s="162" t="s">
        <v>518</v>
      </c>
      <c r="B1" s="162" t="s">
        <v>1</v>
      </c>
      <c r="C1" s="162" t="s">
        <v>519</v>
      </c>
      <c r="D1" s="162" t="s">
        <v>520</v>
      </c>
      <c r="E1" s="162" t="s">
        <v>521</v>
      </c>
      <c r="F1" s="162" t="s">
        <v>455</v>
      </c>
      <c r="G1" s="162" t="s">
        <v>522</v>
      </c>
      <c r="H1" s="162" t="s">
        <v>523</v>
      </c>
      <c r="I1" s="163" t="s">
        <v>524</v>
      </c>
      <c r="J1" s="162" t="s">
        <v>525</v>
      </c>
      <c r="K1" s="162" t="s">
        <v>526</v>
      </c>
      <c r="L1" s="162" t="s">
        <v>459</v>
      </c>
      <c r="M1" s="162" t="s">
        <v>527</v>
      </c>
      <c r="N1" s="164" t="s">
        <v>4</v>
      </c>
      <c r="O1" t="s">
        <v>5</v>
      </c>
      <c r="P1" t="s">
        <v>510</v>
      </c>
      <c r="Q1" t="s">
        <v>511</v>
      </c>
      <c r="R1" t="s">
        <v>512</v>
      </c>
      <c r="S1" t="s">
        <v>513</v>
      </c>
    </row>
    <row r="2" spans="1:19">
      <c r="A2" s="138" t="str">
        <f>'00_SKU_Master'!J94</f>
        <v>MS LCL BSHB PET8 PP</v>
      </c>
      <c r="B2" s="138">
        <f>'00_SKU_Master'!B94</f>
        <v>260</v>
      </c>
      <c r="C2" s="165">
        <f>_xlfn.XLOOKUP(B2,'02_TrayPack_Order'!$A$2:$A$265,'02_TrayPack_Order'!$C$2:$C$265)</f>
        <v>0</v>
      </c>
      <c r="D2" s="166">
        <f>_xlfn.XLOOKUP(B2,'02_TrayPack_Order'!$A$2:$A$265,'02_TrayPack_Order'!$L$2:$L$265,0)</f>
        <v>0</v>
      </c>
      <c r="E2" s="165">
        <f>SUMIF('13_Progress_Track'!$A$2:$A$108,B2,'13_Progress_Track'!$E$2:$E$108)</f>
        <v>0</v>
      </c>
      <c r="F2" s="165">
        <f t="shared" ref="F2:F65" si="0">IF(E2&gt;(C2+D2),(E2-(C2+D2)),0)</f>
        <v>0</v>
      </c>
      <c r="G2" s="167">
        <f t="shared" ref="G2:G65" si="1">IF(F2&gt;0,0,C2+D2-E2)</f>
        <v>0</v>
      </c>
      <c r="H2" s="138" t="str">
        <f>_xlfn.IFNA(_xlfn.XLOOKUP(B2,'00_SKU_Master'!$B$2:$B$378,'00_SKU_Master'!$C$2:$C$378),"")</f>
        <v>61050#2</v>
      </c>
      <c r="I2" s="138"/>
      <c r="J2" s="14" t="str">
        <f>_xlfn.IFNA(_xlfn.XLOOKUP(B2,'00_SKU_Master'!B$2:B$378,'00_SKU_Master'!H$2:H$378,0),"")</f>
        <v>PET 8</v>
      </c>
      <c r="K2" s="14" t="str">
        <f>_xlfn.IFNA(_xlfn.XLOOKUP(B2,'00_SKU_Master'!B$2:B$378,'00_SKU_Master'!K$2:K$378,0),"")</f>
        <v>Fast</v>
      </c>
      <c r="L2" s="138" t="str">
        <f>_xlfn.XLOOKUP(B2,'00_SKU_Master'!$B$2:$B$378,'00_SKU_Master'!$D$2:$D$378)</f>
        <v>LCL</v>
      </c>
      <c r="M2" s="138">
        <f t="shared" ref="M2:M65" si="2">IF((C2-E2)&lt;0,0,C2-E2)</f>
        <v>0</v>
      </c>
      <c r="N2" t="str">
        <f>IFERROR(_xlfn.XLOOKUP(B2,'00_SKU_Master'!$B$2:$B$378,'00_SKU_Master'!$E$2:$E$378,""),"")</f>
        <v>BSB</v>
      </c>
      <c r="O2">
        <f>IFERROR(_xlfn.XLOOKUP(B2,'00_SKU_Master'!$B$2:$B$378,'00_SKU_Master'!$F$2:$F$378,0),0)</f>
        <v>0</v>
      </c>
      <c r="P2">
        <f>IFERROR(_xlfn.XLOOKUP(N2,'00_Yield_Rates'!$B$2:$B$33,'00_Yield_Rates'!$E$2:$E$33,0)/100,0)</f>
        <v>0.31</v>
      </c>
      <c r="Q2">
        <f>IF(AND(ISNUMBER(M2),ISNUMBER(O2)),M2*O2,0)</f>
        <v>0</v>
      </c>
      <c r="R2">
        <f>IF(AND(ISNUMBER(Q2),P2&gt;0),Q2/P2,0)</f>
        <v>0</v>
      </c>
      <c r="S2">
        <f>IF(R2&gt;0,ROUNDUP(R2/680,1),0)</f>
        <v>0</v>
      </c>
    </row>
    <row r="3" spans="1:19">
      <c r="A3" s="138" t="str">
        <f>'00_SKU_Master'!J95</f>
        <v>MS LEG BA ST</v>
      </c>
      <c r="B3" s="138">
        <f>'00_SKU_Master'!B95</f>
        <v>331</v>
      </c>
      <c r="C3" s="165">
        <f>_xlfn.XLOOKUP(B3,'02_TrayPack_Order'!$A$2:$A$265,'02_TrayPack_Order'!$C$2:$C$265)</f>
        <v>0</v>
      </c>
      <c r="D3" s="166">
        <f>_xlfn.XLOOKUP(B3,'02_TrayPack_Order'!$A$2:$A$265,'02_TrayPack_Order'!$L$2:$L$265,0)</f>
        <v>0</v>
      </c>
      <c r="E3" s="165">
        <f>SUMIF('13_Progress_Track'!$A$2:$A$108,B3,'13_Progress_Track'!$E$2:$E$108)</f>
        <v>0</v>
      </c>
      <c r="F3" s="165">
        <f t="shared" si="0"/>
        <v>0</v>
      </c>
      <c r="G3" s="167">
        <f t="shared" si="1"/>
        <v>0</v>
      </c>
      <c r="H3" s="138">
        <f>_xlfn.IFNA(_xlfn.XLOOKUP(B3,'00_SKU_Master'!$B$2:$B$378,'00_SKU_Master'!$C$2:$C$378),"")</f>
        <v>61061</v>
      </c>
      <c r="I3" s="138"/>
      <c r="J3" s="14" t="str">
        <f>_xlfn.IFNA(_xlfn.XLOOKUP(B3,'00_SKU_Master'!B$2:B$378,'00_SKU_Master'!H$2:H$378,0),"")</f>
        <v>ST 3XP</v>
      </c>
      <c r="K3" s="14" t="str">
        <f>_xlfn.IFNA(_xlfn.XLOOKUP(B3,'00_SKU_Master'!B$2:B$378,'00_SKU_Master'!K$2:K$378,0),"")</f>
        <v>Fast</v>
      </c>
      <c r="L3" s="138" t="str">
        <f>_xlfn.XLOOKUP(B3,'00_SKU_Master'!$B$2:$B$378,'00_SKU_Master'!$D$2:$D$378)</f>
        <v>METRO</v>
      </c>
      <c r="M3" s="138">
        <f t="shared" si="2"/>
        <v>0</v>
      </c>
      <c r="N3" t="str">
        <f>IFERROR(_xlfn.XLOOKUP(B3,'00_SKU_Master'!$B$2:$B$378,'00_SKU_Master'!$E$2:$E$378,""),"")</f>
        <v>BA</v>
      </c>
      <c r="O3">
        <f>IFERROR(_xlfn.XLOOKUP(B3,'00_SKU_Master'!$B$2:$B$378,'00_SKU_Master'!$F$2:$F$378,0),0)</f>
        <v>10.0088994565217</v>
      </c>
      <c r="P3">
        <f>IFERROR(_xlfn.XLOOKUP(N3,'00_Yield_Rates'!$B$2:$B$33,'00_Yield_Rates'!$E$2:$E$33,0)/100,0)</f>
        <v>0.42</v>
      </c>
      <c r="Q3">
        <f t="shared" ref="Q3:Q65" si="3">IF(AND(ISNUMBER(M3),ISNUMBER(O3)),M3*O3,0)</f>
        <v>0</v>
      </c>
      <c r="R3">
        <f t="shared" ref="R3:R65" si="4">IF(AND(ISNUMBER(Q3),P3&gt;0),Q3/P3,0)</f>
        <v>0</v>
      </c>
      <c r="S3">
        <f t="shared" ref="S3:S65" si="5">IF(R3&gt;0,ROUNDUP(R3/680,1),0)</f>
        <v>0</v>
      </c>
    </row>
    <row r="4" spans="1:19">
      <c r="A4" s="138" t="str">
        <f>'00_SKU_Master'!J96</f>
        <v>PB HB ST</v>
      </c>
      <c r="B4" s="138">
        <f>'00_SKU_Master'!B96</f>
        <v>349</v>
      </c>
      <c r="C4" s="165">
        <f>_xlfn.XLOOKUP(B4,'02_TrayPack_Order'!$A$2:$A$265,'02_TrayPack_Order'!$C$2:$C$265)</f>
        <v>0</v>
      </c>
      <c r="D4" s="166">
        <f>_xlfn.XLOOKUP(B4,'02_TrayPack_Order'!$A$2:$A$265,'02_TrayPack_Order'!$L$2:$L$265,0)</f>
        <v>0</v>
      </c>
      <c r="E4" s="165">
        <f>SUMIF('13_Progress_Track'!$A$2:$A$108,B4,'13_Progress_Track'!$E$2:$E$108)</f>
        <v>0</v>
      </c>
      <c r="F4" s="165">
        <f t="shared" si="0"/>
        <v>0</v>
      </c>
      <c r="G4" s="167">
        <f t="shared" si="1"/>
        <v>0</v>
      </c>
      <c r="H4" s="138" t="str">
        <f>_xlfn.IFNA(_xlfn.XLOOKUP(B4,'00_SKU_Master'!$B$2:$B$378,'00_SKU_Master'!$C$2:$C$378),"")</f>
        <v>61040#2</v>
      </c>
      <c r="I4" s="138"/>
      <c r="J4" s="14" t="str">
        <f>_xlfn.IFNA(_xlfn.XLOOKUP(B4,'00_SKU_Master'!B$2:B$378,'00_SKU_Master'!H$2:H$378,0),"")</f>
        <v>ST 3XP</v>
      </c>
      <c r="K4" s="14" t="str">
        <f>_xlfn.IFNA(_xlfn.XLOOKUP(B4,'00_SKU_Master'!B$2:B$378,'00_SKU_Master'!K$2:K$378,0),"")</f>
        <v>Fast</v>
      </c>
      <c r="L4" s="138" t="str">
        <f>_xlfn.XLOOKUP(B4,'00_SKU_Master'!$B$2:$B$378,'00_SKU_Master'!$D$2:$D$378)</f>
        <v>FB</v>
      </c>
      <c r="M4" s="138">
        <f t="shared" si="2"/>
        <v>0</v>
      </c>
      <c r="N4" t="str">
        <f>IFERROR(_xlfn.XLOOKUP(B4,'00_SKU_Master'!$B$2:$B$378,'00_SKU_Master'!$E$2:$E$378,""),"")</f>
        <v>SplitBreast</v>
      </c>
      <c r="O4">
        <f>IFERROR(_xlfn.XLOOKUP(B4,'00_SKU_Master'!$B$2:$B$378,'00_SKU_Master'!$F$2:$F$378,0),0)</f>
        <v>0</v>
      </c>
      <c r="P4">
        <f>IFERROR(_xlfn.XLOOKUP(N4,'00_Yield_Rates'!$B$2:$B$33,'00_Yield_Rates'!$E$2:$E$33,0)/100,0)</f>
        <v>0.43</v>
      </c>
      <c r="Q4">
        <f t="shared" si="3"/>
        <v>0</v>
      </c>
      <c r="R4">
        <f t="shared" si="4"/>
        <v>0</v>
      </c>
      <c r="S4">
        <f t="shared" si="5"/>
        <v>0</v>
      </c>
    </row>
    <row r="5" spans="1:19">
      <c r="A5" s="138" t="str">
        <f>'00_SKU_Master'!J97</f>
        <v>MS BACK ST PP</v>
      </c>
      <c r="B5" s="138">
        <f>'00_SKU_Master'!B97</f>
        <v>484</v>
      </c>
      <c r="C5" s="165">
        <f>_xlfn.XLOOKUP(B5,'02_TrayPack_Order'!$A$2:$A$265,'02_TrayPack_Order'!$C$2:$C$265)</f>
        <v>7</v>
      </c>
      <c r="D5" s="166">
        <f>_xlfn.XLOOKUP(B5,'02_TrayPack_Order'!$A$2:$A$265,'02_TrayPack_Order'!$L$2:$L$265,0)</f>
        <v>0</v>
      </c>
      <c r="E5" s="165">
        <f>SUMIF('13_Progress_Track'!$A$2:$A$108,B5,'13_Progress_Track'!$E$2:$E$108)</f>
        <v>0</v>
      </c>
      <c r="F5" s="165">
        <f t="shared" si="0"/>
        <v>0</v>
      </c>
      <c r="G5" s="167">
        <f t="shared" si="1"/>
        <v>7</v>
      </c>
      <c r="H5" s="138">
        <f>_xlfn.IFNA(_xlfn.XLOOKUP(B5,'00_SKU_Master'!$B$2:$B$378,'00_SKU_Master'!$C$2:$C$378),"")</f>
        <v>61121</v>
      </c>
      <c r="I5" s="138"/>
      <c r="J5" s="14" t="str">
        <f>_xlfn.IFNA(_xlfn.XLOOKUP(B5,'00_SKU_Master'!B$2:B$378,'00_SKU_Master'!H$2:H$378,0),"")</f>
        <v>ST 3XP</v>
      </c>
      <c r="K5" s="14" t="str">
        <f>_xlfn.IFNA(_xlfn.XLOOKUP(B5,'00_SKU_Master'!B$2:B$378,'00_SKU_Master'!K$2:K$378,0),"")</f>
        <v>Fast</v>
      </c>
      <c r="L5" s="138" t="str">
        <f>_xlfn.XLOOKUP(B5,'00_SKU_Master'!$B$2:$B$378,'00_SKU_Master'!$D$2:$D$378)</f>
        <v>FB</v>
      </c>
      <c r="M5" s="138">
        <f t="shared" si="2"/>
        <v>7</v>
      </c>
      <c r="N5" t="str">
        <f>IFERROR(_xlfn.XLOOKUP(B5,'00_SKU_Master'!$B$2:$B$378,'00_SKU_Master'!$E$2:$E$378,""),"")</f>
        <v>BackBone</v>
      </c>
      <c r="O5">
        <f>IFERROR(_xlfn.XLOOKUP(B5,'00_SKU_Master'!$B$2:$B$378,'00_SKU_Master'!$F$2:$F$378,0),0)</f>
        <v>9.4150184653262201</v>
      </c>
      <c r="P5">
        <f>IFERROR(_xlfn.XLOOKUP(N5,'00_Yield_Rates'!$B$2:$B$33,'00_Yield_Rates'!$E$2:$E$33,0)/100,0)</f>
        <v>0</v>
      </c>
      <c r="Q5">
        <f t="shared" si="3"/>
        <v>65.905129257283534</v>
      </c>
      <c r="R5">
        <f t="shared" si="4"/>
        <v>0</v>
      </c>
      <c r="S5">
        <f t="shared" si="5"/>
        <v>0</v>
      </c>
    </row>
    <row r="6" spans="1:19">
      <c r="A6" s="138" t="str">
        <f>'00_SKU_Master'!J98</f>
        <v>MS BSC BSTHIGH LT PP</v>
      </c>
      <c r="B6" s="138">
        <f>'00_SKU_Master'!B98</f>
        <v>784</v>
      </c>
      <c r="C6" s="165">
        <f>_xlfn.XLOOKUP(B6,'02_TrayPack_Order'!$A$2:$A$265,'02_TrayPack_Order'!$C$2:$C$265)</f>
        <v>22</v>
      </c>
      <c r="D6" s="166">
        <f>_xlfn.XLOOKUP(B6,'02_TrayPack_Order'!$A$2:$A$265,'02_TrayPack_Order'!$L$2:$L$265,0)</f>
        <v>0</v>
      </c>
      <c r="E6" s="165">
        <f>SUMIF('13_Progress_Track'!$A$2:$A$108,B6,'13_Progress_Track'!$E$2:$E$108)</f>
        <v>0</v>
      </c>
      <c r="F6" s="165">
        <f t="shared" si="0"/>
        <v>0</v>
      </c>
      <c r="G6" s="167">
        <f t="shared" si="1"/>
        <v>22</v>
      </c>
      <c r="H6" s="138" t="str">
        <f>_xlfn.IFNA(_xlfn.XLOOKUP(B6,'00_SKU_Master'!$B$2:$B$378,'00_SKU_Master'!$C$2:$C$378),"")</f>
        <v>61086#2</v>
      </c>
      <c r="I6" s="138"/>
      <c r="J6" s="14" t="str">
        <f>_xlfn.IFNA(_xlfn.XLOOKUP(B6,'00_SKU_Master'!B$2:B$378,'00_SKU_Master'!H$2:H$378,0),"")</f>
        <v>LT 8XP</v>
      </c>
      <c r="K6" s="14" t="str">
        <f>_xlfn.IFNA(_xlfn.XLOOKUP(B6,'00_SKU_Master'!B$2:B$378,'00_SKU_Master'!K$2:K$378,0),"")</f>
        <v>Slow</v>
      </c>
      <c r="L6" s="138" t="str">
        <f>_xlfn.XLOOKUP(B6,'00_SKU_Master'!$B$2:$B$378,'00_SKU_Master'!$D$2:$D$378)</f>
        <v>FB</v>
      </c>
      <c r="M6" s="138">
        <f t="shared" si="2"/>
        <v>22</v>
      </c>
      <c r="N6" t="str">
        <f>IFERROR(_xlfn.XLOOKUP(B6,'00_SKU_Master'!$B$2:$B$378,'00_SKU_Master'!$E$2:$E$378,""),"")</f>
        <v>ThighMeat</v>
      </c>
      <c r="O6">
        <f>IFERROR(_xlfn.XLOOKUP(B6,'00_SKU_Master'!$B$2:$B$378,'00_SKU_Master'!$F$2:$F$378,0),0)</f>
        <v>8.2634387451454998</v>
      </c>
      <c r="P6">
        <f>IFERROR(_xlfn.XLOOKUP(N6,'00_Yield_Rates'!$B$2:$B$33,'00_Yield_Rates'!$E$2:$E$33,0)/100,0)</f>
        <v>0.105</v>
      </c>
      <c r="Q6">
        <f t="shared" si="3"/>
        <v>181.79565239320101</v>
      </c>
      <c r="R6">
        <f t="shared" si="4"/>
        <v>1731.3871656495335</v>
      </c>
      <c r="S6">
        <f t="shared" si="5"/>
        <v>2.6</v>
      </c>
    </row>
    <row r="7" spans="1:19">
      <c r="A7" s="138" t="str">
        <f>'00_SKU_Master'!J99</f>
        <v>PB BSC HB FT PP 8/BOX</v>
      </c>
      <c r="B7" s="138">
        <f>'00_SKU_Master'!B99</f>
        <v>946</v>
      </c>
      <c r="C7" s="165">
        <f>_xlfn.XLOOKUP(B7,'02_TrayPack_Order'!$A$2:$A$265,'02_TrayPack_Order'!$C$2:$C$265)</f>
        <v>0</v>
      </c>
      <c r="D7" s="166">
        <f>_xlfn.XLOOKUP(B7,'02_TrayPack_Order'!$A$2:$A$265,'02_TrayPack_Order'!$L$2:$L$265,0)</f>
        <v>0</v>
      </c>
      <c r="E7" s="165">
        <f>SUMIF('13_Progress_Track'!$A$2:$A$108,B7,'13_Progress_Track'!$E$2:$E$108)</f>
        <v>0</v>
      </c>
      <c r="F7" s="165">
        <f t="shared" si="0"/>
        <v>0</v>
      </c>
      <c r="G7" s="167">
        <f t="shared" si="1"/>
        <v>0</v>
      </c>
      <c r="H7" s="138" t="str">
        <f>_xlfn.IFNA(_xlfn.XLOOKUP(B7,'00_SKU_Master'!$B$2:$B$378,'00_SKU_Master'!$C$2:$C$378),"")</f>
        <v>61040#2</v>
      </c>
      <c r="I7" s="138"/>
      <c r="J7" s="14" t="str">
        <f>_xlfn.IFNA(_xlfn.XLOOKUP(B7,'00_SKU_Master'!B$2:B$378,'00_SKU_Master'!H$2:H$378,0),"")</f>
        <v>LT 14D</v>
      </c>
      <c r="K7" s="14" t="str">
        <f>_xlfn.IFNA(_xlfn.XLOOKUP(B7,'00_SKU_Master'!B$2:B$378,'00_SKU_Master'!K$2:K$378,0),"")</f>
        <v>Fast</v>
      </c>
      <c r="L7" s="138" t="str">
        <f>_xlfn.XLOOKUP(B7,'00_SKU_Master'!$B$2:$B$378,'00_SKU_Master'!$D$2:$D$378)</f>
        <v>FB</v>
      </c>
      <c r="M7" s="138">
        <f t="shared" si="2"/>
        <v>0</v>
      </c>
      <c r="N7" t="str">
        <f>IFERROR(_xlfn.XLOOKUP(B7,'00_SKU_Master'!$B$2:$B$378,'00_SKU_Master'!$E$2:$E$378,""),"")</f>
        <v>SplitBreast</v>
      </c>
      <c r="O7">
        <f>IFERROR(_xlfn.XLOOKUP(B7,'00_SKU_Master'!$B$2:$B$378,'00_SKU_Master'!$F$2:$F$378,0),0)</f>
        <v>0</v>
      </c>
      <c r="P7">
        <f>IFERROR(_xlfn.XLOOKUP(N7,'00_Yield_Rates'!$B$2:$B$33,'00_Yield_Rates'!$E$2:$E$33,0)/100,0)</f>
        <v>0.43</v>
      </c>
      <c r="Q7">
        <f t="shared" si="3"/>
        <v>0</v>
      </c>
      <c r="R7">
        <f t="shared" si="4"/>
        <v>0</v>
      </c>
      <c r="S7">
        <f t="shared" si="5"/>
        <v>0</v>
      </c>
    </row>
    <row r="8" spans="1:19">
      <c r="A8" s="138" t="str">
        <f>'00_SKU_Master'!J100</f>
        <v>PB BSC DRUM FT PP</v>
      </c>
      <c r="B8" s="138">
        <f>'00_SKU_Master'!B100</f>
        <v>956</v>
      </c>
      <c r="C8" s="165">
        <f>_xlfn.XLOOKUP(B8,'02_TrayPack_Order'!$A$2:$A$265,'02_TrayPack_Order'!$C$2:$C$265)</f>
        <v>0</v>
      </c>
      <c r="D8" s="166">
        <f>_xlfn.XLOOKUP(B8,'02_TrayPack_Order'!$A$2:$A$265,'02_TrayPack_Order'!$L$2:$L$265,0)</f>
        <v>0</v>
      </c>
      <c r="E8" s="165">
        <f>SUMIF('13_Progress_Track'!$A$2:$A$108,B8,'13_Progress_Track'!$E$2:$E$108)</f>
        <v>0</v>
      </c>
      <c r="F8" s="165">
        <f t="shared" si="0"/>
        <v>0</v>
      </c>
      <c r="G8" s="167">
        <f t="shared" si="1"/>
        <v>0</v>
      </c>
      <c r="H8" s="138" t="str">
        <f>_xlfn.IFNA(_xlfn.XLOOKUP(B8,'00_SKU_Master'!$B$2:$B$378,'00_SKU_Master'!$C$2:$C$378),"")</f>
        <v>61072#2</v>
      </c>
      <c r="I8" s="138"/>
      <c r="J8" s="14" t="str">
        <f>_xlfn.IFNA(_xlfn.XLOOKUP(B8,'00_SKU_Master'!B$2:B$378,'00_SKU_Master'!H$2:H$378,0),"")</f>
        <v>LT 14D</v>
      </c>
      <c r="K8" s="14" t="str">
        <f>_xlfn.IFNA(_xlfn.XLOOKUP(B8,'00_SKU_Master'!B$2:B$378,'00_SKU_Master'!K$2:K$378,0),"")</f>
        <v>Fast</v>
      </c>
      <c r="L8" s="138" t="str">
        <f>_xlfn.XLOOKUP(B8,'00_SKU_Master'!$B$2:$B$378,'00_SKU_Master'!$D$2:$D$378)</f>
        <v>FB</v>
      </c>
      <c r="M8" s="138">
        <f t="shared" si="2"/>
        <v>0</v>
      </c>
      <c r="N8" t="str">
        <f>IFERROR(_xlfn.XLOOKUP(B8,'00_SKU_Master'!$B$2:$B$378,'00_SKU_Master'!$E$2:$E$378,""),"")</f>
        <v>Drum</v>
      </c>
      <c r="O8">
        <f>IFERROR(_xlfn.XLOOKUP(B8,'00_SKU_Master'!$B$2:$B$378,'00_SKU_Master'!$F$2:$F$378,0),0)</f>
        <v>0</v>
      </c>
      <c r="P8">
        <f>IFERROR(_xlfn.XLOOKUP(N8,'00_Yield_Rates'!$B$2:$B$33,'00_Yield_Rates'!$E$2:$E$33,0)/100,0)</f>
        <v>0.128</v>
      </c>
      <c r="Q8">
        <f t="shared" si="3"/>
        <v>0</v>
      </c>
      <c r="R8">
        <f t="shared" si="4"/>
        <v>0</v>
      </c>
      <c r="S8">
        <f t="shared" si="5"/>
        <v>0</v>
      </c>
    </row>
    <row r="9" spans="1:19">
      <c r="A9" s="138" t="str">
        <f>'00_SKU_Master'!J101</f>
        <v>PB BSC THIGH FT PP</v>
      </c>
      <c r="B9" s="138">
        <f>'00_SKU_Master'!B101</f>
        <v>957</v>
      </c>
      <c r="C9" s="165">
        <f>_xlfn.XLOOKUP(B9,'02_TrayPack_Order'!$A$2:$A$265,'02_TrayPack_Order'!$C$2:$C$265)</f>
        <v>0</v>
      </c>
      <c r="D9" s="166">
        <f>_xlfn.XLOOKUP(B9,'02_TrayPack_Order'!$A$2:$A$265,'02_TrayPack_Order'!$L$2:$L$265,0)</f>
        <v>0</v>
      </c>
      <c r="E9" s="165">
        <f>SUMIF('13_Progress_Track'!$A$2:$A$108,B9,'13_Progress_Track'!$E$2:$E$108)</f>
        <v>0</v>
      </c>
      <c r="F9" s="165">
        <f t="shared" si="0"/>
        <v>0</v>
      </c>
      <c r="G9" s="167">
        <f t="shared" si="1"/>
        <v>0</v>
      </c>
      <c r="H9" s="138">
        <f>_xlfn.IFNA(_xlfn.XLOOKUP(B9,'00_SKU_Master'!$B$2:$B$378,'00_SKU_Master'!$C$2:$C$378),"")</f>
        <v>61082</v>
      </c>
      <c r="I9" s="138"/>
      <c r="J9" s="14" t="str">
        <f>_xlfn.IFNA(_xlfn.XLOOKUP(B9,'00_SKU_Master'!B$2:B$378,'00_SKU_Master'!H$2:H$378,0),"")</f>
        <v>LT 14D</v>
      </c>
      <c r="K9" s="14" t="str">
        <f>_xlfn.IFNA(_xlfn.XLOOKUP(B9,'00_SKU_Master'!B$2:B$378,'00_SKU_Master'!K$2:K$378,0),"")</f>
        <v>Fast</v>
      </c>
      <c r="L9" s="138" t="str">
        <f>_xlfn.XLOOKUP(B9,'00_SKU_Master'!$B$2:$B$378,'00_SKU_Master'!$D$2:$D$378)</f>
        <v>FB</v>
      </c>
      <c r="M9" s="138">
        <f t="shared" si="2"/>
        <v>0</v>
      </c>
      <c r="N9" t="str">
        <f>IFERROR(_xlfn.XLOOKUP(B9,'00_SKU_Master'!$B$2:$B$378,'00_SKU_Master'!$E$2:$E$378,""),"")</f>
        <v>Thigh</v>
      </c>
      <c r="O9">
        <f>IFERROR(_xlfn.XLOOKUP(B9,'00_SKU_Master'!$B$2:$B$378,'00_SKU_Master'!$F$2:$F$378,0),0)</f>
        <v>0</v>
      </c>
      <c r="P9">
        <f>IFERROR(_xlfn.XLOOKUP(N9,'00_Yield_Rates'!$B$2:$B$33,'00_Yield_Rates'!$E$2:$E$33,0)/100,0)</f>
        <v>0.191</v>
      </c>
      <c r="Q9">
        <f t="shared" si="3"/>
        <v>0</v>
      </c>
      <c r="R9">
        <f t="shared" si="4"/>
        <v>0</v>
      </c>
      <c r="S9">
        <f t="shared" si="5"/>
        <v>0</v>
      </c>
    </row>
    <row r="10" spans="1:19">
      <c r="A10" s="138" t="str">
        <f>'00_SKU_Master'!J102</f>
        <v>PB BACK ST</v>
      </c>
      <c r="B10" s="138">
        <f>'00_SKU_Master'!B102</f>
        <v>1023</v>
      </c>
      <c r="C10" s="165">
        <f>_xlfn.XLOOKUP(B10,'02_TrayPack_Order'!$A$2:$A$265,'02_TrayPack_Order'!$C$2:$C$265)</f>
        <v>0</v>
      </c>
      <c r="D10" s="166">
        <f>_xlfn.XLOOKUP(B10,'02_TrayPack_Order'!$A$2:$A$265,'02_TrayPack_Order'!$L$2:$L$265,0)</f>
        <v>0</v>
      </c>
      <c r="E10" s="165">
        <f>SUMIF('13_Progress_Track'!$A$2:$A$108,B10,'13_Progress_Track'!$E$2:$E$108)</f>
        <v>0</v>
      </c>
      <c r="F10" s="165">
        <f t="shared" si="0"/>
        <v>0</v>
      </c>
      <c r="G10" s="167">
        <f t="shared" si="1"/>
        <v>0</v>
      </c>
      <c r="H10" s="138">
        <f>_xlfn.IFNA(_xlfn.XLOOKUP(B10,'00_SKU_Master'!$B$2:$B$378,'00_SKU_Master'!$C$2:$C$378),"")</f>
        <v>61121</v>
      </c>
      <c r="I10" s="138"/>
      <c r="J10" s="14" t="str">
        <f>_xlfn.IFNA(_xlfn.XLOOKUP(B10,'00_SKU_Master'!B$2:B$378,'00_SKU_Master'!H$2:H$378,0),"")</f>
        <v>ST 3XP</v>
      </c>
      <c r="K10" s="14" t="str">
        <f>_xlfn.IFNA(_xlfn.XLOOKUP(B10,'00_SKU_Master'!B$2:B$378,'00_SKU_Master'!K$2:K$378,0),"")</f>
        <v>Fast</v>
      </c>
      <c r="L10" s="138" t="str">
        <f>_xlfn.XLOOKUP(B10,'00_SKU_Master'!$B$2:$B$378,'00_SKU_Master'!$D$2:$D$378)</f>
        <v>METRO</v>
      </c>
      <c r="M10" s="138">
        <f t="shared" si="2"/>
        <v>0</v>
      </c>
      <c r="N10" t="str">
        <f>IFERROR(_xlfn.XLOOKUP(B10,'00_SKU_Master'!$B$2:$B$378,'00_SKU_Master'!$E$2:$E$378,""),"")</f>
        <v>Backbone</v>
      </c>
      <c r="O10">
        <f>IFERROR(_xlfn.XLOOKUP(B10,'00_SKU_Master'!$B$2:$B$378,'00_SKU_Master'!$F$2:$F$378,0),0)</f>
        <v>9.3701255940257901</v>
      </c>
      <c r="P10">
        <f>IFERROR(_xlfn.XLOOKUP(N10,'00_Yield_Rates'!$B$2:$B$33,'00_Yield_Rates'!$E$2:$E$33,0)/100,0)</f>
        <v>0</v>
      </c>
      <c r="Q10">
        <f t="shared" si="3"/>
        <v>0</v>
      </c>
      <c r="R10">
        <f t="shared" si="4"/>
        <v>0</v>
      </c>
      <c r="S10">
        <f t="shared" si="5"/>
        <v>0</v>
      </c>
    </row>
    <row r="11" spans="1:19">
      <c r="A11" s="138" t="str">
        <f>'00_SKU_Master'!J103</f>
        <v>MS BSC FFTF BSHB AC 3D PP</v>
      </c>
      <c r="B11" s="138">
        <f>'00_SKU_Master'!B103</f>
        <v>1830</v>
      </c>
      <c r="C11" s="165">
        <f>_xlfn.XLOOKUP(B11,'02_TrayPack_Order'!$A$2:$A$265,'02_TrayPack_Order'!$C$2:$C$265)</f>
        <v>24</v>
      </c>
      <c r="D11" s="166">
        <f>_xlfn.XLOOKUP(B11,'02_TrayPack_Order'!$A$2:$A$265,'02_TrayPack_Order'!$L$2:$L$265,0)</f>
        <v>0</v>
      </c>
      <c r="E11" s="165">
        <f>SUMIF('13_Progress_Track'!$A$2:$A$108,B11,'13_Progress_Track'!$E$2:$E$108)</f>
        <v>0</v>
      </c>
      <c r="F11" s="165">
        <f t="shared" si="0"/>
        <v>0</v>
      </c>
      <c r="G11" s="167">
        <f t="shared" si="1"/>
        <v>24</v>
      </c>
      <c r="H11" s="138" t="str">
        <f>_xlfn.IFNA(_xlfn.XLOOKUP(B11,'00_SKU_Master'!$B$2:$B$378,'00_SKU_Master'!$C$2:$C$378),"")</f>
        <v>61050F</v>
      </c>
      <c r="I11" s="138"/>
      <c r="J11" s="14" t="str">
        <f>_xlfn.IFNA(_xlfn.XLOOKUP(B11,'00_SKU_Master'!B$2:B$378,'00_SKU_Master'!H$2:H$378,0),"")</f>
        <v>ST 3D</v>
      </c>
      <c r="K11" s="14" t="str">
        <f>_xlfn.IFNA(_xlfn.XLOOKUP(B11,'00_SKU_Master'!B$2:B$378,'00_SKU_Master'!K$2:K$378,0),"")</f>
        <v>Fast</v>
      </c>
      <c r="L11" s="138" t="str">
        <f>_xlfn.XLOOKUP(B11,'00_SKU_Master'!$B$2:$B$378,'00_SKU_Master'!$D$2:$D$378)</f>
        <v>FB</v>
      </c>
      <c r="M11" s="138">
        <f t="shared" si="2"/>
        <v>24</v>
      </c>
      <c r="N11" t="str">
        <f>IFERROR(_xlfn.XLOOKUP(B11,'00_SKU_Master'!$B$2:$B$378,'00_SKU_Master'!$E$2:$E$378,""),"")</f>
        <v>BSB</v>
      </c>
      <c r="O11">
        <f>IFERROR(_xlfn.XLOOKUP(B11,'00_SKU_Master'!$B$2:$B$378,'00_SKU_Master'!$F$2:$F$378,0),0)</f>
        <v>3.5867373511904699</v>
      </c>
      <c r="P11">
        <f>IFERROR(_xlfn.XLOOKUP(N11,'00_Yield_Rates'!$B$2:$B$33,'00_Yield_Rates'!$E$2:$E$33,0)/100,0)</f>
        <v>0.31</v>
      </c>
      <c r="Q11">
        <f t="shared" si="3"/>
        <v>86.081696428571277</v>
      </c>
      <c r="R11">
        <f t="shared" si="4"/>
        <v>277.68289170506864</v>
      </c>
      <c r="S11">
        <f t="shared" si="5"/>
        <v>0.5</v>
      </c>
    </row>
    <row r="12" spans="1:19">
      <c r="A12" s="138" t="str">
        <f>'00_SKU_Master'!J104</f>
        <v>MS BSC FFTF FRY WOG TI AC 3XP PP</v>
      </c>
      <c r="B12" s="138">
        <f>'00_SKU_Master'!B104</f>
        <v>1831</v>
      </c>
      <c r="C12" s="165">
        <f>_xlfn.XLOOKUP(B12,'02_TrayPack_Order'!$A$2:$A$265,'02_TrayPack_Order'!$C$2:$C$265)</f>
        <v>119</v>
      </c>
      <c r="D12" s="166">
        <f>_xlfn.XLOOKUP(B12,'02_TrayPack_Order'!$A$2:$A$265,'02_TrayPack_Order'!$L$2:$L$265,0)</f>
        <v>0</v>
      </c>
      <c r="E12" s="165">
        <f>SUMIF('13_Progress_Track'!$A$2:$A$108,B12,'13_Progress_Track'!$E$2:$E$108)</f>
        <v>0</v>
      </c>
      <c r="F12" s="165">
        <f t="shared" si="0"/>
        <v>0</v>
      </c>
      <c r="G12" s="167">
        <f t="shared" si="1"/>
        <v>119</v>
      </c>
      <c r="H12" s="138">
        <f>_xlfn.IFNA(_xlfn.XLOOKUP(B12,'00_SKU_Master'!$B$2:$B$378,'00_SKU_Master'!$C$2:$C$378),"")</f>
        <v>203021</v>
      </c>
      <c r="I12" s="138"/>
      <c r="J12" s="14" t="str">
        <f>_xlfn.IFNA(_xlfn.XLOOKUP(B12,'00_SKU_Master'!B$2:B$378,'00_SKU_Master'!H$2:H$378,0),"")</f>
        <v>ST 3XP</v>
      </c>
      <c r="K12" s="14" t="str">
        <f>_xlfn.IFNA(_xlfn.XLOOKUP(B12,'00_SKU_Master'!B$2:B$378,'00_SKU_Master'!K$2:K$378,0),"")</f>
        <v>Fast</v>
      </c>
      <c r="L12" s="138" t="str">
        <f>_xlfn.XLOOKUP(B12,'00_SKU_Master'!$B$2:$B$378,'00_SKU_Master'!$D$2:$D$378)</f>
        <v>FB</v>
      </c>
      <c r="M12" s="138">
        <f t="shared" si="2"/>
        <v>119</v>
      </c>
      <c r="N12" t="str">
        <f>IFERROR(_xlfn.XLOOKUP(B12,'00_SKU_Master'!$B$2:$B$378,'00_SKU_Master'!$E$2:$E$378,""),"")</f>
        <v>Whole Bird-Small</v>
      </c>
      <c r="O12">
        <f>IFERROR(_xlfn.XLOOKUP(B12,'00_SKU_Master'!$B$2:$B$378,'00_SKU_Master'!$F$2:$F$378,0),0)</f>
        <v>7.2381955626574799</v>
      </c>
      <c r="P12">
        <f>IFERROR(_xlfn.XLOOKUP(N12,'00_Yield_Rates'!$B$2:$B$33,'00_Yield_Rates'!$E$2:$E$33,0)/100,0)</f>
        <v>0</v>
      </c>
      <c r="Q12">
        <f t="shared" si="3"/>
        <v>861.34527195624014</v>
      </c>
      <c r="R12">
        <f t="shared" si="4"/>
        <v>0</v>
      </c>
      <c r="S12">
        <f t="shared" si="5"/>
        <v>0</v>
      </c>
    </row>
    <row r="13" spans="1:19">
      <c r="A13" s="138" t="str">
        <f>'00_SKU_Master'!J105</f>
        <v>PB WING LT PP</v>
      </c>
      <c r="B13" s="138">
        <f>'00_SKU_Master'!B105</f>
        <v>1837</v>
      </c>
      <c r="C13" s="165">
        <f>_xlfn.XLOOKUP(B13,'02_TrayPack_Order'!$A$2:$A$265,'02_TrayPack_Order'!$C$2:$C$265)</f>
        <v>0</v>
      </c>
      <c r="D13" s="166">
        <f>_xlfn.XLOOKUP(B13,'02_TrayPack_Order'!$A$2:$A$265,'02_TrayPack_Order'!$L$2:$L$265,0)</f>
        <v>0</v>
      </c>
      <c r="E13" s="165">
        <f>SUMIF('13_Progress_Track'!$A$2:$A$108,B13,'13_Progress_Track'!$E$2:$E$108)</f>
        <v>0</v>
      </c>
      <c r="F13" s="165">
        <f t="shared" si="0"/>
        <v>0</v>
      </c>
      <c r="G13" s="167">
        <f t="shared" si="1"/>
        <v>0</v>
      </c>
      <c r="H13" s="138">
        <f>_xlfn.IFNA(_xlfn.XLOOKUP(B13,'00_SKU_Master'!$B$2:$B$378,'00_SKU_Master'!$C$2:$C$378),"")</f>
        <v>61010</v>
      </c>
      <c r="I13" s="138"/>
      <c r="J13" s="14" t="str">
        <f>_xlfn.IFNA(_xlfn.XLOOKUP(B13,'00_SKU_Master'!B$2:B$378,'00_SKU_Master'!H$2:H$378,0),"")</f>
        <v>LT 8XP</v>
      </c>
      <c r="K13" s="14" t="str">
        <f>_xlfn.IFNA(_xlfn.XLOOKUP(B13,'00_SKU_Master'!B$2:B$378,'00_SKU_Master'!K$2:K$378,0),"")</f>
        <v>Fast</v>
      </c>
      <c r="L13" s="138" t="str">
        <f>_xlfn.XLOOKUP(B13,'00_SKU_Master'!$B$2:$B$378,'00_SKU_Master'!$D$2:$D$378)</f>
        <v>FB</v>
      </c>
      <c r="M13" s="138">
        <f t="shared" si="2"/>
        <v>0</v>
      </c>
      <c r="N13" t="str">
        <f>IFERROR(_xlfn.XLOOKUP(B13,'00_SKU_Master'!$B$2:$B$378,'00_SKU_Master'!$E$2:$E$378,""),"")</f>
        <v>Whole Wing-Large</v>
      </c>
      <c r="O13">
        <f>IFERROR(_xlfn.XLOOKUP(B13,'00_SKU_Master'!$B$2:$B$378,'00_SKU_Master'!$F$2:$F$378,0),0)</f>
        <v>0</v>
      </c>
      <c r="P13">
        <f>IFERROR(_xlfn.XLOOKUP(N13,'00_Yield_Rates'!$B$2:$B$33,'00_Yield_Rates'!$E$2:$E$33,0)/100,0)</f>
        <v>0</v>
      </c>
      <c r="Q13">
        <f t="shared" si="3"/>
        <v>0</v>
      </c>
      <c r="R13">
        <f t="shared" si="4"/>
        <v>0</v>
      </c>
      <c r="S13">
        <f t="shared" si="5"/>
        <v>0</v>
      </c>
    </row>
    <row r="14" spans="1:19">
      <c r="A14" s="138" t="str">
        <f>'00_SKU_Master'!J106</f>
        <v>MS MLF BSHB AC ST</v>
      </c>
      <c r="B14" s="138">
        <f>'00_SKU_Master'!B106</f>
        <v>1838</v>
      </c>
      <c r="C14" s="165">
        <f>_xlfn.XLOOKUP(B14,'02_TrayPack_Order'!$A$2:$A$265,'02_TrayPack_Order'!$C$2:$C$265)</f>
        <v>0</v>
      </c>
      <c r="D14" s="166">
        <f>_xlfn.XLOOKUP(B14,'02_TrayPack_Order'!$A$2:$A$265,'02_TrayPack_Order'!$L$2:$L$265,0)</f>
        <v>0</v>
      </c>
      <c r="E14" s="165">
        <f>SUMIF('13_Progress_Track'!$A$2:$A$108,B14,'13_Progress_Track'!$E$2:$E$108)</f>
        <v>0</v>
      </c>
      <c r="F14" s="165">
        <f t="shared" si="0"/>
        <v>0</v>
      </c>
      <c r="G14" s="167">
        <f t="shared" si="1"/>
        <v>0</v>
      </c>
      <c r="H14" s="138" t="str">
        <f>_xlfn.IFNA(_xlfn.XLOOKUP(B14,'00_SKU_Master'!$B$2:$B$378,'00_SKU_Master'!$C$2:$C$378),"")</f>
        <v>61050F</v>
      </c>
      <c r="I14" s="138"/>
      <c r="J14" s="14" t="str">
        <f>_xlfn.IFNA(_xlfn.XLOOKUP(B14,'00_SKU_Master'!B$2:B$378,'00_SKU_Master'!H$2:H$378,0),"")</f>
        <v>ST 3D</v>
      </c>
      <c r="K14" s="14" t="str">
        <f>_xlfn.IFNA(_xlfn.XLOOKUP(B14,'00_SKU_Master'!B$2:B$378,'00_SKU_Master'!K$2:K$378,0),"")</f>
        <v>Fast</v>
      </c>
      <c r="L14" s="138" t="str">
        <f>_xlfn.XLOOKUP(B14,'00_SKU_Master'!$B$2:$B$378,'00_SKU_Master'!$D$2:$D$378)</f>
        <v>FB</v>
      </c>
      <c r="M14" s="138">
        <f t="shared" si="2"/>
        <v>0</v>
      </c>
      <c r="N14" t="str">
        <f>IFERROR(_xlfn.XLOOKUP(B14,'00_SKU_Master'!$B$2:$B$378,'00_SKU_Master'!$E$2:$E$378,""),"")</f>
        <v>BSB</v>
      </c>
      <c r="O14">
        <f>IFERROR(_xlfn.XLOOKUP(B14,'00_SKU_Master'!$B$2:$B$378,'00_SKU_Master'!$F$2:$F$378,0),0)</f>
        <v>0</v>
      </c>
      <c r="P14">
        <f>IFERROR(_xlfn.XLOOKUP(N14,'00_Yield_Rates'!$B$2:$B$33,'00_Yield_Rates'!$E$2:$E$33,0)/100,0)</f>
        <v>0.31</v>
      </c>
      <c r="Q14">
        <f t="shared" si="3"/>
        <v>0</v>
      </c>
      <c r="R14">
        <f t="shared" si="4"/>
        <v>0</v>
      </c>
      <c r="S14">
        <f t="shared" si="5"/>
        <v>0</v>
      </c>
    </row>
    <row r="15" spans="1:19">
      <c r="A15" s="138" t="str">
        <f>'00_SKU_Master'!J107</f>
        <v>MS MLF FRY WOG AC TI PET</v>
      </c>
      <c r="B15" s="138">
        <f>'00_SKU_Master'!B107</f>
        <v>1839</v>
      </c>
      <c r="C15" s="165">
        <f>_xlfn.XLOOKUP(B15,'02_TrayPack_Order'!$A$2:$A$265,'02_TrayPack_Order'!$C$2:$C$265)</f>
        <v>0</v>
      </c>
      <c r="D15" s="166">
        <f>_xlfn.XLOOKUP(B15,'02_TrayPack_Order'!$A$2:$A$265,'02_TrayPack_Order'!$L$2:$L$265,0)</f>
        <v>0</v>
      </c>
      <c r="E15" s="165">
        <f>SUMIF('13_Progress_Track'!$A$2:$A$108,B15,'13_Progress_Track'!$E$2:$E$108)</f>
        <v>0</v>
      </c>
      <c r="F15" s="165">
        <f t="shared" si="0"/>
        <v>0</v>
      </c>
      <c r="G15" s="167">
        <f t="shared" si="1"/>
        <v>0</v>
      </c>
      <c r="H15" s="138">
        <f>_xlfn.IFNA(_xlfn.XLOOKUP(B15,'00_SKU_Master'!$B$2:$B$378,'00_SKU_Master'!$C$2:$C$378),"")</f>
        <v>203021</v>
      </c>
      <c r="I15" s="138"/>
      <c r="J15" s="14" t="str">
        <f>_xlfn.IFNA(_xlfn.XLOOKUP(B15,'00_SKU_Master'!B$2:B$378,'00_SKU_Master'!H$2:H$378,0),"")</f>
        <v>ST 3XP</v>
      </c>
      <c r="K15" s="14" t="str">
        <f>_xlfn.IFNA(_xlfn.XLOOKUP(B15,'00_SKU_Master'!B$2:B$378,'00_SKU_Master'!K$2:K$378,0),"")</f>
        <v>Fast</v>
      </c>
      <c r="L15" s="138" t="str">
        <f>_xlfn.XLOOKUP(B15,'00_SKU_Master'!$B$2:$B$378,'00_SKU_Master'!$D$2:$D$378)</f>
        <v>FB</v>
      </c>
      <c r="M15" s="138">
        <f t="shared" si="2"/>
        <v>0</v>
      </c>
      <c r="N15" t="str">
        <f>IFERROR(_xlfn.XLOOKUP(B15,'00_SKU_Master'!$B$2:$B$378,'00_SKU_Master'!$E$2:$E$378,""),"")</f>
        <v>Whole Bird-Small</v>
      </c>
      <c r="O15">
        <f>IFERROR(_xlfn.XLOOKUP(B15,'00_SKU_Master'!$B$2:$B$378,'00_SKU_Master'!$F$2:$F$378,0),0)</f>
        <v>0</v>
      </c>
      <c r="P15">
        <f>IFERROR(_xlfn.XLOOKUP(N15,'00_Yield_Rates'!$B$2:$B$33,'00_Yield_Rates'!$E$2:$E$33,0)/100,0)</f>
        <v>0</v>
      </c>
      <c r="Q15">
        <f t="shared" si="3"/>
        <v>0</v>
      </c>
      <c r="R15">
        <f t="shared" si="4"/>
        <v>0</v>
      </c>
      <c r="S15">
        <f t="shared" si="5"/>
        <v>0</v>
      </c>
    </row>
    <row r="16" spans="1:19">
      <c r="A16" s="138" t="str">
        <f>'00_SKU_Master'!J108</f>
        <v>MS MLF HB AC ST</v>
      </c>
      <c r="B16" s="138">
        <f>'00_SKU_Master'!B108</f>
        <v>1842</v>
      </c>
      <c r="C16" s="165">
        <f>_xlfn.XLOOKUP(B16,'02_TrayPack_Order'!$A$2:$A$265,'02_TrayPack_Order'!$C$2:$C$265)</f>
        <v>0</v>
      </c>
      <c r="D16" s="166">
        <f>_xlfn.XLOOKUP(B16,'02_TrayPack_Order'!$A$2:$A$265,'02_TrayPack_Order'!$L$2:$L$265,0)</f>
        <v>0</v>
      </c>
      <c r="E16" s="165">
        <f>SUMIF('13_Progress_Track'!$A$2:$A$108,B16,'13_Progress_Track'!$E$2:$E$108)</f>
        <v>0</v>
      </c>
      <c r="F16" s="165">
        <f t="shared" si="0"/>
        <v>0</v>
      </c>
      <c r="G16" s="167">
        <f t="shared" si="1"/>
        <v>0</v>
      </c>
      <c r="H16" s="138">
        <f>_xlfn.IFNA(_xlfn.XLOOKUP(B16,'00_SKU_Master'!$B$2:$B$378,'00_SKU_Master'!$C$2:$C$378),"")</f>
        <v>61040</v>
      </c>
      <c r="I16" s="138"/>
      <c r="J16" s="14" t="str">
        <f>_xlfn.IFNA(_xlfn.XLOOKUP(B16,'00_SKU_Master'!B$2:B$378,'00_SKU_Master'!H$2:H$378,0),"")</f>
        <v>ST 3D</v>
      </c>
      <c r="K16" s="14" t="str">
        <f>_xlfn.IFNA(_xlfn.XLOOKUP(B16,'00_SKU_Master'!B$2:B$378,'00_SKU_Master'!K$2:K$378,0),"")</f>
        <v>Fast</v>
      </c>
      <c r="L16" s="138" t="str">
        <f>_xlfn.XLOOKUP(B16,'00_SKU_Master'!$B$2:$B$378,'00_SKU_Master'!$D$2:$D$378)</f>
        <v>FB</v>
      </c>
      <c r="M16" s="138">
        <f t="shared" si="2"/>
        <v>0</v>
      </c>
      <c r="N16" t="str">
        <f>IFERROR(_xlfn.XLOOKUP(B16,'00_SKU_Master'!$B$2:$B$378,'00_SKU_Master'!$E$2:$E$378,""),"")</f>
        <v>SplitBreast</v>
      </c>
      <c r="O16">
        <f>IFERROR(_xlfn.XLOOKUP(B16,'00_SKU_Master'!$B$2:$B$378,'00_SKU_Master'!$F$2:$F$378,0),0)</f>
        <v>0</v>
      </c>
      <c r="P16">
        <f>IFERROR(_xlfn.XLOOKUP(N16,'00_Yield_Rates'!$B$2:$B$33,'00_Yield_Rates'!$E$2:$E$33,0)/100,0)</f>
        <v>0.43</v>
      </c>
      <c r="Q16">
        <f t="shared" si="3"/>
        <v>0</v>
      </c>
      <c r="R16">
        <f t="shared" si="4"/>
        <v>0</v>
      </c>
      <c r="S16">
        <f t="shared" si="5"/>
        <v>0</v>
      </c>
    </row>
    <row r="17" spans="1:19">
      <c r="A17" s="138" t="str">
        <f>'00_SKU_Master'!J109</f>
        <v>MS MLF SPL WING AC ST</v>
      </c>
      <c r="B17" s="138">
        <f>'00_SKU_Master'!B109</f>
        <v>1843</v>
      </c>
      <c r="C17" s="165">
        <f>_xlfn.XLOOKUP(B17,'02_TrayPack_Order'!$A$2:$A$265,'02_TrayPack_Order'!$C$2:$C$265)</f>
        <v>0</v>
      </c>
      <c r="D17" s="166">
        <f>_xlfn.XLOOKUP(B17,'02_TrayPack_Order'!$A$2:$A$265,'02_TrayPack_Order'!$L$2:$L$265,0)</f>
        <v>0</v>
      </c>
      <c r="E17" s="165">
        <f>SUMIF('13_Progress_Track'!$A$2:$A$108,B17,'13_Progress_Track'!$E$2:$E$108)</f>
        <v>0</v>
      </c>
      <c r="F17" s="165">
        <f t="shared" si="0"/>
        <v>0</v>
      </c>
      <c r="G17" s="167">
        <f t="shared" si="1"/>
        <v>0</v>
      </c>
      <c r="H17" s="138">
        <f>_xlfn.IFNA(_xlfn.XLOOKUP(B17,'00_SKU_Master'!$B$2:$B$378,'00_SKU_Master'!$C$2:$C$378),"")</f>
        <v>61014</v>
      </c>
      <c r="I17" s="138"/>
      <c r="J17" s="14" t="str">
        <f>_xlfn.IFNA(_xlfn.XLOOKUP(B17,'00_SKU_Master'!B$2:B$378,'00_SKU_Master'!H$2:H$378,0),"")</f>
        <v>ST 3D</v>
      </c>
      <c r="K17" s="14" t="str">
        <f>_xlfn.IFNA(_xlfn.XLOOKUP(B17,'00_SKU_Master'!B$2:B$378,'00_SKU_Master'!K$2:K$378,0),"")</f>
        <v>Slow</v>
      </c>
      <c r="L17" s="138" t="str">
        <f>_xlfn.XLOOKUP(B17,'00_SKU_Master'!$B$2:$B$378,'00_SKU_Master'!$D$2:$D$378)</f>
        <v>FB</v>
      </c>
      <c r="M17" s="138">
        <f t="shared" si="2"/>
        <v>0</v>
      </c>
      <c r="N17" t="str">
        <f>IFERROR(_xlfn.XLOOKUP(B17,'00_SKU_Master'!$B$2:$B$378,'00_SKU_Master'!$E$2:$E$378,""),"")</f>
        <v>SplitWing</v>
      </c>
      <c r="O17">
        <f>IFERROR(_xlfn.XLOOKUP(B17,'00_SKU_Master'!$B$2:$B$378,'00_SKU_Master'!$F$2:$F$378,0),0)</f>
        <v>0</v>
      </c>
      <c r="P17">
        <f>IFERROR(_xlfn.XLOOKUP(N17,'00_Yield_Rates'!$B$2:$B$33,'00_Yield_Rates'!$E$2:$E$33,0)/100,0)</f>
        <v>9.6000000000000002E-2</v>
      </c>
      <c r="Q17">
        <f t="shared" si="3"/>
        <v>0</v>
      </c>
      <c r="R17">
        <f t="shared" si="4"/>
        <v>0</v>
      </c>
      <c r="S17">
        <f t="shared" si="5"/>
        <v>0</v>
      </c>
    </row>
    <row r="18" spans="1:19">
      <c r="A18" s="138" t="str">
        <f>'00_SKU_Master'!J110</f>
        <v>MS FFF 3pc Breast</v>
      </c>
      <c r="B18" s="138">
        <f>'00_SKU_Master'!B110</f>
        <v>1874</v>
      </c>
      <c r="C18" s="165">
        <f>_xlfn.XLOOKUP(B18,'02_TrayPack_Order'!$A$2:$A$265,'02_TrayPack_Order'!$C$2:$C$265)</f>
        <v>0</v>
      </c>
      <c r="D18" s="166">
        <f>_xlfn.XLOOKUP(B18,'02_TrayPack_Order'!$A$2:$A$265,'02_TrayPack_Order'!$L$2:$L$265,0)</f>
        <v>0</v>
      </c>
      <c r="E18" s="165">
        <f>SUMIF('13_Progress_Track'!$A$2:$A$108,B18,'13_Progress_Track'!$E$2:$E$108)</f>
        <v>0</v>
      </c>
      <c r="F18" s="165">
        <f t="shared" si="0"/>
        <v>0</v>
      </c>
      <c r="G18" s="167">
        <f t="shared" si="1"/>
        <v>0</v>
      </c>
      <c r="H18" s="138">
        <f>_xlfn.IFNA(_xlfn.XLOOKUP(B18,'00_SKU_Master'!$B$2:$B$378,'00_SKU_Master'!$C$2:$C$378),"")</f>
        <v>61050</v>
      </c>
      <c r="I18" s="138"/>
      <c r="J18" s="14" t="str">
        <f>_xlfn.IFNA(_xlfn.XLOOKUP(B18,'00_SKU_Master'!B$2:B$378,'00_SKU_Master'!H$2:H$378,0),"")</f>
        <v>ST 3D</v>
      </c>
      <c r="K18" s="14" t="str">
        <f>_xlfn.IFNA(_xlfn.XLOOKUP(B18,'00_SKU_Master'!B$2:B$378,'00_SKU_Master'!K$2:K$378,0),"")</f>
        <v>Fast</v>
      </c>
      <c r="L18" s="138" t="str">
        <f>_xlfn.XLOOKUP(B18,'00_SKU_Master'!$B$2:$B$378,'00_SKU_Master'!$D$2:$D$378)</f>
        <v>FB</v>
      </c>
      <c r="M18" s="138">
        <f t="shared" si="2"/>
        <v>0</v>
      </c>
      <c r="N18" t="str">
        <f>IFERROR(_xlfn.XLOOKUP(B18,'00_SKU_Master'!$B$2:$B$378,'00_SKU_Master'!$E$2:$E$378,""),"")</f>
        <v>BSB</v>
      </c>
      <c r="O18">
        <f>IFERROR(_xlfn.XLOOKUP(B18,'00_SKU_Master'!$B$2:$B$378,'00_SKU_Master'!$F$2:$F$378,0),0)</f>
        <v>0</v>
      </c>
      <c r="P18">
        <f>IFERROR(_xlfn.XLOOKUP(N18,'00_Yield_Rates'!$B$2:$B$33,'00_Yield_Rates'!$E$2:$E$33,0)/100,0)</f>
        <v>0.31</v>
      </c>
      <c r="Q18">
        <f t="shared" si="3"/>
        <v>0</v>
      </c>
      <c r="R18">
        <f t="shared" si="4"/>
        <v>0</v>
      </c>
      <c r="S18">
        <f t="shared" si="5"/>
        <v>0</v>
      </c>
    </row>
    <row r="19" spans="1:19">
      <c r="A19" s="138" t="str">
        <f>'00_SKU_Master'!J111</f>
        <v>MS BSC DRUM 14D PP</v>
      </c>
      <c r="B19" s="138">
        <f>'00_SKU_Master'!B111</f>
        <v>1876</v>
      </c>
      <c r="C19" s="165">
        <f>_xlfn.XLOOKUP(B19,'02_TrayPack_Order'!$A$2:$A$265,'02_TrayPack_Order'!$C$2:$C$265)</f>
        <v>106</v>
      </c>
      <c r="D19" s="166">
        <f>_xlfn.XLOOKUP(B19,'02_TrayPack_Order'!$A$2:$A$265,'02_TrayPack_Order'!$L$2:$L$265,0)</f>
        <v>0</v>
      </c>
      <c r="E19" s="165">
        <f>SUMIF('13_Progress_Track'!$A$2:$A$108,B19,'13_Progress_Track'!$E$2:$E$108)</f>
        <v>0</v>
      </c>
      <c r="F19" s="165">
        <f t="shared" si="0"/>
        <v>0</v>
      </c>
      <c r="G19" s="167">
        <f t="shared" si="1"/>
        <v>106</v>
      </c>
      <c r="H19" s="138" t="str">
        <f>_xlfn.IFNA(_xlfn.XLOOKUP(B19,'00_SKU_Master'!$B$2:$B$378,'00_SKU_Master'!$C$2:$C$378),"")</f>
        <v>61072#2</v>
      </c>
      <c r="I19" s="138"/>
      <c r="J19" s="14" t="str">
        <f>_xlfn.IFNA(_xlfn.XLOOKUP(B19,'00_SKU_Master'!B$2:B$378,'00_SKU_Master'!H$2:H$378,0),"")</f>
        <v>LT 14D</v>
      </c>
      <c r="K19" s="14" t="str">
        <f>_xlfn.IFNA(_xlfn.XLOOKUP(B19,'00_SKU_Master'!B$2:B$378,'00_SKU_Master'!K$2:K$378,0),"")</f>
        <v>Fast</v>
      </c>
      <c r="L19" s="138" t="str">
        <f>_xlfn.XLOOKUP(B19,'00_SKU_Master'!$B$2:$B$378,'00_SKU_Master'!$D$2:$D$378)</f>
        <v>FB</v>
      </c>
      <c r="M19" s="138">
        <f t="shared" si="2"/>
        <v>106</v>
      </c>
      <c r="N19" t="str">
        <f>IFERROR(_xlfn.XLOOKUP(B19,'00_SKU_Master'!$B$2:$B$378,'00_SKU_Master'!$E$2:$E$378,""),"")</f>
        <v>Drum</v>
      </c>
      <c r="O19">
        <f>IFERROR(_xlfn.XLOOKUP(B19,'00_SKU_Master'!$B$2:$B$378,'00_SKU_Master'!$F$2:$F$378,0),0)</f>
        <v>10.624118517364799</v>
      </c>
      <c r="P19">
        <f>IFERROR(_xlfn.XLOOKUP(N19,'00_Yield_Rates'!$B$2:$B$33,'00_Yield_Rates'!$E$2:$E$33,0)/100,0)</f>
        <v>0.128</v>
      </c>
      <c r="Q19">
        <f t="shared" si="3"/>
        <v>1126.1565628406688</v>
      </c>
      <c r="R19">
        <f t="shared" si="4"/>
        <v>8798.0981471927244</v>
      </c>
      <c r="S19">
        <f t="shared" si="5"/>
        <v>13</v>
      </c>
    </row>
    <row r="20" spans="1:19">
      <c r="A20" s="138" t="str">
        <f>'00_SKU_Master'!J112</f>
        <v>MS BSC THIGH 14D PP</v>
      </c>
      <c r="B20" s="138">
        <f>'00_SKU_Master'!B112</f>
        <v>1877</v>
      </c>
      <c r="C20" s="165">
        <f>_xlfn.XLOOKUP(B20,'02_TrayPack_Order'!$A$2:$A$265,'02_TrayPack_Order'!$C$2:$C$265)</f>
        <v>151</v>
      </c>
      <c r="D20" s="166">
        <f>_xlfn.XLOOKUP(B20,'02_TrayPack_Order'!$A$2:$A$265,'02_TrayPack_Order'!$L$2:$L$265,0)</f>
        <v>0</v>
      </c>
      <c r="E20" s="165">
        <f>SUMIF('13_Progress_Track'!$A$2:$A$108,B20,'13_Progress_Track'!$E$2:$E$108)</f>
        <v>0</v>
      </c>
      <c r="F20" s="165">
        <f t="shared" si="0"/>
        <v>0</v>
      </c>
      <c r="G20" s="167">
        <f t="shared" si="1"/>
        <v>151</v>
      </c>
      <c r="H20" s="138">
        <f>_xlfn.IFNA(_xlfn.XLOOKUP(B20,'00_SKU_Master'!$B$2:$B$378,'00_SKU_Master'!$C$2:$C$378),"")</f>
        <v>61082</v>
      </c>
      <c r="I20" s="138"/>
      <c r="J20" s="14" t="str">
        <f>_xlfn.IFNA(_xlfn.XLOOKUP(B20,'00_SKU_Master'!B$2:B$378,'00_SKU_Master'!H$2:H$378,0),"")</f>
        <v>LT 14D</v>
      </c>
      <c r="K20" s="14" t="str">
        <f>_xlfn.IFNA(_xlfn.XLOOKUP(B20,'00_SKU_Master'!B$2:B$378,'00_SKU_Master'!K$2:K$378,0),"")</f>
        <v>Fast</v>
      </c>
      <c r="L20" s="138" t="str">
        <f>_xlfn.XLOOKUP(B20,'00_SKU_Master'!$B$2:$B$378,'00_SKU_Master'!$D$2:$D$378)</f>
        <v>FB</v>
      </c>
      <c r="M20" s="138">
        <f t="shared" si="2"/>
        <v>151</v>
      </c>
      <c r="N20" t="str">
        <f>IFERROR(_xlfn.XLOOKUP(B20,'00_SKU_Master'!$B$2:$B$378,'00_SKU_Master'!$E$2:$E$378,""),"")</f>
        <v>Thigh</v>
      </c>
      <c r="O20">
        <f>IFERROR(_xlfn.XLOOKUP(B20,'00_SKU_Master'!$B$2:$B$378,'00_SKU_Master'!$F$2:$F$378,0),0)</f>
        <v>12.432757646172201</v>
      </c>
      <c r="P20">
        <f>IFERROR(_xlfn.XLOOKUP(N20,'00_Yield_Rates'!$B$2:$B$33,'00_Yield_Rates'!$E$2:$E$33,0)/100,0)</f>
        <v>0.191</v>
      </c>
      <c r="Q20">
        <f t="shared" si="3"/>
        <v>1877.3464045720023</v>
      </c>
      <c r="R20">
        <f t="shared" si="4"/>
        <v>9829.0387673926816</v>
      </c>
      <c r="S20">
        <f t="shared" si="5"/>
        <v>14.5</v>
      </c>
    </row>
    <row r="21" spans="1:19">
      <c r="A21" s="138" t="str">
        <f>'00_SKU_Master'!J113</f>
        <v>MS BSC HB FT PP 8/BOX</v>
      </c>
      <c r="B21" s="138">
        <f>'00_SKU_Master'!B113</f>
        <v>1878</v>
      </c>
      <c r="C21" s="165">
        <f>_xlfn.XLOOKUP(B21,'02_TrayPack_Order'!$A$2:$A$265,'02_TrayPack_Order'!$C$2:$C$265)</f>
        <v>0</v>
      </c>
      <c r="D21" s="166">
        <f>_xlfn.XLOOKUP(B21,'02_TrayPack_Order'!$A$2:$A$265,'02_TrayPack_Order'!$L$2:$L$265,0)</f>
        <v>0</v>
      </c>
      <c r="E21" s="165">
        <f>SUMIF('13_Progress_Track'!$A$2:$A$108,B21,'13_Progress_Track'!$E$2:$E$108)</f>
        <v>0</v>
      </c>
      <c r="F21" s="165">
        <f t="shared" si="0"/>
        <v>0</v>
      </c>
      <c r="G21" s="167">
        <f t="shared" si="1"/>
        <v>0</v>
      </c>
      <c r="H21" s="138" t="str">
        <f>_xlfn.IFNA(_xlfn.XLOOKUP(B21,'00_SKU_Master'!$B$2:$B$378,'00_SKU_Master'!$C$2:$C$378),"")</f>
        <v>61040#2</v>
      </c>
      <c r="I21" s="138"/>
      <c r="J21" s="14" t="str">
        <f>_xlfn.IFNA(_xlfn.XLOOKUP(B21,'00_SKU_Master'!B$2:B$378,'00_SKU_Master'!H$2:H$378,0),"")</f>
        <v>LT 14D</v>
      </c>
      <c r="K21" s="14" t="str">
        <f>_xlfn.IFNA(_xlfn.XLOOKUP(B21,'00_SKU_Master'!B$2:B$378,'00_SKU_Master'!K$2:K$378,0),"")</f>
        <v>Fast</v>
      </c>
      <c r="L21" s="138" t="str">
        <f>_xlfn.XLOOKUP(B21,'00_SKU_Master'!$B$2:$B$378,'00_SKU_Master'!$D$2:$D$378)</f>
        <v>FB</v>
      </c>
      <c r="M21" s="138">
        <f t="shared" si="2"/>
        <v>0</v>
      </c>
      <c r="N21" t="str">
        <f>IFERROR(_xlfn.XLOOKUP(B21,'00_SKU_Master'!$B$2:$B$378,'00_SKU_Master'!$E$2:$E$378,""),"")</f>
        <v>SplitBreast</v>
      </c>
      <c r="O21">
        <f>IFERROR(_xlfn.XLOOKUP(B21,'00_SKU_Master'!$B$2:$B$378,'00_SKU_Master'!$F$2:$F$378,0),0)</f>
        <v>0</v>
      </c>
      <c r="P21">
        <f>IFERROR(_xlfn.XLOOKUP(N21,'00_Yield_Rates'!$B$2:$B$33,'00_Yield_Rates'!$E$2:$E$33,0)/100,0)</f>
        <v>0.43</v>
      </c>
      <c r="Q21">
        <f t="shared" si="3"/>
        <v>0</v>
      </c>
      <c r="R21">
        <f t="shared" si="4"/>
        <v>0</v>
      </c>
      <c r="S21">
        <f t="shared" si="5"/>
        <v>0</v>
      </c>
    </row>
    <row r="22" spans="1:19">
      <c r="A22" s="138" t="str">
        <f>'00_SKU_Master'!J114</f>
        <v>MS BSHB ST</v>
      </c>
      <c r="B22" s="138">
        <f>'00_SKU_Master'!B114</f>
        <v>1881</v>
      </c>
      <c r="C22" s="165">
        <f>_xlfn.XLOOKUP(B22,'02_TrayPack_Order'!$A$2:$A$265,'02_TrayPack_Order'!$C$2:$C$265)</f>
        <v>0</v>
      </c>
      <c r="D22" s="166">
        <f>_xlfn.XLOOKUP(B22,'02_TrayPack_Order'!$A$2:$A$265,'02_TrayPack_Order'!$L$2:$L$265,0)</f>
        <v>0</v>
      </c>
      <c r="E22" s="165">
        <f>SUMIF('13_Progress_Track'!$A$2:$A$108,B22,'13_Progress_Track'!$E$2:$E$108)</f>
        <v>0</v>
      </c>
      <c r="F22" s="165">
        <f t="shared" si="0"/>
        <v>0</v>
      </c>
      <c r="G22" s="167">
        <f t="shared" si="1"/>
        <v>0</v>
      </c>
      <c r="H22" s="138" t="str">
        <f>_xlfn.IFNA(_xlfn.XLOOKUP(B22,'00_SKU_Master'!$B$2:$B$378,'00_SKU_Master'!$C$2:$C$378),"")</f>
        <v>61050#2</v>
      </c>
      <c r="I22" s="138"/>
      <c r="J22" s="14" t="str">
        <f>_xlfn.IFNA(_xlfn.XLOOKUP(B22,'00_SKU_Master'!B$2:B$378,'00_SKU_Master'!H$2:H$378,0),"")</f>
        <v>ST 2HP</v>
      </c>
      <c r="K22" s="14" t="str">
        <f>_xlfn.IFNA(_xlfn.XLOOKUP(B22,'00_SKU_Master'!B$2:B$378,'00_SKU_Master'!K$2:K$378,0),"")</f>
        <v>Fast</v>
      </c>
      <c r="L22" s="138" t="str">
        <f>_xlfn.XLOOKUP(B22,'00_SKU_Master'!$B$2:$B$378,'00_SKU_Master'!$D$2:$D$378)</f>
        <v>FB</v>
      </c>
      <c r="M22" s="138">
        <f t="shared" si="2"/>
        <v>0</v>
      </c>
      <c r="N22" t="str">
        <f>IFERROR(_xlfn.XLOOKUP(B22,'00_SKU_Master'!$B$2:$B$378,'00_SKU_Master'!$E$2:$E$378,""),"")</f>
        <v>BSB</v>
      </c>
      <c r="O22">
        <f>IFERROR(_xlfn.XLOOKUP(B22,'00_SKU_Master'!$B$2:$B$378,'00_SKU_Master'!$F$2:$F$378,0),0)</f>
        <v>0</v>
      </c>
      <c r="P22">
        <f>IFERROR(_xlfn.XLOOKUP(N22,'00_Yield_Rates'!$B$2:$B$33,'00_Yield_Rates'!$E$2:$E$33,0)/100,0)</f>
        <v>0.31</v>
      </c>
      <c r="Q22">
        <f t="shared" si="3"/>
        <v>0</v>
      </c>
      <c r="R22">
        <f t="shared" si="4"/>
        <v>0</v>
      </c>
      <c r="S22">
        <f t="shared" si="5"/>
        <v>0</v>
      </c>
    </row>
    <row r="23" spans="1:19">
      <c r="A23" s="138" t="str">
        <f>'00_SKU_Master'!J115</f>
        <v>PB BSC SKLS HB ST PP BSK</v>
      </c>
      <c r="B23" s="138">
        <f>'00_SKU_Master'!B115</f>
        <v>2030</v>
      </c>
      <c r="C23" s="165">
        <f>_xlfn.XLOOKUP(B23,'02_TrayPack_Order'!$A$2:$A$265,'02_TrayPack_Order'!$C$2:$C$265)</f>
        <v>0</v>
      </c>
      <c r="D23" s="166">
        <f>_xlfn.XLOOKUP(B23,'02_TrayPack_Order'!$A$2:$A$265,'02_TrayPack_Order'!$L$2:$L$265,0)</f>
        <v>0</v>
      </c>
      <c r="E23" s="165">
        <f>SUMIF('13_Progress_Track'!$A$2:$A$108,B23,'13_Progress_Track'!$E$2:$E$108)</f>
        <v>0</v>
      </c>
      <c r="F23" s="165">
        <f t="shared" si="0"/>
        <v>0</v>
      </c>
      <c r="G23" s="167">
        <f t="shared" si="1"/>
        <v>0</v>
      </c>
      <c r="H23" s="138" t="str">
        <f>_xlfn.IFNA(_xlfn.XLOOKUP(B23,'00_SKU_Master'!$B$2:$B$378,'00_SKU_Master'!$C$2:$C$378),"")</f>
        <v>61048#2</v>
      </c>
      <c r="I23" s="138"/>
      <c r="J23" s="14" t="str">
        <f>_xlfn.IFNA(_xlfn.XLOOKUP(B23,'00_SKU_Master'!B$2:B$378,'00_SKU_Master'!H$2:H$378,0),"")</f>
        <v>ST 3XP</v>
      </c>
      <c r="K23" s="14" t="str">
        <f>_xlfn.IFNA(_xlfn.XLOOKUP(B23,'00_SKU_Master'!B$2:B$378,'00_SKU_Master'!K$2:K$378,0),"")</f>
        <v>Fast</v>
      </c>
      <c r="L23" s="138" t="str">
        <f>_xlfn.XLOOKUP(B23,'00_SKU_Master'!$B$2:$B$378,'00_SKU_Master'!$D$2:$D$378)</f>
        <v>FB</v>
      </c>
      <c r="M23" s="138">
        <f t="shared" si="2"/>
        <v>0</v>
      </c>
      <c r="N23" t="str">
        <f>IFERROR(_xlfn.XLOOKUP(B23,'00_SKU_Master'!$B$2:$B$378,'00_SKU_Master'!$E$2:$E$378,""),"")</f>
        <v>SplitBreast</v>
      </c>
      <c r="O23">
        <f>IFERROR(_xlfn.XLOOKUP(B23,'00_SKU_Master'!$B$2:$B$378,'00_SKU_Master'!$F$2:$F$378,0),0)</f>
        <v>0</v>
      </c>
      <c r="P23">
        <f>IFERROR(_xlfn.XLOOKUP(N23,'00_Yield_Rates'!$B$2:$B$33,'00_Yield_Rates'!$E$2:$E$33,0)/100,0)</f>
        <v>0.43</v>
      </c>
      <c r="Q23">
        <f t="shared" si="3"/>
        <v>0</v>
      </c>
      <c r="R23">
        <f t="shared" si="4"/>
        <v>0</v>
      </c>
      <c r="S23">
        <f t="shared" si="5"/>
        <v>0</v>
      </c>
    </row>
    <row r="24" spans="1:19">
      <c r="A24" s="138" t="str">
        <f>'00_SKU_Master'!J116</f>
        <v>MS BSC SKLS HB 8XP PP</v>
      </c>
      <c r="B24" s="138">
        <f>'00_SKU_Master'!B116</f>
        <v>2031</v>
      </c>
      <c r="C24" s="165">
        <f>_xlfn.XLOOKUP(B24,'02_TrayPack_Order'!$A$2:$A$265,'02_TrayPack_Order'!$C$2:$C$265)</f>
        <v>0</v>
      </c>
      <c r="D24" s="166">
        <f>_xlfn.XLOOKUP(B24,'02_TrayPack_Order'!$A$2:$A$265,'02_TrayPack_Order'!$L$2:$L$265,0)</f>
        <v>0</v>
      </c>
      <c r="E24" s="165">
        <f>SUMIF('13_Progress_Track'!$A$2:$A$108,B24,'13_Progress_Track'!$E$2:$E$108)</f>
        <v>0</v>
      </c>
      <c r="F24" s="165">
        <f t="shared" si="0"/>
        <v>0</v>
      </c>
      <c r="G24" s="167">
        <f t="shared" si="1"/>
        <v>0</v>
      </c>
      <c r="H24" s="138" t="str">
        <f>_xlfn.IFNA(_xlfn.XLOOKUP(B24,'00_SKU_Master'!$B$2:$B$378,'00_SKU_Master'!$C$2:$C$378),"")</f>
        <v>61048#2</v>
      </c>
      <c r="I24" s="138"/>
      <c r="J24" s="14" t="str">
        <f>_xlfn.IFNA(_xlfn.XLOOKUP(B24,'00_SKU_Master'!B$2:B$378,'00_SKU_Master'!H$2:H$378,0),"")</f>
        <v>LT 8XP</v>
      </c>
      <c r="K24" s="14" t="str">
        <f>_xlfn.IFNA(_xlfn.XLOOKUP(B24,'00_SKU_Master'!B$2:B$378,'00_SKU_Master'!K$2:K$378,0),"")</f>
        <v>Fast</v>
      </c>
      <c r="L24" s="138" t="str">
        <f>_xlfn.XLOOKUP(B24,'00_SKU_Master'!$B$2:$B$378,'00_SKU_Master'!$D$2:$D$378)</f>
        <v>FB</v>
      </c>
      <c r="M24" s="138">
        <f t="shared" si="2"/>
        <v>0</v>
      </c>
      <c r="N24" t="str">
        <f>IFERROR(_xlfn.XLOOKUP(B24,'00_SKU_Master'!$B$2:$B$378,'00_SKU_Master'!$E$2:$E$378,""),"")</f>
        <v>SplitBreast</v>
      </c>
      <c r="O24">
        <f>IFERROR(_xlfn.XLOOKUP(B24,'00_SKU_Master'!$B$2:$B$378,'00_SKU_Master'!$F$2:$F$378,0),0)</f>
        <v>7.7189243027888397</v>
      </c>
      <c r="P24">
        <f>IFERROR(_xlfn.XLOOKUP(N24,'00_Yield_Rates'!$B$2:$B$33,'00_Yield_Rates'!$E$2:$E$33,0)/100,0)</f>
        <v>0.43</v>
      </c>
      <c r="Q24">
        <f t="shared" si="3"/>
        <v>0</v>
      </c>
      <c r="R24">
        <f t="shared" si="4"/>
        <v>0</v>
      </c>
      <c r="S24">
        <f t="shared" si="5"/>
        <v>0</v>
      </c>
    </row>
    <row r="25" spans="1:19">
      <c r="A25" s="138" t="str">
        <f>'00_SKU_Master'!J117</f>
        <v>MS BSC BSHB LT PP BSK</v>
      </c>
      <c r="B25" s="138">
        <f>'00_SKU_Master'!B117</f>
        <v>2042</v>
      </c>
      <c r="C25" s="165">
        <f>_xlfn.XLOOKUP(B25,'02_TrayPack_Order'!$A$2:$A$265,'02_TrayPack_Order'!$C$2:$C$265)</f>
        <v>0</v>
      </c>
      <c r="D25" s="166">
        <f>_xlfn.XLOOKUP(B25,'02_TrayPack_Order'!$A$2:$A$265,'02_TrayPack_Order'!$L$2:$L$265,0)</f>
        <v>0</v>
      </c>
      <c r="E25" s="165">
        <f>SUMIF('13_Progress_Track'!$A$2:$A$108,B25,'13_Progress_Track'!$E$2:$E$108)</f>
        <v>0</v>
      </c>
      <c r="F25" s="165">
        <f t="shared" si="0"/>
        <v>0</v>
      </c>
      <c r="G25" s="167">
        <f t="shared" si="1"/>
        <v>0</v>
      </c>
      <c r="H25" s="138" t="str">
        <f>_xlfn.IFNA(_xlfn.XLOOKUP(B25,'00_SKU_Master'!$B$2:$B$378,'00_SKU_Master'!$C$2:$C$378),"")</f>
        <v>61050#2</v>
      </c>
      <c r="I25" s="138"/>
      <c r="J25" s="14" t="str">
        <f>_xlfn.IFNA(_xlfn.XLOOKUP(B25,'00_SKU_Master'!B$2:B$378,'00_SKU_Master'!H$2:H$378,0),"")</f>
        <v>LT 8XP</v>
      </c>
      <c r="K25" s="14" t="str">
        <f>_xlfn.IFNA(_xlfn.XLOOKUP(B25,'00_SKU_Master'!B$2:B$378,'00_SKU_Master'!K$2:K$378,0),"")</f>
        <v>Fast</v>
      </c>
      <c r="L25" s="138" t="str">
        <f>_xlfn.XLOOKUP(B25,'00_SKU_Master'!$B$2:$B$378,'00_SKU_Master'!$D$2:$D$378)</f>
        <v>FB</v>
      </c>
      <c r="M25" s="138">
        <f t="shared" si="2"/>
        <v>0</v>
      </c>
      <c r="N25" t="str">
        <f>IFERROR(_xlfn.XLOOKUP(B25,'00_SKU_Master'!$B$2:$B$378,'00_SKU_Master'!$E$2:$E$378,""),"")</f>
        <v>BSB</v>
      </c>
      <c r="O25">
        <f>IFERROR(_xlfn.XLOOKUP(B25,'00_SKU_Master'!$B$2:$B$378,'00_SKU_Master'!$F$2:$F$378,0),0)</f>
        <v>0</v>
      </c>
      <c r="P25">
        <f>IFERROR(_xlfn.XLOOKUP(N25,'00_Yield_Rates'!$B$2:$B$33,'00_Yield_Rates'!$E$2:$E$33,0)/100,0)</f>
        <v>0.31</v>
      </c>
      <c r="Q25">
        <f t="shared" si="3"/>
        <v>0</v>
      </c>
      <c r="R25">
        <f t="shared" si="4"/>
        <v>0</v>
      </c>
      <c r="S25">
        <f t="shared" si="5"/>
        <v>0</v>
      </c>
    </row>
    <row r="26" spans="1:19">
      <c r="A26" s="138" t="str">
        <f>'00_SKU_Master'!J118</f>
        <v>MS BSC BSHB AC 8XP PP</v>
      </c>
      <c r="B26" s="138">
        <f>'00_SKU_Master'!B118</f>
        <v>2043</v>
      </c>
      <c r="C26" s="165">
        <f>_xlfn.XLOOKUP(B26,'02_TrayPack_Order'!$A$2:$A$265,'02_TrayPack_Order'!$C$2:$C$265)</f>
        <v>0</v>
      </c>
      <c r="D26" s="166">
        <f>_xlfn.XLOOKUP(B26,'02_TrayPack_Order'!$A$2:$A$265,'02_TrayPack_Order'!$L$2:$L$265,0)</f>
        <v>0</v>
      </c>
      <c r="E26" s="165">
        <f>SUMIF('13_Progress_Track'!$A$2:$A$108,B26,'13_Progress_Track'!$E$2:$E$108)</f>
        <v>0</v>
      </c>
      <c r="F26" s="165">
        <f t="shared" si="0"/>
        <v>0</v>
      </c>
      <c r="G26" s="167">
        <f t="shared" si="1"/>
        <v>0</v>
      </c>
      <c r="H26" s="138" t="str">
        <f>_xlfn.IFNA(_xlfn.XLOOKUP(B26,'00_SKU_Master'!$B$2:$B$378,'00_SKU_Master'!$C$2:$C$378),"")</f>
        <v>61050#2</v>
      </c>
      <c r="I26" s="138"/>
      <c r="J26" s="14" t="str">
        <f>_xlfn.IFNA(_xlfn.XLOOKUP(B26,'00_SKU_Master'!B$2:B$378,'00_SKU_Master'!H$2:H$378,0),"")</f>
        <v>LT 8XP</v>
      </c>
      <c r="K26" s="14" t="str">
        <f>_xlfn.IFNA(_xlfn.XLOOKUP(B26,'00_SKU_Master'!B$2:B$378,'00_SKU_Master'!K$2:K$378,0),"")</f>
        <v>Fast</v>
      </c>
      <c r="L26" s="138" t="str">
        <f>_xlfn.XLOOKUP(B26,'00_SKU_Master'!$B$2:$B$378,'00_SKU_Master'!$D$2:$D$378)</f>
        <v>FB</v>
      </c>
      <c r="M26" s="138">
        <f t="shared" si="2"/>
        <v>0</v>
      </c>
      <c r="N26" t="str">
        <f>IFERROR(_xlfn.XLOOKUP(B26,'00_SKU_Master'!$B$2:$B$378,'00_SKU_Master'!$E$2:$E$378,""),"")</f>
        <v>BSB</v>
      </c>
      <c r="O26">
        <f>IFERROR(_xlfn.XLOOKUP(B26,'00_SKU_Master'!$B$2:$B$378,'00_SKU_Master'!$F$2:$F$378,0),0)</f>
        <v>9.2752309945413298</v>
      </c>
      <c r="P26">
        <f>IFERROR(_xlfn.XLOOKUP(N26,'00_Yield_Rates'!$B$2:$B$33,'00_Yield_Rates'!$E$2:$E$33,0)/100,0)</f>
        <v>0.31</v>
      </c>
      <c r="Q26">
        <f t="shared" si="3"/>
        <v>0</v>
      </c>
      <c r="R26">
        <f t="shared" si="4"/>
        <v>0</v>
      </c>
      <c r="S26">
        <f t="shared" si="5"/>
        <v>0</v>
      </c>
    </row>
    <row r="27" spans="1:19">
      <c r="A27" s="138" t="str">
        <f>'00_SKU_Master'!J119</f>
        <v>MS BSHB CHUNK 8XP PP</v>
      </c>
      <c r="B27" s="138">
        <f>'00_SKU_Master'!B119</f>
        <v>2044</v>
      </c>
      <c r="C27" s="165">
        <f>_xlfn.XLOOKUP(B27,'02_TrayPack_Order'!$A$2:$A$265,'02_TrayPack_Order'!$C$2:$C$265)</f>
        <v>0</v>
      </c>
      <c r="D27" s="166">
        <f>_xlfn.XLOOKUP(B27,'02_TrayPack_Order'!$A$2:$A$265,'02_TrayPack_Order'!$L$2:$L$265,0)</f>
        <v>0</v>
      </c>
      <c r="E27" s="165">
        <f>SUMIF('13_Progress_Track'!$A$2:$A$108,B27,'13_Progress_Track'!$E$2:$E$108)</f>
        <v>0</v>
      </c>
      <c r="F27" s="165">
        <f t="shared" si="0"/>
        <v>0</v>
      </c>
      <c r="G27" s="167">
        <f t="shared" si="1"/>
        <v>0</v>
      </c>
      <c r="H27" s="138">
        <f>_xlfn.IFNA(_xlfn.XLOOKUP(B27,'00_SKU_Master'!$B$2:$B$378,'00_SKU_Master'!$C$2:$C$378),"")</f>
        <v>61104</v>
      </c>
      <c r="I27" s="138"/>
      <c r="J27" s="14" t="str">
        <f>_xlfn.IFNA(_xlfn.XLOOKUP(B27,'00_SKU_Master'!B$2:B$378,'00_SKU_Master'!H$2:H$378,0),"")</f>
        <v>LT 8XP</v>
      </c>
      <c r="K27" s="14" t="str">
        <f>_xlfn.IFNA(_xlfn.XLOOKUP(B27,'00_SKU_Master'!B$2:B$378,'00_SKU_Master'!K$2:K$378,0),"")</f>
        <v>Fast</v>
      </c>
      <c r="L27" s="138" t="str">
        <f>_xlfn.XLOOKUP(B27,'00_SKU_Master'!$B$2:$B$378,'00_SKU_Master'!$D$2:$D$378)</f>
        <v>FB</v>
      </c>
      <c r="M27" s="138">
        <f t="shared" si="2"/>
        <v>0</v>
      </c>
      <c r="N27" t="str">
        <f>IFERROR(_xlfn.XLOOKUP(B27,'00_SKU_Master'!$B$2:$B$378,'00_SKU_Master'!$E$2:$E$378,""),"")</f>
        <v>BSB</v>
      </c>
      <c r="O27">
        <f>IFERROR(_xlfn.XLOOKUP(B27,'00_SKU_Master'!$B$2:$B$378,'00_SKU_Master'!$F$2:$F$378,0),0)</f>
        <v>7.4353913966206804</v>
      </c>
      <c r="P27">
        <f>IFERROR(_xlfn.XLOOKUP(N27,'00_Yield_Rates'!$B$2:$B$33,'00_Yield_Rates'!$E$2:$E$33,0)/100,0)</f>
        <v>0.31</v>
      </c>
      <c r="Q27">
        <f t="shared" si="3"/>
        <v>0</v>
      </c>
      <c r="R27">
        <f t="shared" si="4"/>
        <v>0</v>
      </c>
      <c r="S27">
        <f t="shared" si="5"/>
        <v>0</v>
      </c>
    </row>
    <row r="28" spans="1:19">
      <c r="A28" s="138" t="str">
        <f>'00_SKU_Master'!J120</f>
        <v>MS BSC DRUM 3XP PP</v>
      </c>
      <c r="B28" s="138">
        <f>'00_SKU_Master'!B120</f>
        <v>2045</v>
      </c>
      <c r="C28" s="165">
        <f>_xlfn.XLOOKUP(B28,'02_TrayPack_Order'!$A$2:$A$265,'02_TrayPack_Order'!$C$2:$C$265)</f>
        <v>23</v>
      </c>
      <c r="D28" s="166">
        <f>_xlfn.XLOOKUP(B28,'02_TrayPack_Order'!$A$2:$A$265,'02_TrayPack_Order'!$L$2:$L$265,0)</f>
        <v>0</v>
      </c>
      <c r="E28" s="165">
        <f>SUMIF('13_Progress_Track'!$A$2:$A$108,B28,'13_Progress_Track'!$E$2:$E$108)</f>
        <v>0</v>
      </c>
      <c r="F28" s="165">
        <f t="shared" si="0"/>
        <v>0</v>
      </c>
      <c r="G28" s="167">
        <f t="shared" si="1"/>
        <v>23</v>
      </c>
      <c r="H28" s="138" t="str">
        <f>_xlfn.IFNA(_xlfn.XLOOKUP(B28,'00_SKU_Master'!$B$2:$B$378,'00_SKU_Master'!$C$2:$C$378),"")</f>
        <v>61072#2</v>
      </c>
      <c r="I28" s="138"/>
      <c r="J28" s="14" t="str">
        <f>_xlfn.IFNA(_xlfn.XLOOKUP(B28,'00_SKU_Master'!B$2:B$378,'00_SKU_Master'!H$2:H$378,0),"")</f>
        <v>ST 3XP</v>
      </c>
      <c r="K28" s="14" t="str">
        <f>_xlfn.IFNA(_xlfn.XLOOKUP(B28,'00_SKU_Master'!B$2:B$378,'00_SKU_Master'!K$2:K$378,0),"")</f>
        <v>Fast</v>
      </c>
      <c r="L28" s="138" t="str">
        <f>_xlfn.XLOOKUP(B28,'00_SKU_Master'!$B$2:$B$378,'00_SKU_Master'!$D$2:$D$378)</f>
        <v>FB</v>
      </c>
      <c r="M28" s="138">
        <f t="shared" si="2"/>
        <v>23</v>
      </c>
      <c r="N28" t="str">
        <f>IFERROR(_xlfn.XLOOKUP(B28,'00_SKU_Master'!$B$2:$B$378,'00_SKU_Master'!$E$2:$E$378,""),"")</f>
        <v>Drum</v>
      </c>
      <c r="O28">
        <f>IFERROR(_xlfn.XLOOKUP(B28,'00_SKU_Master'!$B$2:$B$378,'00_SKU_Master'!$F$2:$F$378,0),0)</f>
        <v>4.8573898916967497</v>
      </c>
      <c r="P28">
        <f>IFERROR(_xlfn.XLOOKUP(N28,'00_Yield_Rates'!$B$2:$B$33,'00_Yield_Rates'!$E$2:$E$33,0)/100,0)</f>
        <v>0.128</v>
      </c>
      <c r="Q28">
        <f t="shared" si="3"/>
        <v>111.71996750902524</v>
      </c>
      <c r="R28">
        <f t="shared" si="4"/>
        <v>872.8122461642597</v>
      </c>
      <c r="S28">
        <f t="shared" si="5"/>
        <v>1.3</v>
      </c>
    </row>
    <row r="29" spans="1:19">
      <c r="A29" s="138" t="str">
        <f>'00_SKU_Master'!J121</f>
        <v>MS BSC THIGH 3XP PP</v>
      </c>
      <c r="B29" s="138">
        <f>'00_SKU_Master'!B121</f>
        <v>2046</v>
      </c>
      <c r="C29" s="165">
        <f>_xlfn.XLOOKUP(B29,'02_TrayPack_Order'!$A$2:$A$265,'02_TrayPack_Order'!$C$2:$C$265)</f>
        <v>46</v>
      </c>
      <c r="D29" s="166">
        <f>_xlfn.XLOOKUP(B29,'02_TrayPack_Order'!$A$2:$A$265,'02_TrayPack_Order'!$L$2:$L$265,0)</f>
        <v>0</v>
      </c>
      <c r="E29" s="165">
        <f>SUMIF('13_Progress_Track'!$A$2:$A$108,B29,'13_Progress_Track'!$E$2:$E$108)</f>
        <v>0</v>
      </c>
      <c r="F29" s="165">
        <f t="shared" si="0"/>
        <v>0</v>
      </c>
      <c r="G29" s="167">
        <f t="shared" si="1"/>
        <v>46</v>
      </c>
      <c r="H29" s="138">
        <f>_xlfn.IFNA(_xlfn.XLOOKUP(B29,'00_SKU_Master'!$B$2:$B$378,'00_SKU_Master'!$C$2:$C$378),"")</f>
        <v>61082</v>
      </c>
      <c r="I29" s="138"/>
      <c r="J29" s="14" t="str">
        <f>_xlfn.IFNA(_xlfn.XLOOKUP(B29,'00_SKU_Master'!B$2:B$378,'00_SKU_Master'!H$2:H$378,0),"")</f>
        <v>ST 3XP</v>
      </c>
      <c r="K29" s="14" t="str">
        <f>_xlfn.IFNA(_xlfn.XLOOKUP(B29,'00_SKU_Master'!B$2:B$378,'00_SKU_Master'!K$2:K$378,0),"")</f>
        <v>Fast</v>
      </c>
      <c r="L29" s="138" t="str">
        <f>_xlfn.XLOOKUP(B29,'00_SKU_Master'!$B$2:$B$378,'00_SKU_Master'!$D$2:$D$378)</f>
        <v>FB</v>
      </c>
      <c r="M29" s="138">
        <f t="shared" si="2"/>
        <v>46</v>
      </c>
      <c r="N29" t="str">
        <f>IFERROR(_xlfn.XLOOKUP(B29,'00_SKU_Master'!$B$2:$B$378,'00_SKU_Master'!$E$2:$E$378,""),"")</f>
        <v>Thigh</v>
      </c>
      <c r="O29">
        <f>IFERROR(_xlfn.XLOOKUP(B29,'00_SKU_Master'!$B$2:$B$378,'00_SKU_Master'!$F$2:$F$378,0),0)</f>
        <v>4.9940774570697801</v>
      </c>
      <c r="P29">
        <f>IFERROR(_xlfn.XLOOKUP(N29,'00_Yield_Rates'!$B$2:$B$33,'00_Yield_Rates'!$E$2:$E$33,0)/100,0)</f>
        <v>0.191</v>
      </c>
      <c r="Q29">
        <f t="shared" si="3"/>
        <v>229.72756302520989</v>
      </c>
      <c r="R29">
        <f t="shared" si="4"/>
        <v>1202.762110079633</v>
      </c>
      <c r="S29">
        <f t="shared" si="5"/>
        <v>1.8</v>
      </c>
    </row>
    <row r="30" spans="1:19">
      <c r="A30" s="138" t="str">
        <f>'00_SKU_Master'!J122</f>
        <v>MS WING 14D PP</v>
      </c>
      <c r="B30" s="138">
        <f>'00_SKU_Master'!B122</f>
        <v>2047</v>
      </c>
      <c r="C30" s="165">
        <f>_xlfn.XLOOKUP(B30,'02_TrayPack_Order'!$A$2:$A$265,'02_TrayPack_Order'!$C$2:$C$265)</f>
        <v>28</v>
      </c>
      <c r="D30" s="166">
        <f>_xlfn.XLOOKUP(B30,'02_TrayPack_Order'!$A$2:$A$265,'02_TrayPack_Order'!$L$2:$L$265,0)</f>
        <v>0</v>
      </c>
      <c r="E30" s="165">
        <f>SUMIF('13_Progress_Track'!$A$2:$A$108,B30,'13_Progress_Track'!$E$2:$E$108)</f>
        <v>0</v>
      </c>
      <c r="F30" s="165">
        <f t="shared" si="0"/>
        <v>0</v>
      </c>
      <c r="G30" s="167">
        <f t="shared" si="1"/>
        <v>28</v>
      </c>
      <c r="H30" s="138">
        <f>_xlfn.IFNA(_xlfn.XLOOKUP(B30,'00_SKU_Master'!$B$2:$B$378,'00_SKU_Master'!$C$2:$C$378),"")</f>
        <v>61010</v>
      </c>
      <c r="I30" s="138"/>
      <c r="J30" s="14" t="str">
        <f>_xlfn.IFNA(_xlfn.XLOOKUP(B30,'00_SKU_Master'!B$2:B$378,'00_SKU_Master'!H$2:H$378,0),"")</f>
        <v>LT 14D</v>
      </c>
      <c r="K30" s="14" t="str">
        <f>_xlfn.IFNA(_xlfn.XLOOKUP(B30,'00_SKU_Master'!B$2:B$378,'00_SKU_Master'!K$2:K$378,0),"")</f>
        <v>Fast</v>
      </c>
      <c r="L30" s="138" t="str">
        <f>_xlfn.XLOOKUP(B30,'00_SKU_Master'!$B$2:$B$378,'00_SKU_Master'!$D$2:$D$378)</f>
        <v>FB</v>
      </c>
      <c r="M30" s="138">
        <f t="shared" si="2"/>
        <v>28</v>
      </c>
      <c r="N30" t="str">
        <f>IFERROR(_xlfn.XLOOKUP(B30,'00_SKU_Master'!$B$2:$B$378,'00_SKU_Master'!$E$2:$E$378,""),"")</f>
        <v>Whole Wing-14D</v>
      </c>
      <c r="O30">
        <f>IFERROR(_xlfn.XLOOKUP(B30,'00_SKU_Master'!$B$2:$B$378,'00_SKU_Master'!$F$2:$F$378,0),0)</f>
        <v>9.7596119336025104</v>
      </c>
      <c r="P30">
        <f>IFERROR(_xlfn.XLOOKUP(N30,'00_Yield_Rates'!$B$2:$B$33,'00_Yield_Rates'!$E$2:$E$33,0)/100,0)</f>
        <v>0</v>
      </c>
      <c r="Q30">
        <f t="shared" si="3"/>
        <v>273.26913414087028</v>
      </c>
      <c r="R30">
        <f t="shared" si="4"/>
        <v>0</v>
      </c>
      <c r="S30">
        <f t="shared" si="5"/>
        <v>0</v>
      </c>
    </row>
    <row r="31" spans="1:19">
      <c r="A31" s="138" t="str">
        <f>'00_SKU_Master'!J123</f>
        <v>MB MET DRUM 8XP</v>
      </c>
      <c r="B31" s="138">
        <f>'00_SKU_Master'!B123</f>
        <v>2060</v>
      </c>
      <c r="C31" s="165">
        <f>_xlfn.XLOOKUP(B31,'02_TrayPack_Order'!$A$2:$A$265,'02_TrayPack_Order'!$C$2:$C$265)</f>
        <v>120</v>
      </c>
      <c r="D31" s="166">
        <f>_xlfn.XLOOKUP(B31,'02_TrayPack_Order'!$A$2:$A$265,'02_TrayPack_Order'!$L$2:$L$265,0)</f>
        <v>0</v>
      </c>
      <c r="E31" s="165">
        <f>SUMIF('13_Progress_Track'!$A$2:$A$108,B31,'13_Progress_Track'!$E$2:$E$108)</f>
        <v>121</v>
      </c>
      <c r="F31" s="165">
        <f t="shared" si="0"/>
        <v>1</v>
      </c>
      <c r="G31" s="167">
        <f t="shared" si="1"/>
        <v>0</v>
      </c>
      <c r="H31" s="138" t="str">
        <f>_xlfn.IFNA(_xlfn.XLOOKUP(B31,'00_SKU_Master'!$B$2:$B$378,'00_SKU_Master'!$C$2:$C$378),"")</f>
        <v>61072#2</v>
      </c>
      <c r="I31" s="138"/>
      <c r="J31" s="14" t="str">
        <f>_xlfn.IFNA(_xlfn.XLOOKUP(B31,'00_SKU_Master'!B$2:B$378,'00_SKU_Master'!H$2:H$378,0),"")</f>
        <v>LT 8XP</v>
      </c>
      <c r="K31" s="14" t="str">
        <f>_xlfn.IFNA(_xlfn.XLOOKUP(B31,'00_SKU_Master'!B$2:B$378,'00_SKU_Master'!K$2:K$378,0),"")</f>
        <v>Fast</v>
      </c>
      <c r="L31" s="138" t="str">
        <f>_xlfn.XLOOKUP(B31,'00_SKU_Master'!$B$2:$B$378,'00_SKU_Master'!$D$2:$D$378)</f>
        <v>METRO</v>
      </c>
      <c r="M31" s="138">
        <f t="shared" si="2"/>
        <v>0</v>
      </c>
      <c r="N31" t="str">
        <f>IFERROR(_xlfn.XLOOKUP(B31,'00_SKU_Master'!$B$2:$B$378,'00_SKU_Master'!$E$2:$E$378,""),"")</f>
        <v>Drum</v>
      </c>
      <c r="O31">
        <f>IFERROR(_xlfn.XLOOKUP(B31,'00_SKU_Master'!$B$2:$B$378,'00_SKU_Master'!$F$2:$F$378,0),0)</f>
        <v>8.0399191303195003</v>
      </c>
      <c r="P31">
        <f>IFERROR(_xlfn.XLOOKUP(N31,'00_Yield_Rates'!$B$2:$B$33,'00_Yield_Rates'!$E$2:$E$33,0)/100,0)</f>
        <v>0.128</v>
      </c>
      <c r="Q31">
        <f t="shared" si="3"/>
        <v>0</v>
      </c>
      <c r="R31">
        <f t="shared" si="4"/>
        <v>0</v>
      </c>
      <c r="S31">
        <f t="shared" si="5"/>
        <v>0</v>
      </c>
    </row>
    <row r="32" spans="1:19">
      <c r="A32" s="138" t="str">
        <f>'00_SKU_Master'!J124</f>
        <v>MB MET THIGH 8XP</v>
      </c>
      <c r="B32" s="138">
        <f>'00_SKU_Master'!B124</f>
        <v>2061</v>
      </c>
      <c r="C32" s="165">
        <f>_xlfn.XLOOKUP(B32,'02_TrayPack_Order'!$A$2:$A$265,'02_TrayPack_Order'!$C$2:$C$265)</f>
        <v>180</v>
      </c>
      <c r="D32" s="166">
        <f>_xlfn.XLOOKUP(B32,'02_TrayPack_Order'!$A$2:$A$265,'02_TrayPack_Order'!$L$2:$L$265,0)</f>
        <v>0</v>
      </c>
      <c r="E32" s="165">
        <f>SUMIF('13_Progress_Track'!$A$2:$A$108,B32,'13_Progress_Track'!$E$2:$E$108)</f>
        <v>51</v>
      </c>
      <c r="F32" s="165">
        <f t="shared" si="0"/>
        <v>0</v>
      </c>
      <c r="G32" s="167">
        <f t="shared" si="1"/>
        <v>129</v>
      </c>
      <c r="H32" s="138">
        <f>_xlfn.IFNA(_xlfn.XLOOKUP(B32,'00_SKU_Master'!$B$2:$B$378,'00_SKU_Master'!$C$2:$C$378),"")</f>
        <v>61082</v>
      </c>
      <c r="I32" s="138"/>
      <c r="J32" s="14" t="str">
        <f>_xlfn.IFNA(_xlfn.XLOOKUP(B32,'00_SKU_Master'!B$2:B$378,'00_SKU_Master'!H$2:H$378,0),"")</f>
        <v>LT 8XP</v>
      </c>
      <c r="K32" s="14" t="str">
        <f>_xlfn.IFNA(_xlfn.XLOOKUP(B32,'00_SKU_Master'!B$2:B$378,'00_SKU_Master'!K$2:K$378,0),"")</f>
        <v>Fast</v>
      </c>
      <c r="L32" s="138" t="str">
        <f>_xlfn.XLOOKUP(B32,'00_SKU_Master'!$B$2:$B$378,'00_SKU_Master'!$D$2:$D$378)</f>
        <v>METRO</v>
      </c>
      <c r="M32" s="138">
        <f t="shared" si="2"/>
        <v>129</v>
      </c>
      <c r="N32" t="str">
        <f>IFERROR(_xlfn.XLOOKUP(B32,'00_SKU_Master'!$B$2:$B$378,'00_SKU_Master'!$E$2:$E$378,""),"")</f>
        <v>Thigh</v>
      </c>
      <c r="O32">
        <f>IFERROR(_xlfn.XLOOKUP(B32,'00_SKU_Master'!$B$2:$B$378,'00_SKU_Master'!$F$2:$F$378,0),0)</f>
        <v>9.9633748355096596</v>
      </c>
      <c r="P32">
        <f>IFERROR(_xlfn.XLOOKUP(N32,'00_Yield_Rates'!$B$2:$B$33,'00_Yield_Rates'!$E$2:$E$33,0)/100,0)</f>
        <v>0.191</v>
      </c>
      <c r="Q32">
        <f t="shared" si="3"/>
        <v>1285.2753537807462</v>
      </c>
      <c r="R32">
        <f t="shared" si="4"/>
        <v>6729.1903339306082</v>
      </c>
      <c r="S32">
        <f t="shared" si="5"/>
        <v>9.9</v>
      </c>
    </row>
    <row r="33" spans="1:19">
      <c r="A33" s="138" t="str">
        <f>'00_SKU_Master'!J125</f>
        <v>MS MET SKLS HB 8XP</v>
      </c>
      <c r="B33" s="138">
        <f>'00_SKU_Master'!B125</f>
        <v>2062</v>
      </c>
      <c r="C33" s="165">
        <f>_xlfn.XLOOKUP(B33,'02_TrayPack_Order'!$A$2:$A$265,'02_TrayPack_Order'!$C$2:$C$265)</f>
        <v>0</v>
      </c>
      <c r="D33" s="166">
        <f>_xlfn.XLOOKUP(B33,'02_TrayPack_Order'!$A$2:$A$265,'02_TrayPack_Order'!$L$2:$L$265,0)</f>
        <v>0</v>
      </c>
      <c r="E33" s="165">
        <f>SUMIF('13_Progress_Track'!$A$2:$A$108,B33,'13_Progress_Track'!$E$2:$E$108)</f>
        <v>0</v>
      </c>
      <c r="F33" s="165">
        <f t="shared" si="0"/>
        <v>0</v>
      </c>
      <c r="G33" s="167">
        <f t="shared" si="1"/>
        <v>0</v>
      </c>
      <c r="H33" s="138" t="str">
        <f>_xlfn.IFNA(_xlfn.XLOOKUP(B33,'00_SKU_Master'!$B$2:$B$378,'00_SKU_Master'!$C$2:$C$378),"")</f>
        <v>61048#2</v>
      </c>
      <c r="I33" s="138"/>
      <c r="J33" s="14" t="str">
        <f>_xlfn.IFNA(_xlfn.XLOOKUP(B33,'00_SKU_Master'!B$2:B$378,'00_SKU_Master'!H$2:H$378,0),"")</f>
        <v>LT 8XP</v>
      </c>
      <c r="K33" s="14" t="str">
        <f>_xlfn.IFNA(_xlfn.XLOOKUP(B33,'00_SKU_Master'!B$2:B$378,'00_SKU_Master'!K$2:K$378,0),"")</f>
        <v>Fast</v>
      </c>
      <c r="L33" s="138" t="str">
        <f>_xlfn.XLOOKUP(B33,'00_SKU_Master'!$B$2:$B$378,'00_SKU_Master'!$D$2:$D$378)</f>
        <v>METRO</v>
      </c>
      <c r="M33" s="138">
        <f t="shared" si="2"/>
        <v>0</v>
      </c>
      <c r="N33" t="str">
        <f>IFERROR(_xlfn.XLOOKUP(B33,'00_SKU_Master'!$B$2:$B$378,'00_SKU_Master'!$E$2:$E$378,""),"")</f>
        <v>SplitBreast</v>
      </c>
      <c r="O33">
        <f>IFERROR(_xlfn.XLOOKUP(B33,'00_SKU_Master'!$B$2:$B$378,'00_SKU_Master'!$F$2:$F$378,0),0)</f>
        <v>7.8332457786116301</v>
      </c>
      <c r="P33">
        <f>IFERROR(_xlfn.XLOOKUP(N33,'00_Yield_Rates'!$B$2:$B$33,'00_Yield_Rates'!$E$2:$E$33,0)/100,0)</f>
        <v>0.43</v>
      </c>
      <c r="Q33">
        <f t="shared" si="3"/>
        <v>0</v>
      </c>
      <c r="R33">
        <f t="shared" si="4"/>
        <v>0</v>
      </c>
      <c r="S33">
        <f t="shared" si="5"/>
        <v>0</v>
      </c>
    </row>
    <row r="34" spans="1:19">
      <c r="A34" s="138" t="str">
        <f>'00_SKU_Master'!J126</f>
        <v>MS MET FRY WOG TI 3XP</v>
      </c>
      <c r="B34" s="138">
        <f>'00_SKU_Master'!B126</f>
        <v>2063</v>
      </c>
      <c r="C34" s="165">
        <f>_xlfn.XLOOKUP(B34,'02_TrayPack_Order'!$A$2:$A$265,'02_TrayPack_Order'!$C$2:$C$265)</f>
        <v>280</v>
      </c>
      <c r="D34" s="166">
        <f>_xlfn.XLOOKUP(B34,'02_TrayPack_Order'!$A$2:$A$265,'02_TrayPack_Order'!$L$2:$L$265,0)</f>
        <v>0</v>
      </c>
      <c r="E34" s="165">
        <f>SUMIF('13_Progress_Track'!$A$2:$A$108,B34,'13_Progress_Track'!$E$2:$E$108)</f>
        <v>0</v>
      </c>
      <c r="F34" s="165">
        <f t="shared" si="0"/>
        <v>0</v>
      </c>
      <c r="G34" s="167">
        <f t="shared" si="1"/>
        <v>280</v>
      </c>
      <c r="H34" s="138">
        <f>_xlfn.IFNA(_xlfn.XLOOKUP(B34,'00_SKU_Master'!$B$2:$B$378,'00_SKU_Master'!$C$2:$C$378),"")</f>
        <v>203891</v>
      </c>
      <c r="I34" s="138"/>
      <c r="J34" s="14" t="str">
        <f>_xlfn.IFNA(_xlfn.XLOOKUP(B34,'00_SKU_Master'!B$2:B$378,'00_SKU_Master'!H$2:H$378,0),"")</f>
        <v>ST 3XP</v>
      </c>
      <c r="K34" s="14" t="str">
        <f>_xlfn.IFNA(_xlfn.XLOOKUP(B34,'00_SKU_Master'!B$2:B$378,'00_SKU_Master'!K$2:K$378,0),"")</f>
        <v>Fast</v>
      </c>
      <c r="L34" s="138" t="str">
        <f>_xlfn.XLOOKUP(B34,'00_SKU_Master'!$B$2:$B$378,'00_SKU_Master'!$D$2:$D$378)</f>
        <v>METRO</v>
      </c>
      <c r="M34" s="138">
        <f t="shared" si="2"/>
        <v>280</v>
      </c>
      <c r="N34" t="str">
        <f>IFERROR(_xlfn.XLOOKUP(B34,'00_SKU_Master'!$B$2:$B$378,'00_SKU_Master'!$E$2:$E$378,""),"")</f>
        <v>Whole Bird-Small</v>
      </c>
      <c r="O34">
        <f>IFERROR(_xlfn.XLOOKUP(B34,'00_SKU_Master'!$B$2:$B$378,'00_SKU_Master'!$F$2:$F$378,0),0)</f>
        <v>8.9851691445808992</v>
      </c>
      <c r="P34">
        <f>IFERROR(_xlfn.XLOOKUP(N34,'00_Yield_Rates'!$B$2:$B$33,'00_Yield_Rates'!$E$2:$E$33,0)/100,0)</f>
        <v>0</v>
      </c>
      <c r="Q34">
        <f t="shared" si="3"/>
        <v>2515.8473604826518</v>
      </c>
      <c r="R34">
        <f t="shared" si="4"/>
        <v>0</v>
      </c>
      <c r="S34">
        <f t="shared" si="5"/>
        <v>0</v>
      </c>
    </row>
    <row r="35" spans="1:19">
      <c r="A35" s="138" t="str">
        <f>'00_SKU_Master'!J127</f>
        <v>MS MET LEG BA 8XP</v>
      </c>
      <c r="B35" s="138">
        <f>'00_SKU_Master'!B127</f>
        <v>2064</v>
      </c>
      <c r="C35" s="165">
        <f>_xlfn.XLOOKUP(B35,'02_TrayPack_Order'!$A$2:$A$265,'02_TrayPack_Order'!$C$2:$C$265)</f>
        <v>160</v>
      </c>
      <c r="D35" s="166">
        <f>_xlfn.XLOOKUP(B35,'02_TrayPack_Order'!$A$2:$A$265,'02_TrayPack_Order'!$L$2:$L$265,0)</f>
        <v>0</v>
      </c>
      <c r="E35" s="165">
        <f>SUMIF('13_Progress_Track'!$A$2:$A$108,B35,'13_Progress_Track'!$E$2:$E$108)</f>
        <v>0</v>
      </c>
      <c r="F35" s="165">
        <f t="shared" si="0"/>
        <v>0</v>
      </c>
      <c r="G35" s="167">
        <f t="shared" si="1"/>
        <v>160</v>
      </c>
      <c r="H35" s="138">
        <f>_xlfn.IFNA(_xlfn.XLOOKUP(B35,'00_SKU_Master'!$B$2:$B$378,'00_SKU_Master'!$C$2:$C$378),"")</f>
        <v>61061</v>
      </c>
      <c r="I35" s="138"/>
      <c r="J35" s="14" t="str">
        <f>_xlfn.IFNA(_xlfn.XLOOKUP(B35,'00_SKU_Master'!B$2:B$378,'00_SKU_Master'!H$2:H$378,0),"")</f>
        <v>LT 8XP</v>
      </c>
      <c r="K35" s="14" t="str">
        <f>_xlfn.IFNA(_xlfn.XLOOKUP(B35,'00_SKU_Master'!B$2:B$378,'00_SKU_Master'!K$2:K$378,0),"")</f>
        <v>Fast</v>
      </c>
      <c r="L35" s="138" t="str">
        <f>_xlfn.XLOOKUP(B35,'00_SKU_Master'!$B$2:$B$378,'00_SKU_Master'!$D$2:$D$378)</f>
        <v>METRO</v>
      </c>
      <c r="M35" s="138">
        <f t="shared" si="2"/>
        <v>160</v>
      </c>
      <c r="N35" t="str">
        <f>IFERROR(_xlfn.XLOOKUP(B35,'00_SKU_Master'!$B$2:$B$378,'00_SKU_Master'!$E$2:$E$378,""),"")</f>
        <v>BA</v>
      </c>
      <c r="O35">
        <f>IFERROR(_xlfn.XLOOKUP(B35,'00_SKU_Master'!$B$2:$B$378,'00_SKU_Master'!$F$2:$F$378,0),0)</f>
        <v>9.9259971035481502</v>
      </c>
      <c r="P35">
        <f>IFERROR(_xlfn.XLOOKUP(N35,'00_Yield_Rates'!$B$2:$B$33,'00_Yield_Rates'!$E$2:$E$33,0)/100,0)</f>
        <v>0.42</v>
      </c>
      <c r="Q35">
        <f t="shared" si="3"/>
        <v>1588.159536567704</v>
      </c>
      <c r="R35">
        <f t="shared" si="4"/>
        <v>3781.3322299231049</v>
      </c>
      <c r="S35">
        <f t="shared" si="5"/>
        <v>5.6</v>
      </c>
    </row>
    <row r="36" spans="1:19">
      <c r="A36" s="138" t="str">
        <f>'00_SKU_Master'!J128</f>
        <v>PB WING LT</v>
      </c>
      <c r="B36" s="138">
        <f>'00_SKU_Master'!B128</f>
        <v>2065</v>
      </c>
      <c r="C36" s="165">
        <f>_xlfn.XLOOKUP(B36,'02_TrayPack_Order'!$A$2:$A$265,'02_TrayPack_Order'!$C$2:$C$265)</f>
        <v>0</v>
      </c>
      <c r="D36" s="166">
        <f>_xlfn.XLOOKUP(B36,'02_TrayPack_Order'!$A$2:$A$265,'02_TrayPack_Order'!$L$2:$L$265,0)</f>
        <v>0</v>
      </c>
      <c r="E36" s="165">
        <f>SUMIF('13_Progress_Track'!$A$2:$A$108,B36,'13_Progress_Track'!$E$2:$E$108)</f>
        <v>0</v>
      </c>
      <c r="F36" s="165">
        <f t="shared" si="0"/>
        <v>0</v>
      </c>
      <c r="G36" s="167">
        <f t="shared" si="1"/>
        <v>0</v>
      </c>
      <c r="H36" s="138">
        <f>_xlfn.IFNA(_xlfn.XLOOKUP(B36,'00_SKU_Master'!$B$2:$B$378,'00_SKU_Master'!$C$2:$C$378),"")</f>
        <v>61010</v>
      </c>
      <c r="I36" s="138"/>
      <c r="J36" s="14" t="str">
        <f>_xlfn.IFNA(_xlfn.XLOOKUP(B36,'00_SKU_Master'!B$2:B$378,'00_SKU_Master'!H$2:H$378,0),"")</f>
        <v>LT 8XP</v>
      </c>
      <c r="K36" s="14" t="str">
        <f>_xlfn.IFNA(_xlfn.XLOOKUP(B36,'00_SKU_Master'!B$2:B$378,'00_SKU_Master'!K$2:K$378,0),"")</f>
        <v>Fast</v>
      </c>
      <c r="L36" s="138" t="str">
        <f>_xlfn.XLOOKUP(B36,'00_SKU_Master'!$B$2:$B$378,'00_SKU_Master'!$D$2:$D$378)</f>
        <v>METRO</v>
      </c>
      <c r="M36" s="138">
        <f t="shared" si="2"/>
        <v>0</v>
      </c>
      <c r="N36" t="str">
        <f>IFERROR(_xlfn.XLOOKUP(B36,'00_SKU_Master'!$B$2:$B$378,'00_SKU_Master'!$E$2:$E$378,""),"")</f>
        <v>Whole Wing-Large</v>
      </c>
      <c r="O36">
        <f>IFERROR(_xlfn.XLOOKUP(B36,'00_SKU_Master'!$B$2:$B$378,'00_SKU_Master'!$F$2:$F$378,0),0)</f>
        <v>0</v>
      </c>
      <c r="P36">
        <f>IFERROR(_xlfn.XLOOKUP(N36,'00_Yield_Rates'!$B$2:$B$33,'00_Yield_Rates'!$E$2:$E$33,0)/100,0)</f>
        <v>0</v>
      </c>
      <c r="Q36">
        <f t="shared" si="3"/>
        <v>0</v>
      </c>
      <c r="R36">
        <f t="shared" si="4"/>
        <v>0</v>
      </c>
      <c r="S36">
        <f t="shared" si="5"/>
        <v>0</v>
      </c>
    </row>
    <row r="37" spans="1:19">
      <c r="A37" s="138" t="str">
        <f>'00_SKU_Master'!J129</f>
        <v>MS MET HB 8XP</v>
      </c>
      <c r="B37" s="138">
        <f>'00_SKU_Master'!B129</f>
        <v>2066</v>
      </c>
      <c r="C37" s="165">
        <f>_xlfn.XLOOKUP(B37,'02_TrayPack_Order'!$A$2:$A$265,'02_TrayPack_Order'!$C$2:$C$265)</f>
        <v>180</v>
      </c>
      <c r="D37" s="166">
        <f>_xlfn.XLOOKUP(B37,'02_TrayPack_Order'!$A$2:$A$265,'02_TrayPack_Order'!$L$2:$L$265,0)</f>
        <v>0</v>
      </c>
      <c r="E37" s="165">
        <f>SUMIF('13_Progress_Track'!$A$2:$A$108,B37,'13_Progress_Track'!$E$2:$E$108)</f>
        <v>0</v>
      </c>
      <c r="F37" s="165">
        <f t="shared" si="0"/>
        <v>0</v>
      </c>
      <c r="G37" s="167">
        <f t="shared" si="1"/>
        <v>180</v>
      </c>
      <c r="H37" s="138" t="str">
        <f>_xlfn.IFNA(_xlfn.XLOOKUP(B37,'00_SKU_Master'!$B$2:$B$378,'00_SKU_Master'!$C$2:$C$378),"")</f>
        <v>61040#2</v>
      </c>
      <c r="I37" s="138"/>
      <c r="J37" s="14" t="str">
        <f>_xlfn.IFNA(_xlfn.XLOOKUP(B37,'00_SKU_Master'!B$2:B$378,'00_SKU_Master'!H$2:H$378,0),"")</f>
        <v>LT 8XP</v>
      </c>
      <c r="K37" s="14" t="str">
        <f>_xlfn.IFNA(_xlfn.XLOOKUP(B37,'00_SKU_Master'!B$2:B$378,'00_SKU_Master'!K$2:K$378,0),"")</f>
        <v>Fast</v>
      </c>
      <c r="L37" s="138" t="str">
        <f>_xlfn.XLOOKUP(B37,'00_SKU_Master'!$B$2:$B$378,'00_SKU_Master'!$D$2:$D$378)</f>
        <v>METRO</v>
      </c>
      <c r="M37" s="138">
        <f t="shared" si="2"/>
        <v>180</v>
      </c>
      <c r="N37" t="str">
        <f>IFERROR(_xlfn.XLOOKUP(B37,'00_SKU_Master'!$B$2:$B$378,'00_SKU_Master'!$E$2:$E$378,""),"")</f>
        <v>SplitBreast</v>
      </c>
      <c r="O37">
        <f>IFERROR(_xlfn.XLOOKUP(B37,'00_SKU_Master'!$B$2:$B$378,'00_SKU_Master'!$F$2:$F$378,0),0)</f>
        <v>7.6016657922350399</v>
      </c>
      <c r="P37">
        <f>IFERROR(_xlfn.XLOOKUP(N37,'00_Yield_Rates'!$B$2:$B$33,'00_Yield_Rates'!$E$2:$E$33,0)/100,0)</f>
        <v>0.43</v>
      </c>
      <c r="Q37">
        <f t="shared" si="3"/>
        <v>1368.2998426023071</v>
      </c>
      <c r="R37">
        <f t="shared" si="4"/>
        <v>3182.0926572146677</v>
      </c>
      <c r="S37">
        <f t="shared" si="5"/>
        <v>4.6999999999999993</v>
      </c>
    </row>
    <row r="38" spans="1:19">
      <c r="A38" s="138" t="str">
        <f>'00_SKU_Master'!J130</f>
        <v>BONELESS SKINLESS THIGH</v>
      </c>
      <c r="B38" s="138">
        <f>'00_SKU_Master'!B130</f>
        <v>2067</v>
      </c>
      <c r="C38" s="165">
        <f>_xlfn.XLOOKUP(B38,'02_TrayPack_Order'!$A$2:$A$265,'02_TrayPack_Order'!$C$2:$C$265)</f>
        <v>0</v>
      </c>
      <c r="D38" s="166">
        <f>_xlfn.XLOOKUP(B38,'02_TrayPack_Order'!$A$2:$A$265,'02_TrayPack_Order'!$L$2:$L$265,0)</f>
        <v>0</v>
      </c>
      <c r="E38" s="165">
        <f>SUMIF('13_Progress_Track'!$A$2:$A$108,B38,'13_Progress_Track'!$E$2:$E$108)</f>
        <v>0</v>
      </c>
      <c r="F38" s="165">
        <f t="shared" si="0"/>
        <v>0</v>
      </c>
      <c r="G38" s="167">
        <f t="shared" si="1"/>
        <v>0</v>
      </c>
      <c r="H38" s="138" t="str">
        <f>_xlfn.IFNA(_xlfn.XLOOKUP(B38,'00_SKU_Master'!$B$2:$B$378,'00_SKU_Master'!$C$2:$C$378),"")</f>
        <v>61086#2</v>
      </c>
      <c r="I38" s="138"/>
      <c r="J38" s="14" t="str">
        <f>_xlfn.IFNA(_xlfn.XLOOKUP(B38,'00_SKU_Master'!B$2:B$378,'00_SKU_Master'!H$2:H$378,0),"")</f>
        <v>LT 8XP</v>
      </c>
      <c r="K38" s="14" t="str">
        <f>_xlfn.IFNA(_xlfn.XLOOKUP(B38,'00_SKU_Master'!B$2:B$378,'00_SKU_Master'!K$2:K$378,0),"")</f>
        <v>Slow</v>
      </c>
      <c r="L38" s="138" t="str">
        <f>_xlfn.XLOOKUP(B38,'00_SKU_Master'!$B$2:$B$378,'00_SKU_Master'!$D$2:$D$378)</f>
        <v>METRO</v>
      </c>
      <c r="M38" s="138">
        <f t="shared" si="2"/>
        <v>0</v>
      </c>
      <c r="N38" t="str">
        <f>IFERROR(_xlfn.XLOOKUP(B38,'00_SKU_Master'!$B$2:$B$378,'00_SKU_Master'!$E$2:$E$378,""),"")</f>
        <v>ThighMeat</v>
      </c>
      <c r="O38">
        <f>IFERROR(_xlfn.XLOOKUP(B38,'00_SKU_Master'!$B$2:$B$378,'00_SKU_Master'!$F$2:$F$378,0),0)</f>
        <v>7.2794202898550697</v>
      </c>
      <c r="P38">
        <f>IFERROR(_xlfn.XLOOKUP(N38,'00_Yield_Rates'!$B$2:$B$33,'00_Yield_Rates'!$E$2:$E$33,0)/100,0)</f>
        <v>0.105</v>
      </c>
      <c r="Q38">
        <f t="shared" si="3"/>
        <v>0</v>
      </c>
      <c r="R38">
        <f t="shared" si="4"/>
        <v>0</v>
      </c>
      <c r="S38">
        <f t="shared" si="5"/>
        <v>0</v>
      </c>
    </row>
    <row r="39" spans="1:19">
      <c r="A39" s="138" t="str">
        <f>'00_SKU_Master'!J131</f>
        <v>MS MET BSHB 3D</v>
      </c>
      <c r="B39" s="138">
        <f>'00_SKU_Master'!B131</f>
        <v>2068</v>
      </c>
      <c r="C39" s="165">
        <f>_xlfn.XLOOKUP(B39,'02_TrayPack_Order'!$A$2:$A$265,'02_TrayPack_Order'!$C$2:$C$265)</f>
        <v>0</v>
      </c>
      <c r="D39" s="166">
        <f>_xlfn.XLOOKUP(B39,'02_TrayPack_Order'!$A$2:$A$265,'02_TrayPack_Order'!$L$2:$L$265,0)</f>
        <v>0</v>
      </c>
      <c r="E39" s="165">
        <f>SUMIF('13_Progress_Track'!$A$2:$A$108,B39,'13_Progress_Track'!$E$2:$E$108)</f>
        <v>0</v>
      </c>
      <c r="F39" s="165">
        <f t="shared" si="0"/>
        <v>0</v>
      </c>
      <c r="G39" s="167">
        <f t="shared" si="1"/>
        <v>0</v>
      </c>
      <c r="H39" s="138" t="str">
        <f>_xlfn.IFNA(_xlfn.XLOOKUP(B39,'00_SKU_Master'!$B$2:$B$378,'00_SKU_Master'!$C$2:$C$378),"")</f>
        <v>61050#2</v>
      </c>
      <c r="I39" s="138"/>
      <c r="J39" s="14" t="str">
        <f>_xlfn.IFNA(_xlfn.XLOOKUP(B39,'00_SKU_Master'!B$2:B$378,'00_SKU_Master'!H$2:H$378,0),"")</f>
        <v>ST 3D</v>
      </c>
      <c r="K39" s="14" t="str">
        <f>_xlfn.IFNA(_xlfn.XLOOKUP(B39,'00_SKU_Master'!B$2:B$378,'00_SKU_Master'!K$2:K$378,0),"")</f>
        <v>Fast</v>
      </c>
      <c r="L39" s="138" t="str">
        <f>_xlfn.XLOOKUP(B39,'00_SKU_Master'!$B$2:$B$378,'00_SKU_Master'!$D$2:$D$378)</f>
        <v>METRO</v>
      </c>
      <c r="M39" s="138">
        <f t="shared" si="2"/>
        <v>0</v>
      </c>
      <c r="N39" t="str">
        <f>IFERROR(_xlfn.XLOOKUP(B39,'00_SKU_Master'!$B$2:$B$378,'00_SKU_Master'!$E$2:$E$378,""),"")</f>
        <v>BSB</v>
      </c>
      <c r="O39">
        <f>IFERROR(_xlfn.XLOOKUP(B39,'00_SKU_Master'!$B$2:$B$378,'00_SKU_Master'!$F$2:$F$378,0),0)</f>
        <v>0</v>
      </c>
      <c r="P39">
        <f>IFERROR(_xlfn.XLOOKUP(N39,'00_Yield_Rates'!$B$2:$B$33,'00_Yield_Rates'!$E$2:$E$33,0)/100,0)</f>
        <v>0.31</v>
      </c>
      <c r="Q39">
        <f t="shared" si="3"/>
        <v>0</v>
      </c>
      <c r="R39">
        <f t="shared" si="4"/>
        <v>0</v>
      </c>
      <c r="S39">
        <f t="shared" si="5"/>
        <v>0</v>
      </c>
    </row>
    <row r="40" spans="1:19">
      <c r="A40" s="138" t="str">
        <f>'00_SKU_Master'!J132</f>
        <v>MS BSC HB 3XP PP</v>
      </c>
      <c r="B40" s="138">
        <f>'00_SKU_Master'!B132</f>
        <v>2069</v>
      </c>
      <c r="C40" s="165">
        <f>_xlfn.XLOOKUP(B40,'02_TrayPack_Order'!$A$2:$A$265,'02_TrayPack_Order'!$C$2:$C$265)</f>
        <v>24</v>
      </c>
      <c r="D40" s="166">
        <f>_xlfn.XLOOKUP(B40,'02_TrayPack_Order'!$A$2:$A$265,'02_TrayPack_Order'!$L$2:$L$265,0)</f>
        <v>0</v>
      </c>
      <c r="E40" s="165">
        <f>SUMIF('13_Progress_Track'!$A$2:$A$108,B40,'13_Progress_Track'!$E$2:$E$108)</f>
        <v>0</v>
      </c>
      <c r="F40" s="165">
        <f t="shared" si="0"/>
        <v>0</v>
      </c>
      <c r="G40" s="167">
        <f t="shared" si="1"/>
        <v>24</v>
      </c>
      <c r="H40" s="138" t="str">
        <f>_xlfn.IFNA(_xlfn.XLOOKUP(B40,'00_SKU_Master'!$B$2:$B$378,'00_SKU_Master'!$C$2:$C$378),"")</f>
        <v>61040#2</v>
      </c>
      <c r="I40" s="138"/>
      <c r="J40" s="14" t="str">
        <f>_xlfn.IFNA(_xlfn.XLOOKUP(B40,'00_SKU_Master'!B$2:B$378,'00_SKU_Master'!H$2:H$378,0),"")</f>
        <v>ST 3XP</v>
      </c>
      <c r="K40" s="14" t="str">
        <f>_xlfn.IFNA(_xlfn.XLOOKUP(B40,'00_SKU_Master'!B$2:B$378,'00_SKU_Master'!K$2:K$378,0),"")</f>
        <v>Fast</v>
      </c>
      <c r="L40" s="138" t="str">
        <f>_xlfn.XLOOKUP(B40,'00_SKU_Master'!$B$2:$B$378,'00_SKU_Master'!$D$2:$D$378)</f>
        <v>FB</v>
      </c>
      <c r="M40" s="138">
        <f t="shared" si="2"/>
        <v>24</v>
      </c>
      <c r="N40" t="str">
        <f>IFERROR(_xlfn.XLOOKUP(B40,'00_SKU_Master'!$B$2:$B$378,'00_SKU_Master'!$E$2:$E$378,""),"")</f>
        <v>SplitBreast</v>
      </c>
      <c r="O40">
        <f>IFERROR(_xlfn.XLOOKUP(B40,'00_SKU_Master'!$B$2:$B$378,'00_SKU_Master'!$F$2:$F$378,0),0)</f>
        <v>9.0616734693877508</v>
      </c>
      <c r="P40">
        <f>IFERROR(_xlfn.XLOOKUP(N40,'00_Yield_Rates'!$B$2:$B$33,'00_Yield_Rates'!$E$2:$E$33,0)/100,0)</f>
        <v>0.43</v>
      </c>
      <c r="Q40">
        <f t="shared" si="3"/>
        <v>217.48016326530603</v>
      </c>
      <c r="R40">
        <f t="shared" si="4"/>
        <v>505.76782154722332</v>
      </c>
      <c r="S40">
        <f t="shared" si="5"/>
        <v>0.79999999999999993</v>
      </c>
    </row>
    <row r="41" spans="1:19">
      <c r="A41" s="138" t="str">
        <f>'00_SKU_Master'!J133</f>
        <v>MS BSC SKLS HB 3XP PP</v>
      </c>
      <c r="B41" s="138">
        <f>'00_SKU_Master'!B133</f>
        <v>2070</v>
      </c>
      <c r="C41" s="165">
        <f>_xlfn.XLOOKUP(B41,'02_TrayPack_Order'!$A$2:$A$265,'02_TrayPack_Order'!$C$2:$C$265)</f>
        <v>37</v>
      </c>
      <c r="D41" s="166">
        <f>_xlfn.XLOOKUP(B41,'02_TrayPack_Order'!$A$2:$A$265,'02_TrayPack_Order'!$L$2:$L$265,0)</f>
        <v>0</v>
      </c>
      <c r="E41" s="165">
        <f>SUMIF('13_Progress_Track'!$A$2:$A$108,B41,'13_Progress_Track'!$E$2:$E$108)</f>
        <v>0</v>
      </c>
      <c r="F41" s="165">
        <f t="shared" si="0"/>
        <v>0</v>
      </c>
      <c r="G41" s="167">
        <f t="shared" si="1"/>
        <v>37</v>
      </c>
      <c r="H41" s="138" t="str">
        <f>_xlfn.IFNA(_xlfn.XLOOKUP(B41,'00_SKU_Master'!$B$2:$B$378,'00_SKU_Master'!$C$2:$C$378),"")</f>
        <v>61048#2</v>
      </c>
      <c r="I41" s="138"/>
      <c r="J41" s="14" t="str">
        <f>_xlfn.IFNA(_xlfn.XLOOKUP(B41,'00_SKU_Master'!B$2:B$378,'00_SKU_Master'!H$2:H$378,0),"")</f>
        <v>ST 3XP</v>
      </c>
      <c r="K41" s="14" t="str">
        <f>_xlfn.IFNA(_xlfn.XLOOKUP(B41,'00_SKU_Master'!B$2:B$378,'00_SKU_Master'!K$2:K$378,0),"")</f>
        <v>Fast</v>
      </c>
      <c r="L41" s="138" t="str">
        <f>_xlfn.XLOOKUP(B41,'00_SKU_Master'!$B$2:$B$378,'00_SKU_Master'!$D$2:$D$378)</f>
        <v>FB</v>
      </c>
      <c r="M41" s="138">
        <f t="shared" si="2"/>
        <v>37</v>
      </c>
      <c r="N41" t="str">
        <f>IFERROR(_xlfn.XLOOKUP(B41,'00_SKU_Master'!$B$2:$B$378,'00_SKU_Master'!$E$2:$E$378,""),"")</f>
        <v>SplitBreast</v>
      </c>
      <c r="O41">
        <f>IFERROR(_xlfn.XLOOKUP(B41,'00_SKU_Master'!$B$2:$B$378,'00_SKU_Master'!$F$2:$F$378,0),0)</f>
        <v>9.2275391600453993</v>
      </c>
      <c r="P41">
        <f>IFERROR(_xlfn.XLOOKUP(N41,'00_Yield_Rates'!$B$2:$B$33,'00_Yield_Rates'!$E$2:$E$33,0)/100,0)</f>
        <v>0.43</v>
      </c>
      <c r="Q41">
        <f t="shared" si="3"/>
        <v>341.41894892167977</v>
      </c>
      <c r="R41">
        <f t="shared" si="4"/>
        <v>793.99755563181338</v>
      </c>
      <c r="S41">
        <f t="shared" si="5"/>
        <v>1.2000000000000002</v>
      </c>
    </row>
    <row r="42" spans="1:19">
      <c r="A42" s="138" t="str">
        <f>'00_SKU_Master'!J134</f>
        <v>MS BSC SKLS HB 8XP PP</v>
      </c>
      <c r="B42" s="138">
        <f>'00_SKU_Master'!B134</f>
        <v>2071</v>
      </c>
      <c r="C42" s="165">
        <f>_xlfn.XLOOKUP(B42,'02_TrayPack_Order'!$A$2:$A$265,'02_TrayPack_Order'!$C$2:$C$265)</f>
        <v>28</v>
      </c>
      <c r="D42" s="166">
        <f>_xlfn.XLOOKUP(B42,'02_TrayPack_Order'!$A$2:$A$265,'02_TrayPack_Order'!$L$2:$L$265,0)</f>
        <v>0</v>
      </c>
      <c r="E42" s="165">
        <f>SUMIF('13_Progress_Track'!$A$2:$A$108,B42,'13_Progress_Track'!$E$2:$E$108)</f>
        <v>0</v>
      </c>
      <c r="F42" s="165">
        <f t="shared" si="0"/>
        <v>0</v>
      </c>
      <c r="G42" s="167">
        <f t="shared" si="1"/>
        <v>28</v>
      </c>
      <c r="H42" s="138" t="str">
        <f>_xlfn.IFNA(_xlfn.XLOOKUP(B42,'00_SKU_Master'!$B$2:$B$378,'00_SKU_Master'!$C$2:$C$378),"")</f>
        <v>61048#2</v>
      </c>
      <c r="I42" s="138"/>
      <c r="J42" s="14" t="str">
        <f>_xlfn.IFNA(_xlfn.XLOOKUP(B42,'00_SKU_Master'!B$2:B$378,'00_SKU_Master'!H$2:H$378,0),"")</f>
        <v>LT 8XP</v>
      </c>
      <c r="K42" s="14" t="str">
        <f>_xlfn.IFNA(_xlfn.XLOOKUP(B42,'00_SKU_Master'!B$2:B$378,'00_SKU_Master'!K$2:K$378,0),"")</f>
        <v>Fast</v>
      </c>
      <c r="L42" s="138" t="str">
        <f>_xlfn.XLOOKUP(B42,'00_SKU_Master'!$B$2:$B$378,'00_SKU_Master'!$D$2:$D$378)</f>
        <v>FB</v>
      </c>
      <c r="M42" s="138">
        <f t="shared" si="2"/>
        <v>28</v>
      </c>
      <c r="N42" t="str">
        <f>IFERROR(_xlfn.XLOOKUP(B42,'00_SKU_Master'!$B$2:$B$378,'00_SKU_Master'!$E$2:$E$378,""),"")</f>
        <v>SplitBreast</v>
      </c>
      <c r="O42">
        <f>IFERROR(_xlfn.XLOOKUP(B42,'00_SKU_Master'!$B$2:$B$378,'00_SKU_Master'!$F$2:$F$378,0),0)</f>
        <v>8.2634039829302992</v>
      </c>
      <c r="P42">
        <f>IFERROR(_xlfn.XLOOKUP(N42,'00_Yield_Rates'!$B$2:$B$33,'00_Yield_Rates'!$E$2:$E$33,0)/100,0)</f>
        <v>0.43</v>
      </c>
      <c r="Q42">
        <f t="shared" si="3"/>
        <v>231.37531152204838</v>
      </c>
      <c r="R42">
        <f t="shared" si="4"/>
        <v>538.08211981871716</v>
      </c>
      <c r="S42">
        <f t="shared" si="5"/>
        <v>0.79999999999999993</v>
      </c>
    </row>
    <row r="43" spans="1:19">
      <c r="A43" s="138" t="str">
        <f>'00_SKU_Master'!J135</f>
        <v>MS BSC DRUM 3XP PP</v>
      </c>
      <c r="B43" s="138">
        <f>'00_SKU_Master'!B135</f>
        <v>2072</v>
      </c>
      <c r="C43" s="165">
        <f>_xlfn.XLOOKUP(B43,'02_TrayPack_Order'!$A$2:$A$265,'02_TrayPack_Order'!$C$2:$C$265)</f>
        <v>0</v>
      </c>
      <c r="D43" s="166">
        <f>_xlfn.XLOOKUP(B43,'02_TrayPack_Order'!$A$2:$A$265,'02_TrayPack_Order'!$L$2:$L$265,0)</f>
        <v>0</v>
      </c>
      <c r="E43" s="165">
        <f>SUMIF('13_Progress_Track'!$A$2:$A$108,B43,'13_Progress_Track'!$E$2:$E$108)</f>
        <v>0</v>
      </c>
      <c r="F43" s="165">
        <f t="shared" si="0"/>
        <v>0</v>
      </c>
      <c r="G43" s="167">
        <f t="shared" si="1"/>
        <v>0</v>
      </c>
      <c r="H43" s="138" t="str">
        <f>_xlfn.IFNA(_xlfn.XLOOKUP(B43,'00_SKU_Master'!$B$2:$B$378,'00_SKU_Master'!$C$2:$C$378),"")</f>
        <v>61072#2</v>
      </c>
      <c r="I43" s="138"/>
      <c r="J43" s="14" t="str">
        <f>_xlfn.IFNA(_xlfn.XLOOKUP(B43,'00_SKU_Master'!B$2:B$378,'00_SKU_Master'!H$2:H$378,0),"")</f>
        <v>ST 3XP</v>
      </c>
      <c r="K43" s="14" t="str">
        <f>_xlfn.IFNA(_xlfn.XLOOKUP(B43,'00_SKU_Master'!B$2:B$378,'00_SKU_Master'!K$2:K$378,0),"")</f>
        <v>Fast</v>
      </c>
      <c r="L43" s="138" t="str">
        <f>_xlfn.XLOOKUP(B43,'00_SKU_Master'!$B$2:$B$378,'00_SKU_Master'!$D$2:$D$378)</f>
        <v>FB</v>
      </c>
      <c r="M43" s="138">
        <f t="shared" si="2"/>
        <v>0</v>
      </c>
      <c r="N43" t="str">
        <f>IFERROR(_xlfn.XLOOKUP(B43,'00_SKU_Master'!$B$2:$B$378,'00_SKU_Master'!$E$2:$E$378,""),"")</f>
        <v>Drum</v>
      </c>
      <c r="O43">
        <f>IFERROR(_xlfn.XLOOKUP(B43,'00_SKU_Master'!$B$2:$B$378,'00_SKU_Master'!$F$2:$F$378,0),0)</f>
        <v>0</v>
      </c>
      <c r="P43">
        <f>IFERROR(_xlfn.XLOOKUP(N43,'00_Yield_Rates'!$B$2:$B$33,'00_Yield_Rates'!$E$2:$E$33,0)/100,0)</f>
        <v>0.128</v>
      </c>
      <c r="Q43">
        <f t="shared" si="3"/>
        <v>0</v>
      </c>
      <c r="R43">
        <f t="shared" si="4"/>
        <v>0</v>
      </c>
      <c r="S43">
        <f t="shared" si="5"/>
        <v>0</v>
      </c>
    </row>
    <row r="44" spans="1:19">
      <c r="A44" s="138" t="str">
        <f>'00_SKU_Master'!J136</f>
        <v>MS BSC THIGH 3XP PP</v>
      </c>
      <c r="B44" s="138">
        <f>'00_SKU_Master'!B136</f>
        <v>2073</v>
      </c>
      <c r="C44" s="165">
        <f>_xlfn.XLOOKUP(B44,'02_TrayPack_Order'!$A$2:$A$265,'02_TrayPack_Order'!$C$2:$C$265)</f>
        <v>0</v>
      </c>
      <c r="D44" s="166">
        <f>_xlfn.XLOOKUP(B44,'02_TrayPack_Order'!$A$2:$A$265,'02_TrayPack_Order'!$L$2:$L$265,0)</f>
        <v>0</v>
      </c>
      <c r="E44" s="165">
        <f>SUMIF('13_Progress_Track'!$A$2:$A$108,B44,'13_Progress_Track'!$E$2:$E$108)</f>
        <v>0</v>
      </c>
      <c r="F44" s="165">
        <f t="shared" si="0"/>
        <v>0</v>
      </c>
      <c r="G44" s="167">
        <f t="shared" si="1"/>
        <v>0</v>
      </c>
      <c r="H44" s="138">
        <f>_xlfn.IFNA(_xlfn.XLOOKUP(B44,'00_SKU_Master'!$B$2:$B$378,'00_SKU_Master'!$C$2:$C$378),"")</f>
        <v>61082</v>
      </c>
      <c r="I44" s="138"/>
      <c r="J44" s="14" t="str">
        <f>_xlfn.IFNA(_xlfn.XLOOKUP(B44,'00_SKU_Master'!B$2:B$378,'00_SKU_Master'!H$2:H$378,0),"")</f>
        <v>ST 3XP</v>
      </c>
      <c r="K44" s="14" t="str">
        <f>_xlfn.IFNA(_xlfn.XLOOKUP(B44,'00_SKU_Master'!B$2:B$378,'00_SKU_Master'!K$2:K$378,0),"")</f>
        <v>Fast</v>
      </c>
      <c r="L44" s="138" t="str">
        <f>_xlfn.XLOOKUP(B44,'00_SKU_Master'!$B$2:$B$378,'00_SKU_Master'!$D$2:$D$378)</f>
        <v>FB</v>
      </c>
      <c r="M44" s="138">
        <f t="shared" si="2"/>
        <v>0</v>
      </c>
      <c r="N44" t="str">
        <f>IFERROR(_xlfn.XLOOKUP(B44,'00_SKU_Master'!$B$2:$B$378,'00_SKU_Master'!$E$2:$E$378,""),"")</f>
        <v>Thigh</v>
      </c>
      <c r="O44">
        <f>IFERROR(_xlfn.XLOOKUP(B44,'00_SKU_Master'!$B$2:$B$378,'00_SKU_Master'!$F$2:$F$378,0),0)</f>
        <v>0</v>
      </c>
      <c r="P44">
        <f>IFERROR(_xlfn.XLOOKUP(N44,'00_Yield_Rates'!$B$2:$B$33,'00_Yield_Rates'!$E$2:$E$33,0)/100,0)</f>
        <v>0.191</v>
      </c>
      <c r="Q44">
        <f t="shared" si="3"/>
        <v>0</v>
      </c>
      <c r="R44">
        <f t="shared" si="4"/>
        <v>0</v>
      </c>
      <c r="S44">
        <f t="shared" si="5"/>
        <v>0</v>
      </c>
    </row>
    <row r="45" spans="1:19">
      <c r="A45" s="138" t="str">
        <f>'00_SKU_Master'!J137</f>
        <v>MS BSC BSTHIGH 3XP PP</v>
      </c>
      <c r="B45" s="138">
        <f>'00_SKU_Master'!B137</f>
        <v>2074</v>
      </c>
      <c r="C45" s="165">
        <f>_xlfn.XLOOKUP(B45,'02_TrayPack_Order'!$A$2:$A$265,'02_TrayPack_Order'!$C$2:$C$265)</f>
        <v>0</v>
      </c>
      <c r="D45" s="166">
        <f>_xlfn.XLOOKUP(B45,'02_TrayPack_Order'!$A$2:$A$265,'02_TrayPack_Order'!$L$2:$L$265,0)</f>
        <v>0</v>
      </c>
      <c r="E45" s="165">
        <f>SUMIF('13_Progress_Track'!$A$2:$A$108,B45,'13_Progress_Track'!$E$2:$E$108)</f>
        <v>0</v>
      </c>
      <c r="F45" s="165">
        <f t="shared" si="0"/>
        <v>0</v>
      </c>
      <c r="G45" s="167">
        <f t="shared" si="1"/>
        <v>0</v>
      </c>
      <c r="H45" s="138" t="str">
        <f>_xlfn.IFNA(_xlfn.XLOOKUP(B45,'00_SKU_Master'!$B$2:$B$378,'00_SKU_Master'!$C$2:$C$378),"")</f>
        <v>61086#2</v>
      </c>
      <c r="I45" s="138"/>
      <c r="J45" s="14" t="str">
        <f>_xlfn.IFNA(_xlfn.XLOOKUP(B45,'00_SKU_Master'!B$2:B$378,'00_SKU_Master'!H$2:H$378,0),"")</f>
        <v>ST 3XP</v>
      </c>
      <c r="K45" s="14" t="str">
        <f>_xlfn.IFNA(_xlfn.XLOOKUP(B45,'00_SKU_Master'!B$2:B$378,'00_SKU_Master'!K$2:K$378,0),"")</f>
        <v>Slow</v>
      </c>
      <c r="L45" s="138" t="str">
        <f>_xlfn.XLOOKUP(B45,'00_SKU_Master'!$B$2:$B$378,'00_SKU_Master'!$D$2:$D$378)</f>
        <v>FB</v>
      </c>
      <c r="M45" s="138">
        <f t="shared" si="2"/>
        <v>0</v>
      </c>
      <c r="N45" t="str">
        <f>IFERROR(_xlfn.XLOOKUP(B45,'00_SKU_Master'!$B$2:$B$378,'00_SKU_Master'!$E$2:$E$378,""),"")</f>
        <v>ThighMeat</v>
      </c>
      <c r="O45">
        <f>IFERROR(_xlfn.XLOOKUP(B45,'00_SKU_Master'!$B$2:$B$378,'00_SKU_Master'!$F$2:$F$378,0),0)</f>
        <v>7.3256159703240904</v>
      </c>
      <c r="P45">
        <f>IFERROR(_xlfn.XLOOKUP(N45,'00_Yield_Rates'!$B$2:$B$33,'00_Yield_Rates'!$E$2:$E$33,0)/100,0)</f>
        <v>0.105</v>
      </c>
      <c r="Q45">
        <f t="shared" si="3"/>
        <v>0</v>
      </c>
      <c r="R45">
        <f t="shared" si="4"/>
        <v>0</v>
      </c>
      <c r="S45">
        <f t="shared" si="5"/>
        <v>0</v>
      </c>
    </row>
    <row r="46" spans="1:19">
      <c r="A46" s="138" t="str">
        <f>'00_SKU_Master'!J138</f>
        <v>MS BSC BSHB 3XP PP</v>
      </c>
      <c r="B46" s="138">
        <f>'00_SKU_Master'!B138</f>
        <v>2075</v>
      </c>
      <c r="C46" s="165">
        <f>_xlfn.XLOOKUP(B46,'02_TrayPack_Order'!$A$2:$A$265,'02_TrayPack_Order'!$C$2:$C$265)</f>
        <v>192</v>
      </c>
      <c r="D46" s="166">
        <f>_xlfn.XLOOKUP(B46,'02_TrayPack_Order'!$A$2:$A$265,'02_TrayPack_Order'!$L$2:$L$265,0)</f>
        <v>0</v>
      </c>
      <c r="E46" s="165">
        <f>SUMIF('13_Progress_Track'!$A$2:$A$108,B46,'13_Progress_Track'!$E$2:$E$108)</f>
        <v>150</v>
      </c>
      <c r="F46" s="165">
        <f t="shared" si="0"/>
        <v>0</v>
      </c>
      <c r="G46" s="167">
        <f t="shared" si="1"/>
        <v>42</v>
      </c>
      <c r="H46" s="138" t="str">
        <f>_xlfn.IFNA(_xlfn.XLOOKUP(B46,'00_SKU_Master'!$B$2:$B$378,'00_SKU_Master'!$C$2:$C$378),"")</f>
        <v>61050#2</v>
      </c>
      <c r="I46" s="138"/>
      <c r="J46" s="14" t="str">
        <f>_xlfn.IFNA(_xlfn.XLOOKUP(B46,'00_SKU_Master'!B$2:B$378,'00_SKU_Master'!H$2:H$378,0),"")</f>
        <v>ST 3XP</v>
      </c>
      <c r="K46" s="14" t="str">
        <f>_xlfn.IFNA(_xlfn.XLOOKUP(B46,'00_SKU_Master'!B$2:B$378,'00_SKU_Master'!K$2:K$378,0),"")</f>
        <v>Fast</v>
      </c>
      <c r="L46" s="138" t="str">
        <f>_xlfn.XLOOKUP(B46,'00_SKU_Master'!$B$2:$B$378,'00_SKU_Master'!$D$2:$D$378)</f>
        <v>FB</v>
      </c>
      <c r="M46" s="138">
        <f t="shared" si="2"/>
        <v>42</v>
      </c>
      <c r="N46" t="str">
        <f>IFERROR(_xlfn.XLOOKUP(B46,'00_SKU_Master'!$B$2:$B$378,'00_SKU_Master'!$E$2:$E$378,""),"")</f>
        <v>BSB</v>
      </c>
      <c r="O46">
        <f>IFERROR(_xlfn.XLOOKUP(B46,'00_SKU_Master'!$B$2:$B$378,'00_SKU_Master'!$F$2:$F$378,0),0)</f>
        <v>7.8209931170108096</v>
      </c>
      <c r="P46">
        <f>IFERROR(_xlfn.XLOOKUP(N46,'00_Yield_Rates'!$B$2:$B$33,'00_Yield_Rates'!$E$2:$E$33,0)/100,0)</f>
        <v>0.31</v>
      </c>
      <c r="Q46">
        <f t="shared" si="3"/>
        <v>328.48171091445403</v>
      </c>
      <c r="R46">
        <f t="shared" si="4"/>
        <v>1059.6184223046905</v>
      </c>
      <c r="S46">
        <f t="shared" si="5"/>
        <v>1.6</v>
      </c>
    </row>
    <row r="47" spans="1:19">
      <c r="A47" s="138" t="str">
        <f>'00_SKU_Master'!J139</f>
        <v>MS BSC WING 3XP PP</v>
      </c>
      <c r="B47" s="138">
        <f>'00_SKU_Master'!B139</f>
        <v>2076</v>
      </c>
      <c r="C47" s="165">
        <f>_xlfn.XLOOKUP(B47,'02_TrayPack_Order'!$A$2:$A$265,'02_TrayPack_Order'!$C$2:$C$265)</f>
        <v>0</v>
      </c>
      <c r="D47" s="166">
        <f>_xlfn.XLOOKUP(B47,'02_TrayPack_Order'!$A$2:$A$265,'02_TrayPack_Order'!$L$2:$L$265,0)</f>
        <v>0</v>
      </c>
      <c r="E47" s="165">
        <f>SUMIF('13_Progress_Track'!$A$2:$A$108,B47,'13_Progress_Track'!$E$2:$E$108)</f>
        <v>0</v>
      </c>
      <c r="F47" s="165">
        <f t="shared" si="0"/>
        <v>0</v>
      </c>
      <c r="G47" s="167">
        <f t="shared" si="1"/>
        <v>0</v>
      </c>
      <c r="H47" s="138">
        <f>_xlfn.IFNA(_xlfn.XLOOKUP(B47,'00_SKU_Master'!$B$2:$B$378,'00_SKU_Master'!$C$2:$C$378),"")</f>
        <v>61010</v>
      </c>
      <c r="I47" s="138"/>
      <c r="J47" s="14" t="str">
        <f>_xlfn.IFNA(_xlfn.XLOOKUP(B47,'00_SKU_Master'!B$2:B$378,'00_SKU_Master'!H$2:H$378,0),"")</f>
        <v>ST 3XP</v>
      </c>
      <c r="K47" s="14" t="str">
        <f>_xlfn.IFNA(_xlfn.XLOOKUP(B47,'00_SKU_Master'!B$2:B$378,'00_SKU_Master'!K$2:K$378,0),"")</f>
        <v>Fast</v>
      </c>
      <c r="L47" s="138" t="str">
        <f>_xlfn.XLOOKUP(B47,'00_SKU_Master'!$B$2:$B$378,'00_SKU_Master'!$D$2:$D$378)</f>
        <v>FB</v>
      </c>
      <c r="M47" s="138">
        <f t="shared" si="2"/>
        <v>0</v>
      </c>
      <c r="N47" t="str">
        <f>IFERROR(_xlfn.XLOOKUP(B47,'00_SKU_Master'!$B$2:$B$378,'00_SKU_Master'!$E$2:$E$378,""),"")</f>
        <v>Whole Wing-Small</v>
      </c>
      <c r="O47">
        <f>IFERROR(_xlfn.XLOOKUP(B47,'00_SKU_Master'!$B$2:$B$378,'00_SKU_Master'!$F$2:$F$378,0),0)</f>
        <v>0</v>
      </c>
      <c r="P47">
        <f>IFERROR(_xlfn.XLOOKUP(N47,'00_Yield_Rates'!$B$2:$B$33,'00_Yield_Rates'!$E$2:$E$33,0)/100,0)</f>
        <v>0</v>
      </c>
      <c r="Q47">
        <f t="shared" si="3"/>
        <v>0</v>
      </c>
      <c r="R47">
        <f t="shared" si="4"/>
        <v>0</v>
      </c>
      <c r="S47">
        <f t="shared" si="5"/>
        <v>0</v>
      </c>
    </row>
    <row r="48" spans="1:19">
      <c r="A48" s="138" t="str">
        <f>'00_SKU_Master'!J140</f>
        <v>MS BSC LEG BA 14D PP</v>
      </c>
      <c r="B48" s="138">
        <f>'00_SKU_Master'!B140</f>
        <v>2077</v>
      </c>
      <c r="C48" s="165">
        <f>_xlfn.XLOOKUP(B48,'02_TrayPack_Order'!$A$2:$A$265,'02_TrayPack_Order'!$C$2:$C$265)</f>
        <v>23</v>
      </c>
      <c r="D48" s="166">
        <f>_xlfn.XLOOKUP(B48,'02_TrayPack_Order'!$A$2:$A$265,'02_TrayPack_Order'!$L$2:$L$265,0)</f>
        <v>0</v>
      </c>
      <c r="E48" s="165">
        <f>SUMIF('13_Progress_Track'!$A$2:$A$108,B48,'13_Progress_Track'!$E$2:$E$108)</f>
        <v>0</v>
      </c>
      <c r="F48" s="165">
        <f t="shared" si="0"/>
        <v>0</v>
      </c>
      <c r="G48" s="167">
        <f t="shared" si="1"/>
        <v>23</v>
      </c>
      <c r="H48" s="138">
        <f>_xlfn.IFNA(_xlfn.XLOOKUP(B48,'00_SKU_Master'!$B$2:$B$378,'00_SKU_Master'!$C$2:$C$378),"")</f>
        <v>61061</v>
      </c>
      <c r="I48" s="138"/>
      <c r="J48" s="14" t="str">
        <f>_xlfn.IFNA(_xlfn.XLOOKUP(B48,'00_SKU_Master'!B$2:B$378,'00_SKU_Master'!H$2:H$378,0),"")</f>
        <v>LT 14D</v>
      </c>
      <c r="K48" s="14" t="str">
        <f>_xlfn.IFNA(_xlfn.XLOOKUP(B48,'00_SKU_Master'!B$2:B$378,'00_SKU_Master'!K$2:K$378,0),"")</f>
        <v>Fast</v>
      </c>
      <c r="L48" s="138" t="str">
        <f>_xlfn.XLOOKUP(B48,'00_SKU_Master'!$B$2:$B$378,'00_SKU_Master'!$D$2:$D$378)</f>
        <v>FB</v>
      </c>
      <c r="M48" s="138">
        <f t="shared" si="2"/>
        <v>23</v>
      </c>
      <c r="N48" t="str">
        <f>IFERROR(_xlfn.XLOOKUP(B48,'00_SKU_Master'!$B$2:$B$378,'00_SKU_Master'!$E$2:$E$378,""),"")</f>
        <v>BA</v>
      </c>
      <c r="O48">
        <f>IFERROR(_xlfn.XLOOKUP(B48,'00_SKU_Master'!$B$2:$B$378,'00_SKU_Master'!$F$2:$F$378,0),0)</f>
        <v>9.7515820734341201</v>
      </c>
      <c r="P48">
        <f>IFERROR(_xlfn.XLOOKUP(N48,'00_Yield_Rates'!$B$2:$B$33,'00_Yield_Rates'!$E$2:$E$33,0)/100,0)</f>
        <v>0.42</v>
      </c>
      <c r="Q48">
        <f t="shared" si="3"/>
        <v>224.28638768898477</v>
      </c>
      <c r="R48">
        <f t="shared" si="4"/>
        <v>534.01520878329711</v>
      </c>
      <c r="S48">
        <f t="shared" si="5"/>
        <v>0.79999999999999993</v>
      </c>
    </row>
    <row r="49" spans="1:19">
      <c r="A49" s="138" t="str">
        <f>'00_SKU_Master'!J141</f>
        <v>MS BSC 1.38-1.58 FRY TI 3XP PP</v>
      </c>
      <c r="B49" s="138">
        <f>'00_SKU_Master'!B141</f>
        <v>2078</v>
      </c>
      <c r="C49" s="165">
        <f>_xlfn.XLOOKUP(B49,'02_TrayPack_Order'!$A$2:$A$265,'02_TrayPack_Order'!$C$2:$C$265)</f>
        <v>148</v>
      </c>
      <c r="D49" s="166">
        <f>_xlfn.XLOOKUP(B49,'02_TrayPack_Order'!$A$2:$A$265,'02_TrayPack_Order'!$L$2:$L$265,0)</f>
        <v>0</v>
      </c>
      <c r="E49" s="165">
        <f>SUMIF('13_Progress_Track'!$A$2:$A$108,B49,'13_Progress_Track'!$E$2:$E$108)</f>
        <v>0</v>
      </c>
      <c r="F49" s="165">
        <f t="shared" si="0"/>
        <v>0</v>
      </c>
      <c r="G49" s="167">
        <f t="shared" si="1"/>
        <v>148</v>
      </c>
      <c r="H49" s="138">
        <f>_xlfn.IFNA(_xlfn.XLOOKUP(B49,'00_SKU_Master'!$B$2:$B$378,'00_SKU_Master'!$C$2:$C$378),"")</f>
        <v>203891</v>
      </c>
      <c r="I49" s="138"/>
      <c r="J49" s="14" t="str">
        <f>_xlfn.IFNA(_xlfn.XLOOKUP(B49,'00_SKU_Master'!B$2:B$378,'00_SKU_Master'!H$2:H$378,0),"")</f>
        <v>ST 3XP</v>
      </c>
      <c r="K49" s="14" t="str">
        <f>_xlfn.IFNA(_xlfn.XLOOKUP(B49,'00_SKU_Master'!B$2:B$378,'00_SKU_Master'!K$2:K$378,0),"")</f>
        <v>Fast</v>
      </c>
      <c r="L49" s="138" t="str">
        <f>_xlfn.XLOOKUP(B49,'00_SKU_Master'!$B$2:$B$378,'00_SKU_Master'!$D$2:$D$378)</f>
        <v>FB</v>
      </c>
      <c r="M49" s="138">
        <f t="shared" si="2"/>
        <v>148</v>
      </c>
      <c r="N49" t="str">
        <f>IFERROR(_xlfn.XLOOKUP(B49,'00_SKU_Master'!$B$2:$B$378,'00_SKU_Master'!$E$2:$E$378,""),"")</f>
        <v>Whole Bird-Small</v>
      </c>
      <c r="O49">
        <f>IFERROR(_xlfn.XLOOKUP(B49,'00_SKU_Master'!$B$2:$B$378,'00_SKU_Master'!$F$2:$F$378,0),0)</f>
        <v>8.9391652470187299</v>
      </c>
      <c r="P49">
        <f>IFERROR(_xlfn.XLOOKUP(N49,'00_Yield_Rates'!$B$2:$B$33,'00_Yield_Rates'!$E$2:$E$33,0)/100,0)</f>
        <v>0</v>
      </c>
      <c r="Q49">
        <f t="shared" si="3"/>
        <v>1322.996456558772</v>
      </c>
      <c r="R49">
        <f t="shared" si="4"/>
        <v>0</v>
      </c>
      <c r="S49">
        <f t="shared" si="5"/>
        <v>0</v>
      </c>
    </row>
    <row r="50" spans="1:19">
      <c r="A50" s="138" t="str">
        <f>'00_SKU_Master'!J142</f>
        <v>MS BSC BSHB 8XP PP</v>
      </c>
      <c r="B50" s="138">
        <f>'00_SKU_Master'!B142</f>
        <v>2082</v>
      </c>
      <c r="C50" s="165">
        <f>_xlfn.XLOOKUP(B50,'02_TrayPack_Order'!$A$2:$A$265,'02_TrayPack_Order'!$C$2:$C$265)</f>
        <v>0</v>
      </c>
      <c r="D50" s="166">
        <f>_xlfn.XLOOKUP(B50,'02_TrayPack_Order'!$A$2:$A$265,'02_TrayPack_Order'!$L$2:$L$265,0)</f>
        <v>0</v>
      </c>
      <c r="E50" s="165">
        <f>SUMIF('13_Progress_Track'!$A$2:$A$108,B50,'13_Progress_Track'!$E$2:$E$108)</f>
        <v>0</v>
      </c>
      <c r="F50" s="165">
        <f t="shared" si="0"/>
        <v>0</v>
      </c>
      <c r="G50" s="167">
        <f t="shared" si="1"/>
        <v>0</v>
      </c>
      <c r="H50" s="138" t="str">
        <f>_xlfn.IFNA(_xlfn.XLOOKUP(B50,'00_SKU_Master'!$B$2:$B$378,'00_SKU_Master'!$C$2:$C$378),"")</f>
        <v>61050#2</v>
      </c>
      <c r="I50" s="138"/>
      <c r="J50" s="14" t="str">
        <f>_xlfn.IFNA(_xlfn.XLOOKUP(B50,'00_SKU_Master'!B$2:B$378,'00_SKU_Master'!H$2:H$378,0),"")</f>
        <v>LT 8XP</v>
      </c>
      <c r="K50" s="14" t="str">
        <f>_xlfn.IFNA(_xlfn.XLOOKUP(B50,'00_SKU_Master'!B$2:B$378,'00_SKU_Master'!K$2:K$378,0),"")</f>
        <v>Fast</v>
      </c>
      <c r="L50" s="138" t="str">
        <f>_xlfn.XLOOKUP(B50,'00_SKU_Master'!$B$2:$B$378,'00_SKU_Master'!$D$2:$D$378)</f>
        <v>FB</v>
      </c>
      <c r="M50" s="138">
        <f t="shared" si="2"/>
        <v>0</v>
      </c>
      <c r="N50" t="str">
        <f>IFERROR(_xlfn.XLOOKUP(B50,'00_SKU_Master'!$B$2:$B$378,'00_SKU_Master'!$E$2:$E$378,""),"")</f>
        <v>BSB</v>
      </c>
      <c r="O50">
        <f>IFERROR(_xlfn.XLOOKUP(B50,'00_SKU_Master'!$B$2:$B$378,'00_SKU_Master'!$F$2:$F$378,0),0)</f>
        <v>8.5800315075133202</v>
      </c>
      <c r="P50">
        <f>IFERROR(_xlfn.XLOOKUP(N50,'00_Yield_Rates'!$B$2:$B$33,'00_Yield_Rates'!$E$2:$E$33,0)/100,0)</f>
        <v>0.31</v>
      </c>
      <c r="Q50">
        <f t="shared" si="3"/>
        <v>0</v>
      </c>
      <c r="R50">
        <f t="shared" si="4"/>
        <v>0</v>
      </c>
      <c r="S50">
        <f t="shared" si="5"/>
        <v>0</v>
      </c>
    </row>
    <row r="51" spans="1:19">
      <c r="A51" s="138" t="str">
        <f>'00_SKU_Master'!J143</f>
        <v>MB MET BSHB 3D</v>
      </c>
      <c r="B51" s="138">
        <f>'00_SKU_Master'!B143</f>
        <v>2084</v>
      </c>
      <c r="C51" s="165">
        <f>_xlfn.XLOOKUP(B51,'02_TrayPack_Order'!$A$2:$A$265,'02_TrayPack_Order'!$C$2:$C$265)</f>
        <v>199</v>
      </c>
      <c r="D51" s="166">
        <f>_xlfn.XLOOKUP(B51,'02_TrayPack_Order'!$A$2:$A$265,'02_TrayPack_Order'!$L$2:$L$265,0)</f>
        <v>0</v>
      </c>
      <c r="E51" s="165">
        <f>SUMIF('13_Progress_Track'!$A$2:$A$108,B51,'13_Progress_Track'!$E$2:$E$108)</f>
        <v>0</v>
      </c>
      <c r="F51" s="165">
        <f t="shared" si="0"/>
        <v>0</v>
      </c>
      <c r="G51" s="167">
        <f t="shared" si="1"/>
        <v>199</v>
      </c>
      <c r="H51" s="138" t="str">
        <f>_xlfn.IFNA(_xlfn.XLOOKUP(B51,'00_SKU_Master'!$B$2:$B$378,'00_SKU_Master'!$C$2:$C$378),"")</f>
        <v>61050F</v>
      </c>
      <c r="I51" s="138"/>
      <c r="J51" s="14" t="str">
        <f>_xlfn.IFNA(_xlfn.XLOOKUP(B51,'00_SKU_Master'!B$2:B$378,'00_SKU_Master'!H$2:H$378,0),"")</f>
        <v>ST 3D</v>
      </c>
      <c r="K51" s="14" t="str">
        <f>_xlfn.IFNA(_xlfn.XLOOKUP(B51,'00_SKU_Master'!B$2:B$378,'00_SKU_Master'!K$2:K$378,0),"")</f>
        <v>Fast</v>
      </c>
      <c r="L51" s="138" t="str">
        <f>_xlfn.XLOOKUP(B51,'00_SKU_Master'!$B$2:$B$378,'00_SKU_Master'!$D$2:$D$378)</f>
        <v>METRO</v>
      </c>
      <c r="M51" s="138">
        <f t="shared" si="2"/>
        <v>199</v>
      </c>
      <c r="N51" t="str">
        <f>IFERROR(_xlfn.XLOOKUP(B51,'00_SKU_Master'!$B$2:$B$378,'00_SKU_Master'!$E$2:$E$378,""),"")</f>
        <v>BSB</v>
      </c>
      <c r="O51">
        <f>IFERROR(_xlfn.XLOOKUP(B51,'00_SKU_Master'!$B$2:$B$378,'00_SKU_Master'!$F$2:$F$378,0),0)</f>
        <v>5.9302396021699799</v>
      </c>
      <c r="P51">
        <f>IFERROR(_xlfn.XLOOKUP(N51,'00_Yield_Rates'!$B$2:$B$33,'00_Yield_Rates'!$E$2:$E$33,0)/100,0)</f>
        <v>0.31</v>
      </c>
      <c r="Q51">
        <f t="shared" si="3"/>
        <v>1180.117680831826</v>
      </c>
      <c r="R51">
        <f t="shared" si="4"/>
        <v>3806.8312284897611</v>
      </c>
      <c r="S51">
        <f t="shared" si="5"/>
        <v>5.6</v>
      </c>
    </row>
    <row r="52" spans="1:19">
      <c r="A52" s="138" t="str">
        <f>'00_SKU_Master'!J144</f>
        <v>MB MET BSTHIGH 3D</v>
      </c>
      <c r="B52" s="138">
        <f>'00_SKU_Master'!B144</f>
        <v>2085</v>
      </c>
      <c r="C52" s="165">
        <f>_xlfn.XLOOKUP(B52,'02_TrayPack_Order'!$A$2:$A$265,'02_TrayPack_Order'!$C$2:$C$265)</f>
        <v>80</v>
      </c>
      <c r="D52" s="166">
        <f>_xlfn.XLOOKUP(B52,'02_TrayPack_Order'!$A$2:$A$265,'02_TrayPack_Order'!$L$2:$L$265,0)</f>
        <v>0</v>
      </c>
      <c r="E52" s="165">
        <f>SUMIF('13_Progress_Track'!$A$2:$A$108,B52,'13_Progress_Track'!$E$2:$E$108)</f>
        <v>0</v>
      </c>
      <c r="F52" s="165">
        <f t="shared" si="0"/>
        <v>0</v>
      </c>
      <c r="G52" s="167">
        <f t="shared" si="1"/>
        <v>80</v>
      </c>
      <c r="H52" s="138" t="str">
        <f>_xlfn.IFNA(_xlfn.XLOOKUP(B52,'00_SKU_Master'!$B$2:$B$378,'00_SKU_Master'!$C$2:$C$378),"")</f>
        <v>61086#2</v>
      </c>
      <c r="I52" s="138"/>
      <c r="J52" s="14" t="str">
        <f>_xlfn.IFNA(_xlfn.XLOOKUP(B52,'00_SKU_Master'!B$2:B$378,'00_SKU_Master'!H$2:H$378,0),"")</f>
        <v>ST 3D</v>
      </c>
      <c r="K52" s="14" t="str">
        <f>_xlfn.IFNA(_xlfn.XLOOKUP(B52,'00_SKU_Master'!B$2:B$378,'00_SKU_Master'!K$2:K$378,0),"")</f>
        <v>Slow</v>
      </c>
      <c r="L52" s="138" t="str">
        <f>_xlfn.XLOOKUP(B52,'00_SKU_Master'!$B$2:$B$378,'00_SKU_Master'!$D$2:$D$378)</f>
        <v>METRO</v>
      </c>
      <c r="M52" s="138">
        <f t="shared" si="2"/>
        <v>80</v>
      </c>
      <c r="N52" t="str">
        <f>IFERROR(_xlfn.XLOOKUP(B52,'00_SKU_Master'!$B$2:$B$378,'00_SKU_Master'!$E$2:$E$378,""),"")</f>
        <v>ThighMeat</v>
      </c>
      <c r="O52">
        <f>IFERROR(_xlfn.XLOOKUP(B52,'00_SKU_Master'!$B$2:$B$378,'00_SKU_Master'!$F$2:$F$378,0),0)</f>
        <v>4.8638857522417798</v>
      </c>
      <c r="P52">
        <f>IFERROR(_xlfn.XLOOKUP(N52,'00_Yield_Rates'!$B$2:$B$33,'00_Yield_Rates'!$E$2:$E$33,0)/100,0)</f>
        <v>0.105</v>
      </c>
      <c r="Q52">
        <f t="shared" si="3"/>
        <v>389.11086017934235</v>
      </c>
      <c r="R52">
        <f t="shared" si="4"/>
        <v>3705.8177159937368</v>
      </c>
      <c r="S52">
        <f t="shared" si="5"/>
        <v>5.5</v>
      </c>
    </row>
    <row r="53" spans="1:19">
      <c r="A53" s="138" t="str">
        <f>'00_SKU_Master'!J145</f>
        <v>MS SOB BSHB AC 3XP</v>
      </c>
      <c r="B53" s="138">
        <f>'00_SKU_Master'!B145</f>
        <v>2086</v>
      </c>
      <c r="C53" s="165">
        <f>_xlfn.XLOOKUP(B53,'02_TrayPack_Order'!$A$2:$A$265,'02_TrayPack_Order'!$C$2:$C$265)</f>
        <v>0</v>
      </c>
      <c r="D53" s="166">
        <f>_xlfn.XLOOKUP(B53,'02_TrayPack_Order'!$A$2:$A$265,'02_TrayPack_Order'!$L$2:$L$265,0)</f>
        <v>0</v>
      </c>
      <c r="E53" s="165">
        <f>SUMIF('13_Progress_Track'!$A$2:$A$108,B53,'13_Progress_Track'!$E$2:$E$108)</f>
        <v>0</v>
      </c>
      <c r="F53" s="165">
        <f t="shared" si="0"/>
        <v>0</v>
      </c>
      <c r="G53" s="167">
        <f t="shared" si="1"/>
        <v>0</v>
      </c>
      <c r="H53" s="138">
        <f>_xlfn.IFNA(_xlfn.XLOOKUP(B53,'00_SKU_Master'!$B$2:$B$378,'00_SKU_Master'!$C$2:$C$378),"")</f>
        <v>61050</v>
      </c>
      <c r="I53" s="138"/>
      <c r="J53" s="14" t="str">
        <f>_xlfn.IFNA(_xlfn.XLOOKUP(B53,'00_SKU_Master'!B$2:B$378,'00_SKU_Master'!H$2:H$378,0),"")</f>
        <v>ST 3XP</v>
      </c>
      <c r="K53" s="14" t="str">
        <f>_xlfn.IFNA(_xlfn.XLOOKUP(B53,'00_SKU_Master'!B$2:B$378,'00_SKU_Master'!K$2:K$378,0),"")</f>
        <v>Fast</v>
      </c>
      <c r="L53" s="138" t="str">
        <f>_xlfn.XLOOKUP(B53,'00_SKU_Master'!$B$2:$B$378,'00_SKU_Master'!$D$2:$D$378)</f>
        <v>SOB</v>
      </c>
      <c r="M53" s="138">
        <f t="shared" si="2"/>
        <v>0</v>
      </c>
      <c r="N53" t="str">
        <f>IFERROR(_xlfn.XLOOKUP(B53,'00_SKU_Master'!$B$2:$B$378,'00_SKU_Master'!$E$2:$E$378,""),"")</f>
        <v>BSB</v>
      </c>
      <c r="O53">
        <f>IFERROR(_xlfn.XLOOKUP(B53,'00_SKU_Master'!$B$2:$B$378,'00_SKU_Master'!$F$2:$F$378,0),0)</f>
        <v>0</v>
      </c>
      <c r="P53">
        <f>IFERROR(_xlfn.XLOOKUP(N53,'00_Yield_Rates'!$B$2:$B$33,'00_Yield_Rates'!$E$2:$E$33,0)/100,0)</f>
        <v>0.31</v>
      </c>
      <c r="Q53">
        <f t="shared" si="3"/>
        <v>0</v>
      </c>
      <c r="R53">
        <f t="shared" si="4"/>
        <v>0</v>
      </c>
      <c r="S53">
        <f t="shared" si="5"/>
        <v>0</v>
      </c>
    </row>
    <row r="54" spans="1:19">
      <c r="A54" s="138" t="str">
        <f>'00_SKU_Master'!J146</f>
        <v>MS SOB BSHB AC 6D</v>
      </c>
      <c r="B54" s="138">
        <f>'00_SKU_Master'!B146</f>
        <v>2087</v>
      </c>
      <c r="C54" s="165">
        <f>_xlfn.XLOOKUP(B54,'02_TrayPack_Order'!$A$2:$A$265,'02_TrayPack_Order'!$C$2:$C$265)</f>
        <v>0</v>
      </c>
      <c r="D54" s="166">
        <f>_xlfn.XLOOKUP(B54,'02_TrayPack_Order'!$A$2:$A$265,'02_TrayPack_Order'!$L$2:$L$265,0)</f>
        <v>0</v>
      </c>
      <c r="E54" s="165">
        <f>SUMIF('13_Progress_Track'!$A$2:$A$108,B54,'13_Progress_Track'!$E$2:$E$108)</f>
        <v>0</v>
      </c>
      <c r="F54" s="165">
        <f t="shared" si="0"/>
        <v>0</v>
      </c>
      <c r="G54" s="167">
        <f t="shared" si="1"/>
        <v>0</v>
      </c>
      <c r="H54" s="138">
        <f>_xlfn.IFNA(_xlfn.XLOOKUP(B54,'00_SKU_Master'!$B$2:$B$378,'00_SKU_Master'!$C$2:$C$378),"")</f>
        <v>61050</v>
      </c>
      <c r="I54" s="138"/>
      <c r="J54" s="14" t="str">
        <f>_xlfn.IFNA(_xlfn.XLOOKUP(B54,'00_SKU_Master'!B$2:B$378,'00_SKU_Master'!H$2:H$378,0),"")</f>
        <v>LT 6D</v>
      </c>
      <c r="K54" s="14" t="str">
        <f>_xlfn.IFNA(_xlfn.XLOOKUP(B54,'00_SKU_Master'!B$2:B$378,'00_SKU_Master'!K$2:K$378,0),"")</f>
        <v>Fast</v>
      </c>
      <c r="L54" s="138" t="str">
        <f>_xlfn.XLOOKUP(B54,'00_SKU_Master'!$B$2:$B$378,'00_SKU_Master'!$D$2:$D$378)</f>
        <v>SOB</v>
      </c>
      <c r="M54" s="138">
        <f t="shared" si="2"/>
        <v>0</v>
      </c>
      <c r="N54" t="str">
        <f>IFERROR(_xlfn.XLOOKUP(B54,'00_SKU_Master'!$B$2:$B$378,'00_SKU_Master'!$E$2:$E$378,""),"")</f>
        <v>BSB</v>
      </c>
      <c r="O54">
        <f>IFERROR(_xlfn.XLOOKUP(B54,'00_SKU_Master'!$B$2:$B$378,'00_SKU_Master'!$F$2:$F$378,0),0)</f>
        <v>0</v>
      </c>
      <c r="P54">
        <f>IFERROR(_xlfn.XLOOKUP(N54,'00_Yield_Rates'!$B$2:$B$33,'00_Yield_Rates'!$E$2:$E$33,0)/100,0)</f>
        <v>0.31</v>
      </c>
      <c r="Q54">
        <f t="shared" si="3"/>
        <v>0</v>
      </c>
      <c r="R54">
        <f t="shared" si="4"/>
        <v>0</v>
      </c>
      <c r="S54">
        <f t="shared" si="5"/>
        <v>0</v>
      </c>
    </row>
    <row r="55" spans="1:19">
      <c r="A55" s="138" t="str">
        <f>'00_SKU_Master'!J147</f>
        <v>MS SOB FILLET AC 3XP</v>
      </c>
      <c r="B55" s="138">
        <f>'00_SKU_Master'!B147</f>
        <v>2088</v>
      </c>
      <c r="C55" s="165">
        <f>_xlfn.XLOOKUP(B55,'02_TrayPack_Order'!$A$2:$A$265,'02_TrayPack_Order'!$C$2:$C$265)</f>
        <v>0</v>
      </c>
      <c r="D55" s="166">
        <f>_xlfn.XLOOKUP(B55,'02_TrayPack_Order'!$A$2:$A$265,'02_TrayPack_Order'!$L$2:$L$265,0)</f>
        <v>0</v>
      </c>
      <c r="E55" s="165">
        <f>SUMIF('13_Progress_Track'!$A$2:$A$108,B55,'13_Progress_Track'!$E$2:$E$108)</f>
        <v>0</v>
      </c>
      <c r="F55" s="165">
        <f t="shared" si="0"/>
        <v>0</v>
      </c>
      <c r="G55" s="167">
        <f t="shared" si="1"/>
        <v>0</v>
      </c>
      <c r="H55" s="138">
        <f>_xlfn.IFNA(_xlfn.XLOOKUP(B55,'00_SKU_Master'!$B$2:$B$378,'00_SKU_Master'!$C$2:$C$378),"")</f>
        <v>61054</v>
      </c>
      <c r="I55" s="138"/>
      <c r="J55" s="14" t="str">
        <f>_xlfn.IFNA(_xlfn.XLOOKUP(B55,'00_SKU_Master'!B$2:B$378,'00_SKU_Master'!H$2:H$378,0),"")</f>
        <v>ST 3XP</v>
      </c>
      <c r="K55" s="14" t="str">
        <f>_xlfn.IFNA(_xlfn.XLOOKUP(B55,'00_SKU_Master'!B$2:B$378,'00_SKU_Master'!K$2:K$378,0),"")</f>
        <v>Slow</v>
      </c>
      <c r="L55" s="138" t="str">
        <f>_xlfn.XLOOKUP(B55,'00_SKU_Master'!$B$2:$B$378,'00_SKU_Master'!$D$2:$D$378)</f>
        <v>SOB</v>
      </c>
      <c r="M55" s="138">
        <f t="shared" si="2"/>
        <v>0</v>
      </c>
      <c r="N55" t="str">
        <f>IFERROR(_xlfn.XLOOKUP(B55,'00_SKU_Master'!$B$2:$B$378,'00_SKU_Master'!$E$2:$E$378,""),"")</f>
        <v>Fillet</v>
      </c>
      <c r="O55">
        <f>IFERROR(_xlfn.XLOOKUP(B55,'00_SKU_Master'!$B$2:$B$378,'00_SKU_Master'!$F$2:$F$378,0),0)</f>
        <v>0</v>
      </c>
      <c r="P55">
        <f>IFERROR(_xlfn.XLOOKUP(N55,'00_Yield_Rates'!$B$2:$B$33,'00_Yield_Rates'!$E$2:$E$33,0)/100,0)</f>
        <v>4.1200000000000001E-2</v>
      </c>
      <c r="Q55">
        <f t="shared" si="3"/>
        <v>0</v>
      </c>
      <c r="R55">
        <f t="shared" si="4"/>
        <v>0</v>
      </c>
      <c r="S55">
        <f t="shared" si="5"/>
        <v>0</v>
      </c>
    </row>
    <row r="56" spans="1:19">
      <c r="A56" s="138" t="str">
        <f>'00_SKU_Master'!J148</f>
        <v>MS SOB HB AC 3XP</v>
      </c>
      <c r="B56" s="138">
        <f>'00_SKU_Master'!B148</f>
        <v>2089</v>
      </c>
      <c r="C56" s="165">
        <f>_xlfn.XLOOKUP(B56,'02_TrayPack_Order'!$A$2:$A$265,'02_TrayPack_Order'!$C$2:$C$265)</f>
        <v>0</v>
      </c>
      <c r="D56" s="166">
        <f>_xlfn.XLOOKUP(B56,'02_TrayPack_Order'!$A$2:$A$265,'02_TrayPack_Order'!$L$2:$L$265,0)</f>
        <v>0</v>
      </c>
      <c r="E56" s="165">
        <f>SUMIF('13_Progress_Track'!$A$2:$A$108,B56,'13_Progress_Track'!$E$2:$E$108)</f>
        <v>0</v>
      </c>
      <c r="F56" s="165">
        <f t="shared" si="0"/>
        <v>0</v>
      </c>
      <c r="G56" s="167">
        <f t="shared" si="1"/>
        <v>0</v>
      </c>
      <c r="H56" s="138">
        <f>_xlfn.IFNA(_xlfn.XLOOKUP(B56,'00_SKU_Master'!$B$2:$B$378,'00_SKU_Master'!$C$2:$C$378),"")</f>
        <v>61040</v>
      </c>
      <c r="I56" s="138"/>
      <c r="J56" s="14" t="str">
        <f>_xlfn.IFNA(_xlfn.XLOOKUP(B56,'00_SKU_Master'!B$2:B$378,'00_SKU_Master'!H$2:H$378,0),"")</f>
        <v>ST 3XP</v>
      </c>
      <c r="K56" s="14" t="str">
        <f>_xlfn.IFNA(_xlfn.XLOOKUP(B56,'00_SKU_Master'!B$2:B$378,'00_SKU_Master'!K$2:K$378,0),"")</f>
        <v>Fast</v>
      </c>
      <c r="L56" s="138" t="str">
        <f>_xlfn.XLOOKUP(B56,'00_SKU_Master'!$B$2:$B$378,'00_SKU_Master'!$D$2:$D$378)</f>
        <v>SOB</v>
      </c>
      <c r="M56" s="138">
        <f t="shared" si="2"/>
        <v>0</v>
      </c>
      <c r="N56" t="str">
        <f>IFERROR(_xlfn.XLOOKUP(B56,'00_SKU_Master'!$B$2:$B$378,'00_SKU_Master'!$E$2:$E$378,""),"")</f>
        <v>SplitBreast</v>
      </c>
      <c r="O56">
        <f>IFERROR(_xlfn.XLOOKUP(B56,'00_SKU_Master'!$B$2:$B$378,'00_SKU_Master'!$F$2:$F$378,0),0)</f>
        <v>0</v>
      </c>
      <c r="P56">
        <f>IFERROR(_xlfn.XLOOKUP(N56,'00_Yield_Rates'!$B$2:$B$33,'00_Yield_Rates'!$E$2:$E$33,0)/100,0)</f>
        <v>0.43</v>
      </c>
      <c r="Q56">
        <f t="shared" si="3"/>
        <v>0</v>
      </c>
      <c r="R56">
        <f t="shared" si="4"/>
        <v>0</v>
      </c>
      <c r="S56">
        <f t="shared" si="5"/>
        <v>0</v>
      </c>
    </row>
    <row r="57" spans="1:19">
      <c r="A57" s="138" t="str">
        <f>'00_SKU_Master'!J149</f>
        <v>MS SOB HB AC 8XP</v>
      </c>
      <c r="B57" s="138">
        <f>'00_SKU_Master'!B149</f>
        <v>2090</v>
      </c>
      <c r="C57" s="165">
        <f>_xlfn.XLOOKUP(B57,'02_TrayPack_Order'!$A$2:$A$265,'02_TrayPack_Order'!$C$2:$C$265)</f>
        <v>0</v>
      </c>
      <c r="D57" s="166">
        <f>_xlfn.XLOOKUP(B57,'02_TrayPack_Order'!$A$2:$A$265,'02_TrayPack_Order'!$L$2:$L$265,0)</f>
        <v>0</v>
      </c>
      <c r="E57" s="165">
        <f>SUMIF('13_Progress_Track'!$A$2:$A$108,B57,'13_Progress_Track'!$E$2:$E$108)</f>
        <v>0</v>
      </c>
      <c r="F57" s="165">
        <f t="shared" si="0"/>
        <v>0</v>
      </c>
      <c r="G57" s="167">
        <f t="shared" si="1"/>
        <v>0</v>
      </c>
      <c r="H57" s="138">
        <f>_xlfn.IFNA(_xlfn.XLOOKUP(B57,'00_SKU_Master'!$B$2:$B$378,'00_SKU_Master'!$C$2:$C$378),"")</f>
        <v>61040</v>
      </c>
      <c r="I57" s="138"/>
      <c r="J57" s="14" t="str">
        <f>_xlfn.IFNA(_xlfn.XLOOKUP(B57,'00_SKU_Master'!B$2:B$378,'00_SKU_Master'!H$2:H$378,0),"")</f>
        <v>LT 8XP</v>
      </c>
      <c r="K57" s="14" t="str">
        <f>_xlfn.IFNA(_xlfn.XLOOKUP(B57,'00_SKU_Master'!B$2:B$378,'00_SKU_Master'!K$2:K$378,0),"")</f>
        <v>Fast</v>
      </c>
      <c r="L57" s="138" t="str">
        <f>_xlfn.XLOOKUP(B57,'00_SKU_Master'!$B$2:$B$378,'00_SKU_Master'!$D$2:$D$378)</f>
        <v>SOB</v>
      </c>
      <c r="M57" s="138">
        <f t="shared" si="2"/>
        <v>0</v>
      </c>
      <c r="N57" t="str">
        <f>IFERROR(_xlfn.XLOOKUP(B57,'00_SKU_Master'!$B$2:$B$378,'00_SKU_Master'!$E$2:$E$378,""),"")</f>
        <v>SplitBreast</v>
      </c>
      <c r="O57">
        <f>IFERROR(_xlfn.XLOOKUP(B57,'00_SKU_Master'!$B$2:$B$378,'00_SKU_Master'!$F$2:$F$378,0),0)</f>
        <v>0</v>
      </c>
      <c r="P57">
        <f>IFERROR(_xlfn.XLOOKUP(N57,'00_Yield_Rates'!$B$2:$B$33,'00_Yield_Rates'!$E$2:$E$33,0)/100,0)</f>
        <v>0.43</v>
      </c>
      <c r="Q57">
        <f t="shared" si="3"/>
        <v>0</v>
      </c>
      <c r="R57">
        <f t="shared" si="4"/>
        <v>0</v>
      </c>
      <c r="S57">
        <f t="shared" si="5"/>
        <v>0</v>
      </c>
    </row>
    <row r="58" spans="1:19">
      <c r="A58" s="138" t="str">
        <f>'00_SKU_Master'!J150</f>
        <v>MS SOB LEG BA AC 8XP</v>
      </c>
      <c r="B58" s="138">
        <f>'00_SKU_Master'!B150</f>
        <v>2091</v>
      </c>
      <c r="C58" s="165">
        <f>_xlfn.XLOOKUP(B58,'02_TrayPack_Order'!$A$2:$A$265,'02_TrayPack_Order'!$C$2:$C$265)</f>
        <v>0</v>
      </c>
      <c r="D58" s="166">
        <f>_xlfn.XLOOKUP(B58,'02_TrayPack_Order'!$A$2:$A$265,'02_TrayPack_Order'!$L$2:$L$265,0)</f>
        <v>0</v>
      </c>
      <c r="E58" s="165">
        <f>SUMIF('13_Progress_Track'!$A$2:$A$108,B58,'13_Progress_Track'!$E$2:$E$108)</f>
        <v>0</v>
      </c>
      <c r="F58" s="165">
        <f t="shared" si="0"/>
        <v>0</v>
      </c>
      <c r="G58" s="167">
        <f t="shared" si="1"/>
        <v>0</v>
      </c>
      <c r="H58" s="138">
        <f>_xlfn.IFNA(_xlfn.XLOOKUP(B58,'00_SKU_Master'!$B$2:$B$378,'00_SKU_Master'!$C$2:$C$378),"")</f>
        <v>61061</v>
      </c>
      <c r="I58" s="138"/>
      <c r="J58" s="14" t="str">
        <f>_xlfn.IFNA(_xlfn.XLOOKUP(B58,'00_SKU_Master'!B$2:B$378,'00_SKU_Master'!H$2:H$378,0),"")</f>
        <v>LT 8XP</v>
      </c>
      <c r="K58" s="14" t="str">
        <f>_xlfn.IFNA(_xlfn.XLOOKUP(B58,'00_SKU_Master'!B$2:B$378,'00_SKU_Master'!K$2:K$378,0),"")</f>
        <v>Fast</v>
      </c>
      <c r="L58" s="138" t="str">
        <f>_xlfn.XLOOKUP(B58,'00_SKU_Master'!$B$2:$B$378,'00_SKU_Master'!$D$2:$D$378)</f>
        <v>SOB</v>
      </c>
      <c r="M58" s="138">
        <f t="shared" si="2"/>
        <v>0</v>
      </c>
      <c r="N58" t="str">
        <f>IFERROR(_xlfn.XLOOKUP(B58,'00_SKU_Master'!$B$2:$B$378,'00_SKU_Master'!$E$2:$E$378,""),"")</f>
        <v>BA</v>
      </c>
      <c r="O58">
        <f>IFERROR(_xlfn.XLOOKUP(B58,'00_SKU_Master'!$B$2:$B$378,'00_SKU_Master'!$F$2:$F$378,0),0)</f>
        <v>0</v>
      </c>
      <c r="P58">
        <f>IFERROR(_xlfn.XLOOKUP(N58,'00_Yield_Rates'!$B$2:$B$33,'00_Yield_Rates'!$E$2:$E$33,0)/100,0)</f>
        <v>0.42</v>
      </c>
      <c r="Q58">
        <f t="shared" si="3"/>
        <v>0</v>
      </c>
      <c r="R58">
        <f t="shared" si="4"/>
        <v>0</v>
      </c>
      <c r="S58">
        <f t="shared" si="5"/>
        <v>0</v>
      </c>
    </row>
    <row r="59" spans="1:19">
      <c r="A59" s="138" t="str">
        <f>'00_SKU_Master'!J151</f>
        <v>MS SOB DRUM AC 3XP</v>
      </c>
      <c r="B59" s="138">
        <f>'00_SKU_Master'!B151</f>
        <v>2092</v>
      </c>
      <c r="C59" s="165">
        <f>_xlfn.XLOOKUP(B59,'02_TrayPack_Order'!$A$2:$A$265,'02_TrayPack_Order'!$C$2:$C$265)</f>
        <v>0</v>
      </c>
      <c r="D59" s="166">
        <f>_xlfn.XLOOKUP(B59,'02_TrayPack_Order'!$A$2:$A$265,'02_TrayPack_Order'!$L$2:$L$265,0)</f>
        <v>0</v>
      </c>
      <c r="E59" s="165">
        <f>SUMIF('13_Progress_Track'!$A$2:$A$108,B59,'13_Progress_Track'!$E$2:$E$108)</f>
        <v>0</v>
      </c>
      <c r="F59" s="165">
        <f t="shared" si="0"/>
        <v>0</v>
      </c>
      <c r="G59" s="167">
        <f t="shared" si="1"/>
        <v>0</v>
      </c>
      <c r="H59" s="138">
        <f>_xlfn.IFNA(_xlfn.XLOOKUP(B59,'00_SKU_Master'!$B$2:$B$378,'00_SKU_Master'!$C$2:$C$378),"")</f>
        <v>61072</v>
      </c>
      <c r="I59" s="138"/>
      <c r="J59" s="14" t="str">
        <f>_xlfn.IFNA(_xlfn.XLOOKUP(B59,'00_SKU_Master'!B$2:B$378,'00_SKU_Master'!H$2:H$378,0),"")</f>
        <v>ST 3XP</v>
      </c>
      <c r="K59" s="14" t="str">
        <f>_xlfn.IFNA(_xlfn.XLOOKUP(B59,'00_SKU_Master'!B$2:B$378,'00_SKU_Master'!K$2:K$378,0),"")</f>
        <v>Fast</v>
      </c>
      <c r="L59" s="138" t="str">
        <f>_xlfn.XLOOKUP(B59,'00_SKU_Master'!$B$2:$B$378,'00_SKU_Master'!$D$2:$D$378)</f>
        <v>SOB</v>
      </c>
      <c r="M59" s="138">
        <f t="shared" si="2"/>
        <v>0</v>
      </c>
      <c r="N59" t="str">
        <f>IFERROR(_xlfn.XLOOKUP(B59,'00_SKU_Master'!$B$2:$B$378,'00_SKU_Master'!$E$2:$E$378,""),"")</f>
        <v>Drum</v>
      </c>
      <c r="O59">
        <f>IFERROR(_xlfn.XLOOKUP(B59,'00_SKU_Master'!$B$2:$B$378,'00_SKU_Master'!$F$2:$F$378,0),0)</f>
        <v>0</v>
      </c>
      <c r="P59">
        <f>IFERROR(_xlfn.XLOOKUP(N59,'00_Yield_Rates'!$B$2:$B$33,'00_Yield_Rates'!$E$2:$E$33,0)/100,0)</f>
        <v>0.128</v>
      </c>
      <c r="Q59">
        <f t="shared" si="3"/>
        <v>0</v>
      </c>
      <c r="R59">
        <f t="shared" si="4"/>
        <v>0</v>
      </c>
      <c r="S59">
        <f t="shared" si="5"/>
        <v>0</v>
      </c>
    </row>
    <row r="60" spans="1:19">
      <c r="A60" s="138" t="str">
        <f>'00_SKU_Master'!J152</f>
        <v>MS SOB DRUM AC 8XP</v>
      </c>
      <c r="B60" s="138">
        <f>'00_SKU_Master'!B152</f>
        <v>2093</v>
      </c>
      <c r="C60" s="165">
        <f>_xlfn.XLOOKUP(B60,'02_TrayPack_Order'!$A$2:$A$265,'02_TrayPack_Order'!$C$2:$C$265)</f>
        <v>0</v>
      </c>
      <c r="D60" s="166">
        <f>_xlfn.XLOOKUP(B60,'02_TrayPack_Order'!$A$2:$A$265,'02_TrayPack_Order'!$L$2:$L$265,0)</f>
        <v>0</v>
      </c>
      <c r="E60" s="165">
        <f>SUMIF('13_Progress_Track'!$A$2:$A$108,B60,'13_Progress_Track'!$E$2:$E$108)</f>
        <v>0</v>
      </c>
      <c r="F60" s="165">
        <f t="shared" si="0"/>
        <v>0</v>
      </c>
      <c r="G60" s="167">
        <f t="shared" si="1"/>
        <v>0</v>
      </c>
      <c r="H60" s="138">
        <f>_xlfn.IFNA(_xlfn.XLOOKUP(B60,'00_SKU_Master'!$B$2:$B$378,'00_SKU_Master'!$C$2:$C$378),"")</f>
        <v>61072</v>
      </c>
      <c r="I60" s="138"/>
      <c r="J60" s="14" t="str">
        <f>_xlfn.IFNA(_xlfn.XLOOKUP(B60,'00_SKU_Master'!B$2:B$378,'00_SKU_Master'!H$2:H$378,0),"")</f>
        <v>LT 8XP</v>
      </c>
      <c r="K60" s="14" t="str">
        <f>_xlfn.IFNA(_xlfn.XLOOKUP(B60,'00_SKU_Master'!B$2:B$378,'00_SKU_Master'!K$2:K$378,0),"")</f>
        <v>Fast</v>
      </c>
      <c r="L60" s="138" t="str">
        <f>_xlfn.XLOOKUP(B60,'00_SKU_Master'!$B$2:$B$378,'00_SKU_Master'!$D$2:$D$378)</f>
        <v>SOB</v>
      </c>
      <c r="M60" s="138">
        <f t="shared" si="2"/>
        <v>0</v>
      </c>
      <c r="N60" t="str">
        <f>IFERROR(_xlfn.XLOOKUP(B60,'00_SKU_Master'!$B$2:$B$378,'00_SKU_Master'!$E$2:$E$378,""),"")</f>
        <v>Drum</v>
      </c>
      <c r="O60">
        <f>IFERROR(_xlfn.XLOOKUP(B60,'00_SKU_Master'!$B$2:$B$378,'00_SKU_Master'!$F$2:$F$378,0),0)</f>
        <v>0</v>
      </c>
      <c r="P60">
        <f>IFERROR(_xlfn.XLOOKUP(N60,'00_Yield_Rates'!$B$2:$B$33,'00_Yield_Rates'!$E$2:$E$33,0)/100,0)</f>
        <v>0.128</v>
      </c>
      <c r="Q60">
        <f t="shared" si="3"/>
        <v>0</v>
      </c>
      <c r="R60">
        <f t="shared" si="4"/>
        <v>0</v>
      </c>
      <c r="S60">
        <f t="shared" si="5"/>
        <v>0</v>
      </c>
    </row>
    <row r="61" spans="1:19">
      <c r="A61" s="138" t="str">
        <f>'00_SKU_Master'!J153</f>
        <v>MS SOB THIGH AC 3XP</v>
      </c>
      <c r="B61" s="138">
        <f>'00_SKU_Master'!B153</f>
        <v>2094</v>
      </c>
      <c r="C61" s="165">
        <f>_xlfn.XLOOKUP(B61,'02_TrayPack_Order'!$A$2:$A$265,'02_TrayPack_Order'!$C$2:$C$265)</f>
        <v>0</v>
      </c>
      <c r="D61" s="166">
        <f>_xlfn.XLOOKUP(B61,'02_TrayPack_Order'!$A$2:$A$265,'02_TrayPack_Order'!$L$2:$L$265,0)</f>
        <v>0</v>
      </c>
      <c r="E61" s="165">
        <f>SUMIF('13_Progress_Track'!$A$2:$A$108,B61,'13_Progress_Track'!$E$2:$E$108)</f>
        <v>0</v>
      </c>
      <c r="F61" s="165">
        <f t="shared" si="0"/>
        <v>0</v>
      </c>
      <c r="G61" s="167">
        <f t="shared" si="1"/>
        <v>0</v>
      </c>
      <c r="H61" s="138">
        <f>_xlfn.IFNA(_xlfn.XLOOKUP(B61,'00_SKU_Master'!$B$2:$B$378,'00_SKU_Master'!$C$2:$C$378),"")</f>
        <v>61077</v>
      </c>
      <c r="I61" s="138"/>
      <c r="J61" s="14" t="str">
        <f>_xlfn.IFNA(_xlfn.XLOOKUP(B61,'00_SKU_Master'!B$2:B$378,'00_SKU_Master'!H$2:H$378,0),"")</f>
        <v>ST 3XP</v>
      </c>
      <c r="K61" s="14" t="str">
        <f>_xlfn.IFNA(_xlfn.XLOOKUP(B61,'00_SKU_Master'!B$2:B$378,'00_SKU_Master'!K$2:K$378,0),"")</f>
        <v>Fast</v>
      </c>
      <c r="L61" s="138" t="str">
        <f>_xlfn.XLOOKUP(B61,'00_SKU_Master'!$B$2:$B$378,'00_SKU_Master'!$D$2:$D$378)</f>
        <v>SOB</v>
      </c>
      <c r="M61" s="138">
        <f t="shared" si="2"/>
        <v>0</v>
      </c>
      <c r="N61" t="str">
        <f>IFERROR(_xlfn.XLOOKUP(B61,'00_SKU_Master'!$B$2:$B$378,'00_SKU_Master'!$E$2:$E$378,""),"")</f>
        <v>Thigh</v>
      </c>
      <c r="O61">
        <f>IFERROR(_xlfn.XLOOKUP(B61,'00_SKU_Master'!$B$2:$B$378,'00_SKU_Master'!$F$2:$F$378,0),0)</f>
        <v>0</v>
      </c>
      <c r="P61">
        <f>IFERROR(_xlfn.XLOOKUP(N61,'00_Yield_Rates'!$B$2:$B$33,'00_Yield_Rates'!$E$2:$E$33,0)/100,0)</f>
        <v>0.191</v>
      </c>
      <c r="Q61">
        <f t="shared" si="3"/>
        <v>0</v>
      </c>
      <c r="R61">
        <f t="shared" si="4"/>
        <v>0</v>
      </c>
      <c r="S61">
        <f t="shared" si="5"/>
        <v>0</v>
      </c>
    </row>
    <row r="62" spans="1:19">
      <c r="A62" s="138" t="str">
        <f>'00_SKU_Master'!J154</f>
        <v>MS SOB THIGH AC 8XP</v>
      </c>
      <c r="B62" s="138">
        <f>'00_SKU_Master'!B154</f>
        <v>2095</v>
      </c>
      <c r="C62" s="165">
        <f>_xlfn.XLOOKUP(B62,'02_TrayPack_Order'!$A$2:$A$265,'02_TrayPack_Order'!$C$2:$C$265)</f>
        <v>0</v>
      </c>
      <c r="D62" s="166">
        <f>_xlfn.XLOOKUP(B62,'02_TrayPack_Order'!$A$2:$A$265,'02_TrayPack_Order'!$L$2:$L$265,0)</f>
        <v>0</v>
      </c>
      <c r="E62" s="165">
        <f>SUMIF('13_Progress_Track'!$A$2:$A$108,B62,'13_Progress_Track'!$E$2:$E$108)</f>
        <v>0</v>
      </c>
      <c r="F62" s="165">
        <f t="shared" si="0"/>
        <v>0</v>
      </c>
      <c r="G62" s="167">
        <f t="shared" si="1"/>
        <v>0</v>
      </c>
      <c r="H62" s="138">
        <f>_xlfn.IFNA(_xlfn.XLOOKUP(B62,'00_SKU_Master'!$B$2:$B$378,'00_SKU_Master'!$C$2:$C$378),"")</f>
        <v>61077</v>
      </c>
      <c r="I62" s="138"/>
      <c r="J62" s="14" t="str">
        <f>_xlfn.IFNA(_xlfn.XLOOKUP(B62,'00_SKU_Master'!B$2:B$378,'00_SKU_Master'!H$2:H$378,0),"")</f>
        <v>LT 8XP</v>
      </c>
      <c r="K62" s="14" t="str">
        <f>_xlfn.IFNA(_xlfn.XLOOKUP(B62,'00_SKU_Master'!B$2:B$378,'00_SKU_Master'!K$2:K$378,0),"")</f>
        <v>Fast</v>
      </c>
      <c r="L62" s="138" t="str">
        <f>_xlfn.XLOOKUP(B62,'00_SKU_Master'!$B$2:$B$378,'00_SKU_Master'!$D$2:$D$378)</f>
        <v>SOB</v>
      </c>
      <c r="M62" s="138">
        <f t="shared" si="2"/>
        <v>0</v>
      </c>
      <c r="N62" t="str">
        <f>IFERROR(_xlfn.XLOOKUP(B62,'00_SKU_Master'!$B$2:$B$378,'00_SKU_Master'!$E$2:$E$378,""),"")</f>
        <v>Thigh</v>
      </c>
      <c r="O62">
        <f>IFERROR(_xlfn.XLOOKUP(B62,'00_SKU_Master'!$B$2:$B$378,'00_SKU_Master'!$F$2:$F$378,0),0)</f>
        <v>0</v>
      </c>
      <c r="P62">
        <f>IFERROR(_xlfn.XLOOKUP(N62,'00_Yield_Rates'!$B$2:$B$33,'00_Yield_Rates'!$E$2:$E$33,0)/100,0)</f>
        <v>0.191</v>
      </c>
      <c r="Q62">
        <f t="shared" si="3"/>
        <v>0</v>
      </c>
      <c r="R62">
        <f t="shared" si="4"/>
        <v>0</v>
      </c>
      <c r="S62">
        <f t="shared" si="5"/>
        <v>0</v>
      </c>
    </row>
    <row r="63" spans="1:19">
      <c r="A63" s="138" t="str">
        <f>'00_SKU_Master'!J155</f>
        <v>MS SOB BSTHIGH AC 3XP</v>
      </c>
      <c r="B63" s="138">
        <f>'00_SKU_Master'!B155</f>
        <v>2096</v>
      </c>
      <c r="C63" s="165">
        <f>_xlfn.XLOOKUP(B63,'02_TrayPack_Order'!$A$2:$A$265,'02_TrayPack_Order'!$C$2:$C$265)</f>
        <v>0</v>
      </c>
      <c r="D63" s="166">
        <f>_xlfn.XLOOKUP(B63,'02_TrayPack_Order'!$A$2:$A$265,'02_TrayPack_Order'!$L$2:$L$265,0)</f>
        <v>0</v>
      </c>
      <c r="E63" s="165">
        <f>SUMIF('13_Progress_Track'!$A$2:$A$108,B63,'13_Progress_Track'!$E$2:$E$108)</f>
        <v>0</v>
      </c>
      <c r="F63" s="165">
        <f t="shared" si="0"/>
        <v>0</v>
      </c>
      <c r="G63" s="167">
        <f t="shared" si="1"/>
        <v>0</v>
      </c>
      <c r="H63" s="138">
        <f>_xlfn.IFNA(_xlfn.XLOOKUP(B63,'00_SKU_Master'!$B$2:$B$378,'00_SKU_Master'!$C$2:$C$378),"")</f>
        <v>61086</v>
      </c>
      <c r="I63" s="138"/>
      <c r="J63" s="14" t="str">
        <f>_xlfn.IFNA(_xlfn.XLOOKUP(B63,'00_SKU_Master'!B$2:B$378,'00_SKU_Master'!H$2:H$378,0),"")</f>
        <v>ST 3XP</v>
      </c>
      <c r="K63" s="14" t="str">
        <f>_xlfn.IFNA(_xlfn.XLOOKUP(B63,'00_SKU_Master'!B$2:B$378,'00_SKU_Master'!K$2:K$378,0),"")</f>
        <v>Slow</v>
      </c>
      <c r="L63" s="138" t="str">
        <f>_xlfn.XLOOKUP(B63,'00_SKU_Master'!$B$2:$B$378,'00_SKU_Master'!$D$2:$D$378)</f>
        <v>SOB</v>
      </c>
      <c r="M63" s="138">
        <f t="shared" si="2"/>
        <v>0</v>
      </c>
      <c r="N63" t="str">
        <f>IFERROR(_xlfn.XLOOKUP(B63,'00_SKU_Master'!$B$2:$B$378,'00_SKU_Master'!$E$2:$E$378,""),"")</f>
        <v>ThighMeat</v>
      </c>
      <c r="O63">
        <f>IFERROR(_xlfn.XLOOKUP(B63,'00_SKU_Master'!$B$2:$B$378,'00_SKU_Master'!$F$2:$F$378,0),0)</f>
        <v>0</v>
      </c>
      <c r="P63">
        <f>IFERROR(_xlfn.XLOOKUP(N63,'00_Yield_Rates'!$B$2:$B$33,'00_Yield_Rates'!$E$2:$E$33,0)/100,0)</f>
        <v>0.105</v>
      </c>
      <c r="Q63">
        <f t="shared" si="3"/>
        <v>0</v>
      </c>
      <c r="R63">
        <f t="shared" si="4"/>
        <v>0</v>
      </c>
      <c r="S63">
        <f t="shared" si="5"/>
        <v>0</v>
      </c>
    </row>
    <row r="64" spans="1:19">
      <c r="A64" s="138" t="str">
        <f>'00_SKU_Master'!J156</f>
        <v>MS SOB BSTHIGH AC 6D</v>
      </c>
      <c r="B64" s="138">
        <f>'00_SKU_Master'!B156</f>
        <v>2097</v>
      </c>
      <c r="C64" s="165">
        <f>_xlfn.XLOOKUP(B64,'02_TrayPack_Order'!$A$2:$A$265,'02_TrayPack_Order'!$C$2:$C$265)</f>
        <v>0</v>
      </c>
      <c r="D64" s="166">
        <f>_xlfn.XLOOKUP(B64,'02_TrayPack_Order'!$A$2:$A$265,'02_TrayPack_Order'!$L$2:$L$265,0)</f>
        <v>0</v>
      </c>
      <c r="E64" s="165">
        <f>SUMIF('13_Progress_Track'!$A$2:$A$108,B64,'13_Progress_Track'!$E$2:$E$108)</f>
        <v>0</v>
      </c>
      <c r="F64" s="165">
        <f t="shared" si="0"/>
        <v>0</v>
      </c>
      <c r="G64" s="167">
        <f t="shared" si="1"/>
        <v>0</v>
      </c>
      <c r="H64" s="138">
        <f>_xlfn.IFNA(_xlfn.XLOOKUP(B64,'00_SKU_Master'!$B$2:$B$378,'00_SKU_Master'!$C$2:$C$378),"")</f>
        <v>61086</v>
      </c>
      <c r="I64" s="138"/>
      <c r="J64" s="14" t="str">
        <f>_xlfn.IFNA(_xlfn.XLOOKUP(B64,'00_SKU_Master'!B$2:B$378,'00_SKU_Master'!H$2:H$378,0),"")</f>
        <v>LT 6D</v>
      </c>
      <c r="K64" s="14" t="str">
        <f>_xlfn.IFNA(_xlfn.XLOOKUP(B64,'00_SKU_Master'!B$2:B$378,'00_SKU_Master'!K$2:K$378,0),"")</f>
        <v>Slow</v>
      </c>
      <c r="L64" s="138" t="str">
        <f>_xlfn.XLOOKUP(B64,'00_SKU_Master'!$B$2:$B$378,'00_SKU_Master'!$D$2:$D$378)</f>
        <v>SOB</v>
      </c>
      <c r="M64" s="138">
        <f t="shared" si="2"/>
        <v>0</v>
      </c>
      <c r="N64" t="str">
        <f>IFERROR(_xlfn.XLOOKUP(B64,'00_SKU_Master'!$B$2:$B$378,'00_SKU_Master'!$E$2:$E$378,""),"")</f>
        <v>ThighMeat</v>
      </c>
      <c r="O64">
        <f>IFERROR(_xlfn.XLOOKUP(B64,'00_SKU_Master'!$B$2:$B$378,'00_SKU_Master'!$F$2:$F$378,0),0)</f>
        <v>0</v>
      </c>
      <c r="P64">
        <f>IFERROR(_xlfn.XLOOKUP(N64,'00_Yield_Rates'!$B$2:$B$33,'00_Yield_Rates'!$E$2:$E$33,0)/100,0)</f>
        <v>0.105</v>
      </c>
      <c r="Q64">
        <f t="shared" si="3"/>
        <v>0</v>
      </c>
      <c r="R64">
        <f t="shared" si="4"/>
        <v>0</v>
      </c>
      <c r="S64">
        <f t="shared" si="5"/>
        <v>0</v>
      </c>
    </row>
    <row r="65" spans="1:19">
      <c r="A65" s="138" t="str">
        <f>'00_SKU_Master'!J157</f>
        <v>MS SOB SPL WING AC 8XP</v>
      </c>
      <c r="B65" s="138">
        <f>'00_SKU_Master'!B157</f>
        <v>2098</v>
      </c>
      <c r="C65" s="165">
        <f>_xlfn.XLOOKUP(B65,'02_TrayPack_Order'!$A$2:$A$265,'02_TrayPack_Order'!$C$2:$C$265)</f>
        <v>0</v>
      </c>
      <c r="D65" s="166">
        <f>_xlfn.XLOOKUP(B65,'02_TrayPack_Order'!$A$2:$A$265,'02_TrayPack_Order'!$L$2:$L$265,0)</f>
        <v>0</v>
      </c>
      <c r="E65" s="165">
        <f>SUMIF('13_Progress_Track'!$A$2:$A$108,B65,'13_Progress_Track'!$E$2:$E$108)</f>
        <v>0</v>
      </c>
      <c r="F65" s="165">
        <f t="shared" si="0"/>
        <v>0</v>
      </c>
      <c r="G65" s="167">
        <f t="shared" si="1"/>
        <v>0</v>
      </c>
      <c r="H65" s="138">
        <f>_xlfn.IFNA(_xlfn.XLOOKUP(B65,'00_SKU_Master'!$B$2:$B$378,'00_SKU_Master'!$C$2:$C$378),"")</f>
        <v>61014</v>
      </c>
      <c r="I65" s="138"/>
      <c r="J65" s="14" t="str">
        <f>_xlfn.IFNA(_xlfn.XLOOKUP(B65,'00_SKU_Master'!B$2:B$378,'00_SKU_Master'!H$2:H$378,0),"")</f>
        <v>LT 8XP</v>
      </c>
      <c r="K65" s="14" t="str">
        <f>_xlfn.IFNA(_xlfn.XLOOKUP(B65,'00_SKU_Master'!B$2:B$378,'00_SKU_Master'!K$2:K$378,0),"")</f>
        <v>Slow</v>
      </c>
      <c r="L65" s="138" t="str">
        <f>_xlfn.XLOOKUP(B65,'00_SKU_Master'!$B$2:$B$378,'00_SKU_Master'!$D$2:$D$378)</f>
        <v>SOB</v>
      </c>
      <c r="M65" s="138">
        <f t="shared" si="2"/>
        <v>0</v>
      </c>
      <c r="N65" t="str">
        <f>IFERROR(_xlfn.XLOOKUP(B65,'00_SKU_Master'!$B$2:$B$378,'00_SKU_Master'!$E$2:$E$378,""),"")</f>
        <v>SplitWing</v>
      </c>
      <c r="O65">
        <f>IFERROR(_xlfn.XLOOKUP(B65,'00_SKU_Master'!$B$2:$B$378,'00_SKU_Master'!$F$2:$F$378,0),0)</f>
        <v>0</v>
      </c>
      <c r="P65">
        <f>IFERROR(_xlfn.XLOOKUP(N65,'00_Yield_Rates'!$B$2:$B$33,'00_Yield_Rates'!$E$2:$E$33,0)/100,0)</f>
        <v>9.6000000000000002E-2</v>
      </c>
      <c r="Q65">
        <f t="shared" si="3"/>
        <v>0</v>
      </c>
      <c r="R65">
        <f t="shared" si="4"/>
        <v>0</v>
      </c>
      <c r="S65">
        <f t="shared" si="5"/>
        <v>0</v>
      </c>
    </row>
    <row r="66" spans="1:19">
      <c r="A66" s="138" t="str">
        <f>'00_SKU_Master'!J158</f>
        <v>MS SOB SPL WING AC 3XP</v>
      </c>
      <c r="B66" s="138">
        <f>'00_SKU_Master'!B158</f>
        <v>2099</v>
      </c>
      <c r="C66" s="165">
        <f>_xlfn.XLOOKUP(B66,'02_TrayPack_Order'!$A$2:$A$265,'02_TrayPack_Order'!$C$2:$C$265)</f>
        <v>0</v>
      </c>
      <c r="D66" s="166">
        <f>_xlfn.XLOOKUP(B66,'02_TrayPack_Order'!$A$2:$A$265,'02_TrayPack_Order'!$L$2:$L$265,0)</f>
        <v>0</v>
      </c>
      <c r="E66" s="165">
        <f>SUMIF('13_Progress_Track'!$A$2:$A$108,B66,'13_Progress_Track'!$E$2:$E$108)</f>
        <v>0</v>
      </c>
      <c r="F66" s="165">
        <f t="shared" ref="F66:F129" si="6">IF(E66&gt;(C66+D66),(E66-(C66+D66)),0)</f>
        <v>0</v>
      </c>
      <c r="G66" s="167">
        <f t="shared" ref="G66:G129" si="7">IF(F66&gt;0,0,C66+D66-E66)</f>
        <v>0</v>
      </c>
      <c r="H66" s="138">
        <f>_xlfn.IFNA(_xlfn.XLOOKUP(B66,'00_SKU_Master'!$B$2:$B$378,'00_SKU_Master'!$C$2:$C$378),"")</f>
        <v>61014</v>
      </c>
      <c r="I66" s="138"/>
      <c r="J66" s="14" t="str">
        <f>_xlfn.IFNA(_xlfn.XLOOKUP(B66,'00_SKU_Master'!B$2:B$378,'00_SKU_Master'!H$2:H$378,0),"")</f>
        <v>ST 3XP</v>
      </c>
      <c r="K66" s="14" t="str">
        <f>_xlfn.IFNA(_xlfn.XLOOKUP(B66,'00_SKU_Master'!B$2:B$378,'00_SKU_Master'!K$2:K$378,0),"")</f>
        <v>Slow</v>
      </c>
      <c r="L66" s="138" t="str">
        <f>_xlfn.XLOOKUP(B66,'00_SKU_Master'!$B$2:$B$378,'00_SKU_Master'!$D$2:$D$378)</f>
        <v>SOB</v>
      </c>
      <c r="M66" s="138">
        <f t="shared" ref="M66:M129" si="8">IF((C66-E66)&lt;0,0,C66-E66)</f>
        <v>0</v>
      </c>
      <c r="N66" t="str">
        <f>IFERROR(_xlfn.XLOOKUP(B66,'00_SKU_Master'!$B$2:$B$378,'00_SKU_Master'!$E$2:$E$378,""),"")</f>
        <v>SplitWing</v>
      </c>
      <c r="O66">
        <f>IFERROR(_xlfn.XLOOKUP(B66,'00_SKU_Master'!$B$2:$B$378,'00_SKU_Master'!$F$2:$F$378,0),0)</f>
        <v>0</v>
      </c>
      <c r="P66">
        <f>IFERROR(_xlfn.XLOOKUP(N66,'00_Yield_Rates'!$B$2:$B$33,'00_Yield_Rates'!$E$2:$E$33,0)/100,0)</f>
        <v>9.6000000000000002E-2</v>
      </c>
      <c r="Q66">
        <f t="shared" ref="Q66:Q129" si="9">IF(AND(ISNUMBER(M66),ISNUMBER(O66)),M66*O66,0)</f>
        <v>0</v>
      </c>
      <c r="R66">
        <f t="shared" ref="R66:R129" si="10">IF(AND(ISNUMBER(Q66),P66&gt;0),Q66/P66,0)</f>
        <v>0</v>
      </c>
      <c r="S66">
        <f t="shared" ref="S66:S129" si="11">IF(R66&gt;0,ROUNDUP(R66/680,1),0)</f>
        <v>0</v>
      </c>
    </row>
    <row r="67" spans="1:19">
      <c r="A67" s="138" t="str">
        <f>'00_SKU_Master'!J159</f>
        <v>FFTF 3D Thighs 8 Tray</v>
      </c>
      <c r="B67" s="138">
        <f>'00_SKU_Master'!B159</f>
        <v>2102</v>
      </c>
      <c r="C67" s="165">
        <f>_xlfn.XLOOKUP(B67,'02_TrayPack_Order'!$A$2:$A$265,'02_TrayPack_Order'!$C$2:$C$265)</f>
        <v>0</v>
      </c>
      <c r="D67" s="166">
        <f>_xlfn.XLOOKUP(B67,'02_TrayPack_Order'!$A$2:$A$265,'02_TrayPack_Order'!$L$2:$L$265,0)</f>
        <v>0</v>
      </c>
      <c r="E67" s="165">
        <f>SUMIF('13_Progress_Track'!$A$2:$A$108,B67,'13_Progress_Track'!$E$2:$E$108)</f>
        <v>0</v>
      </c>
      <c r="F67" s="165">
        <f t="shared" si="6"/>
        <v>0</v>
      </c>
      <c r="G67" s="167">
        <f t="shared" si="7"/>
        <v>0</v>
      </c>
      <c r="H67" s="138" t="str">
        <f>_xlfn.IFNA(_xlfn.XLOOKUP(B67,'00_SKU_Master'!$B$2:$B$378,'00_SKU_Master'!$C$2:$C$378),"")</f>
        <v>61077F</v>
      </c>
      <c r="I67" s="138"/>
      <c r="J67" s="14" t="str">
        <f>_xlfn.IFNA(_xlfn.XLOOKUP(B67,'00_SKU_Master'!B$2:B$378,'00_SKU_Master'!H$2:H$378,0),"")</f>
        <v>ST 3D</v>
      </c>
      <c r="K67" s="14" t="str">
        <f>_xlfn.IFNA(_xlfn.XLOOKUP(B67,'00_SKU_Master'!B$2:B$378,'00_SKU_Master'!K$2:K$378,0),"")</f>
        <v>Fast</v>
      </c>
      <c r="L67" s="138" t="str">
        <f>_xlfn.XLOOKUP(B67,'00_SKU_Master'!$B$2:$B$378,'00_SKU_Master'!$D$2:$D$378)</f>
        <v>FB</v>
      </c>
      <c r="M67" s="138">
        <f t="shared" si="8"/>
        <v>0</v>
      </c>
      <c r="N67" t="str">
        <f>IFERROR(_xlfn.XLOOKUP(B67,'00_SKU_Master'!$B$2:$B$378,'00_SKU_Master'!$E$2:$E$378,""),"")</f>
        <v>Thigh</v>
      </c>
      <c r="O67">
        <f>IFERROR(_xlfn.XLOOKUP(B67,'00_SKU_Master'!$B$2:$B$378,'00_SKU_Master'!$F$2:$F$378,0),0)</f>
        <v>0</v>
      </c>
      <c r="P67">
        <f>IFERROR(_xlfn.XLOOKUP(N67,'00_Yield_Rates'!$B$2:$B$33,'00_Yield_Rates'!$E$2:$E$33,0)/100,0)</f>
        <v>0.191</v>
      </c>
      <c r="Q67">
        <f t="shared" si="9"/>
        <v>0</v>
      </c>
      <c r="R67">
        <f t="shared" si="10"/>
        <v>0</v>
      </c>
      <c r="S67">
        <f t="shared" si="11"/>
        <v>0</v>
      </c>
    </row>
    <row r="68" spans="1:19">
      <c r="A68" s="138" t="str">
        <f>'00_SKU_Master'!J160</f>
        <v>MS MLF FRY WOG AC TI PET</v>
      </c>
      <c r="B68" s="138">
        <f>'00_SKU_Master'!B160</f>
        <v>2121</v>
      </c>
      <c r="C68" s="165">
        <f>_xlfn.XLOOKUP(B68,'02_TrayPack_Order'!$A$2:$A$265,'02_TrayPack_Order'!$C$2:$C$265)</f>
        <v>0</v>
      </c>
      <c r="D68" s="166">
        <f>_xlfn.XLOOKUP(B68,'02_TrayPack_Order'!$A$2:$A$265,'02_TrayPack_Order'!$L$2:$L$265,0)</f>
        <v>0</v>
      </c>
      <c r="E68" s="165">
        <f>SUMIF('13_Progress_Track'!$A$2:$A$108,B68,'13_Progress_Track'!$E$2:$E$108)</f>
        <v>0</v>
      </c>
      <c r="F68" s="165">
        <f t="shared" si="6"/>
        <v>0</v>
      </c>
      <c r="G68" s="167">
        <f t="shared" si="7"/>
        <v>0</v>
      </c>
      <c r="H68" s="138">
        <f>_xlfn.IFNA(_xlfn.XLOOKUP(B68,'00_SKU_Master'!$B$2:$B$378,'00_SKU_Master'!$C$2:$C$378),"")</f>
        <v>203021</v>
      </c>
      <c r="I68" s="138"/>
      <c r="J68" s="14" t="str">
        <f>_xlfn.IFNA(_xlfn.XLOOKUP(B68,'00_SKU_Master'!B$2:B$378,'00_SKU_Master'!H$2:H$378,0),"")</f>
        <v>ST 3D</v>
      </c>
      <c r="K68" s="14" t="str">
        <f>_xlfn.IFNA(_xlfn.XLOOKUP(B68,'00_SKU_Master'!B$2:B$378,'00_SKU_Master'!K$2:K$378,0),"")</f>
        <v>Fast</v>
      </c>
      <c r="L68" s="138" t="str">
        <f>_xlfn.XLOOKUP(B68,'00_SKU_Master'!$B$2:$B$378,'00_SKU_Master'!$D$2:$D$378)</f>
        <v>FB</v>
      </c>
      <c r="M68" s="138">
        <f t="shared" si="8"/>
        <v>0</v>
      </c>
      <c r="N68" t="str">
        <f>IFERROR(_xlfn.XLOOKUP(B68,'00_SKU_Master'!$B$2:$B$378,'00_SKU_Master'!$E$2:$E$378,""),"")</f>
        <v>Whole Bird-Small</v>
      </c>
      <c r="O68">
        <f>IFERROR(_xlfn.XLOOKUP(B68,'00_SKU_Master'!$B$2:$B$378,'00_SKU_Master'!$F$2:$F$378,0),0)</f>
        <v>0</v>
      </c>
      <c r="P68">
        <f>IFERROR(_xlfn.XLOOKUP(N68,'00_Yield_Rates'!$B$2:$B$33,'00_Yield_Rates'!$E$2:$E$33,0)/100,0)</f>
        <v>0</v>
      </c>
      <c r="Q68">
        <f t="shared" si="9"/>
        <v>0</v>
      </c>
      <c r="R68">
        <f t="shared" si="10"/>
        <v>0</v>
      </c>
      <c r="S68">
        <f t="shared" si="11"/>
        <v>0</v>
      </c>
    </row>
    <row r="69" spans="1:19">
      <c r="A69" s="138" t="str">
        <f>'00_SKU_Master'!J161</f>
        <v>MS BSC DRUM FT PP</v>
      </c>
      <c r="B69" s="138">
        <f>'00_SKU_Master'!B161</f>
        <v>2124</v>
      </c>
      <c r="C69" s="165">
        <f>_xlfn.XLOOKUP(B69,'02_TrayPack_Order'!$A$2:$A$265,'02_TrayPack_Order'!$C$2:$C$265)</f>
        <v>0</v>
      </c>
      <c r="D69" s="166">
        <f>_xlfn.XLOOKUP(B69,'02_TrayPack_Order'!$A$2:$A$265,'02_TrayPack_Order'!$L$2:$L$265,0)</f>
        <v>0</v>
      </c>
      <c r="E69" s="165">
        <f>SUMIF('13_Progress_Track'!$A$2:$A$108,B69,'13_Progress_Track'!$E$2:$E$108)</f>
        <v>0</v>
      </c>
      <c r="F69" s="165">
        <f t="shared" si="6"/>
        <v>0</v>
      </c>
      <c r="G69" s="167">
        <f t="shared" si="7"/>
        <v>0</v>
      </c>
      <c r="H69" s="138" t="str">
        <f>_xlfn.IFNA(_xlfn.XLOOKUP(B69,'00_SKU_Master'!$B$2:$B$378,'00_SKU_Master'!$C$2:$C$378),"")</f>
        <v>61072#2</v>
      </c>
      <c r="I69" s="138"/>
      <c r="J69" s="14" t="str">
        <f>_xlfn.IFNA(_xlfn.XLOOKUP(B69,'00_SKU_Master'!B$2:B$378,'00_SKU_Master'!H$2:H$378,0),"")</f>
        <v>LT 14D</v>
      </c>
      <c r="K69" s="14" t="str">
        <f>_xlfn.IFNA(_xlfn.XLOOKUP(B69,'00_SKU_Master'!B$2:B$378,'00_SKU_Master'!K$2:K$378,0),"")</f>
        <v>Fast</v>
      </c>
      <c r="L69" s="138" t="str">
        <f>_xlfn.XLOOKUP(B69,'00_SKU_Master'!$B$2:$B$378,'00_SKU_Master'!$D$2:$D$378)</f>
        <v>FB</v>
      </c>
      <c r="M69" s="138">
        <f t="shared" si="8"/>
        <v>0</v>
      </c>
      <c r="N69" t="str">
        <f>IFERROR(_xlfn.XLOOKUP(B69,'00_SKU_Master'!$B$2:$B$378,'00_SKU_Master'!$E$2:$E$378,""),"")</f>
        <v>Drum</v>
      </c>
      <c r="O69">
        <f>IFERROR(_xlfn.XLOOKUP(B69,'00_SKU_Master'!$B$2:$B$378,'00_SKU_Master'!$F$2:$F$378,0),0)</f>
        <v>10.547740092823901</v>
      </c>
      <c r="P69">
        <f>IFERROR(_xlfn.XLOOKUP(N69,'00_Yield_Rates'!$B$2:$B$33,'00_Yield_Rates'!$E$2:$E$33,0)/100,0)</f>
        <v>0.128</v>
      </c>
      <c r="Q69">
        <f t="shared" si="9"/>
        <v>0</v>
      </c>
      <c r="R69">
        <f t="shared" si="10"/>
        <v>0</v>
      </c>
      <c r="S69">
        <f t="shared" si="11"/>
        <v>0</v>
      </c>
    </row>
    <row r="70" spans="1:19">
      <c r="A70" s="138" t="str">
        <f>'00_SKU_Master'!J162</f>
        <v>MS BSC THIGH FT PP</v>
      </c>
      <c r="B70" s="138">
        <f>'00_SKU_Master'!B162</f>
        <v>2125</v>
      </c>
      <c r="C70" s="165">
        <f>_xlfn.XLOOKUP(B70,'02_TrayPack_Order'!$A$2:$A$265,'02_TrayPack_Order'!$C$2:$C$265)</f>
        <v>0</v>
      </c>
      <c r="D70" s="166">
        <f>_xlfn.XLOOKUP(B70,'02_TrayPack_Order'!$A$2:$A$265,'02_TrayPack_Order'!$L$2:$L$265,0)</f>
        <v>0</v>
      </c>
      <c r="E70" s="165">
        <f>SUMIF('13_Progress_Track'!$A$2:$A$108,B70,'13_Progress_Track'!$E$2:$E$108)</f>
        <v>0</v>
      </c>
      <c r="F70" s="165">
        <f t="shared" si="6"/>
        <v>0</v>
      </c>
      <c r="G70" s="167">
        <f t="shared" si="7"/>
        <v>0</v>
      </c>
      <c r="H70" s="138">
        <f>_xlfn.IFNA(_xlfn.XLOOKUP(B70,'00_SKU_Master'!$B$2:$B$378,'00_SKU_Master'!$C$2:$C$378),"")</f>
        <v>61082</v>
      </c>
      <c r="I70" s="138"/>
      <c r="J70" s="14" t="str">
        <f>_xlfn.IFNA(_xlfn.XLOOKUP(B70,'00_SKU_Master'!B$2:B$378,'00_SKU_Master'!H$2:H$378,0),"")</f>
        <v>LT 14D</v>
      </c>
      <c r="K70" s="14" t="str">
        <f>_xlfn.IFNA(_xlfn.XLOOKUP(B70,'00_SKU_Master'!B$2:B$378,'00_SKU_Master'!K$2:K$378,0),"")</f>
        <v>Fast</v>
      </c>
      <c r="L70" s="138" t="str">
        <f>_xlfn.XLOOKUP(B70,'00_SKU_Master'!$B$2:$B$378,'00_SKU_Master'!$D$2:$D$378)</f>
        <v>FB</v>
      </c>
      <c r="M70" s="138">
        <f t="shared" si="8"/>
        <v>0</v>
      </c>
      <c r="N70" t="str">
        <f>IFERROR(_xlfn.XLOOKUP(B70,'00_SKU_Master'!$B$2:$B$378,'00_SKU_Master'!$E$2:$E$378,""),"")</f>
        <v>Thigh</v>
      </c>
      <c r="O70">
        <f>IFERROR(_xlfn.XLOOKUP(B70,'00_SKU_Master'!$B$2:$B$378,'00_SKU_Master'!$F$2:$F$378,0),0)</f>
        <v>0</v>
      </c>
      <c r="P70">
        <f>IFERROR(_xlfn.XLOOKUP(N70,'00_Yield_Rates'!$B$2:$B$33,'00_Yield_Rates'!$E$2:$E$33,0)/100,0)</f>
        <v>0.191</v>
      </c>
      <c r="Q70">
        <f t="shared" si="9"/>
        <v>0</v>
      </c>
      <c r="R70">
        <f t="shared" si="10"/>
        <v>0</v>
      </c>
      <c r="S70">
        <f t="shared" si="11"/>
        <v>0</v>
      </c>
    </row>
    <row r="71" spans="1:19">
      <c r="A71" s="138" t="str">
        <f>'00_SKU_Master'!J163</f>
        <v>METRO BONELESS SKINLESS CHICKEN HALF BREASTS LARGE TRAY</v>
      </c>
      <c r="B71" s="138">
        <f>'00_SKU_Master'!B163</f>
        <v>2237</v>
      </c>
      <c r="C71" s="165">
        <f>_xlfn.XLOOKUP(B71,'02_TrayPack_Order'!$A$2:$A$265,'02_TrayPack_Order'!$C$2:$C$265)</f>
        <v>0</v>
      </c>
      <c r="D71" s="166">
        <f>_xlfn.XLOOKUP(B71,'02_TrayPack_Order'!$A$2:$A$265,'02_TrayPack_Order'!$L$2:$L$265,0)</f>
        <v>0</v>
      </c>
      <c r="E71" s="165">
        <f>SUMIF('13_Progress_Track'!$A$2:$A$108,B71,'13_Progress_Track'!$E$2:$E$108)</f>
        <v>0</v>
      </c>
      <c r="F71" s="165">
        <f t="shared" si="6"/>
        <v>0</v>
      </c>
      <c r="G71" s="167">
        <f t="shared" si="7"/>
        <v>0</v>
      </c>
      <c r="H71" s="138" t="str">
        <f>_xlfn.IFNA(_xlfn.XLOOKUP(B71,'00_SKU_Master'!$B$2:$B$378,'00_SKU_Master'!$C$2:$C$378),"")</f>
        <v>61050#2</v>
      </c>
      <c r="I71" s="138"/>
      <c r="J71" s="14" t="str">
        <f>_xlfn.IFNA(_xlfn.XLOOKUP(B71,'00_SKU_Master'!B$2:B$378,'00_SKU_Master'!H$2:H$378,0),"")</f>
        <v>LT 8XP</v>
      </c>
      <c r="K71" s="14" t="str">
        <f>_xlfn.IFNA(_xlfn.XLOOKUP(B71,'00_SKU_Master'!B$2:B$378,'00_SKU_Master'!K$2:K$378,0),"")</f>
        <v>Fast</v>
      </c>
      <c r="L71" s="138" t="str">
        <f>_xlfn.XLOOKUP(B71,'00_SKU_Master'!$B$2:$B$378,'00_SKU_Master'!$D$2:$D$378)</f>
        <v>FB</v>
      </c>
      <c r="M71" s="138">
        <f t="shared" si="8"/>
        <v>0</v>
      </c>
      <c r="N71" t="str">
        <f>IFERROR(_xlfn.XLOOKUP(B71,'00_SKU_Master'!$B$2:$B$378,'00_SKU_Master'!$E$2:$E$378,""),"")</f>
        <v>BSB</v>
      </c>
      <c r="O71">
        <f>IFERROR(_xlfn.XLOOKUP(B71,'00_SKU_Master'!$B$2:$B$378,'00_SKU_Master'!$F$2:$F$378,0),0)</f>
        <v>0</v>
      </c>
      <c r="P71">
        <f>IFERROR(_xlfn.XLOOKUP(N71,'00_Yield_Rates'!$B$2:$B$33,'00_Yield_Rates'!$E$2:$E$33,0)/100,0)</f>
        <v>0.31</v>
      </c>
      <c r="Q71">
        <f t="shared" si="9"/>
        <v>0</v>
      </c>
      <c r="R71">
        <f t="shared" si="10"/>
        <v>0</v>
      </c>
      <c r="S71">
        <f t="shared" si="11"/>
        <v>0</v>
      </c>
    </row>
    <row r="72" spans="1:19">
      <c r="A72" s="138" t="str">
        <f>'00_SKU_Master'!J164</f>
        <v>MS BSC FFTF BSTHIGH AC 6D PP</v>
      </c>
      <c r="B72" s="138">
        <f>'00_SKU_Master'!B164</f>
        <v>2500</v>
      </c>
      <c r="C72" s="165">
        <f>_xlfn.XLOOKUP(B72,'02_TrayPack_Order'!$A$2:$A$265,'02_TrayPack_Order'!$C$2:$C$265)</f>
        <v>43</v>
      </c>
      <c r="D72" s="166">
        <f>_xlfn.XLOOKUP(B72,'02_TrayPack_Order'!$A$2:$A$265,'02_TrayPack_Order'!$L$2:$L$265,0)</f>
        <v>0</v>
      </c>
      <c r="E72" s="165">
        <f>SUMIF('13_Progress_Track'!$A$2:$A$108,B72,'13_Progress_Track'!$E$2:$E$108)</f>
        <v>0</v>
      </c>
      <c r="F72" s="165">
        <f t="shared" si="6"/>
        <v>0</v>
      </c>
      <c r="G72" s="167">
        <f t="shared" si="7"/>
        <v>43</v>
      </c>
      <c r="H72" s="138" t="str">
        <f>_xlfn.IFNA(_xlfn.XLOOKUP(B72,'00_SKU_Master'!$B$2:$B$378,'00_SKU_Master'!$C$2:$C$378),"")</f>
        <v>61086F</v>
      </c>
      <c r="I72" s="138"/>
      <c r="J72" s="14" t="str">
        <f>_xlfn.IFNA(_xlfn.XLOOKUP(B72,'00_SKU_Master'!B$2:B$378,'00_SKU_Master'!H$2:H$378,0),"")</f>
        <v>LT 6D</v>
      </c>
      <c r="K72" s="14" t="str">
        <f>_xlfn.IFNA(_xlfn.XLOOKUP(B72,'00_SKU_Master'!B$2:B$378,'00_SKU_Master'!K$2:K$378,0),"")</f>
        <v>Slow</v>
      </c>
      <c r="L72" s="138" t="str">
        <f>_xlfn.XLOOKUP(B72,'00_SKU_Master'!$B$2:$B$378,'00_SKU_Master'!$D$2:$D$378)</f>
        <v>FB</v>
      </c>
      <c r="M72" s="138">
        <f t="shared" si="8"/>
        <v>43</v>
      </c>
      <c r="N72" t="str">
        <f>IFERROR(_xlfn.XLOOKUP(B72,'00_SKU_Master'!$B$2:$B$378,'00_SKU_Master'!$E$2:$E$378,""),"")</f>
        <v>ThighMeat</v>
      </c>
      <c r="O72">
        <f>IFERROR(_xlfn.XLOOKUP(B72,'00_SKU_Master'!$B$2:$B$378,'00_SKU_Master'!$F$2:$F$378,0),0)</f>
        <v>5.5547131672597798</v>
      </c>
      <c r="P72">
        <f>IFERROR(_xlfn.XLOOKUP(N72,'00_Yield_Rates'!$B$2:$B$33,'00_Yield_Rates'!$E$2:$E$33,0)/100,0)</f>
        <v>0.105</v>
      </c>
      <c r="Q72">
        <f t="shared" si="9"/>
        <v>238.85266619217055</v>
      </c>
      <c r="R72">
        <f t="shared" si="10"/>
        <v>2274.7872970682911</v>
      </c>
      <c r="S72">
        <f t="shared" si="11"/>
        <v>3.4</v>
      </c>
    </row>
    <row r="73" spans="1:19">
      <c r="A73" s="138" t="str">
        <f>'00_SKU_Master'!J165</f>
        <v>MS FFTF BSTHIGH AC 6D</v>
      </c>
      <c r="B73" s="138">
        <f>'00_SKU_Master'!B165</f>
        <v>2501</v>
      </c>
      <c r="C73" s="165">
        <f>_xlfn.XLOOKUP(B73,'02_TrayPack_Order'!$A$2:$A$265,'02_TrayPack_Order'!$C$2:$C$265)</f>
        <v>0</v>
      </c>
      <c r="D73" s="166">
        <f>_xlfn.XLOOKUP(B73,'02_TrayPack_Order'!$A$2:$A$265,'02_TrayPack_Order'!$L$2:$L$265,0)</f>
        <v>0</v>
      </c>
      <c r="E73" s="165">
        <f>SUMIF('13_Progress_Track'!$A$2:$A$108,B73,'13_Progress_Track'!$E$2:$E$108)</f>
        <v>0</v>
      </c>
      <c r="F73" s="165">
        <f t="shared" si="6"/>
        <v>0</v>
      </c>
      <c r="G73" s="167">
        <f t="shared" si="7"/>
        <v>0</v>
      </c>
      <c r="H73" s="138" t="str">
        <f>_xlfn.IFNA(_xlfn.XLOOKUP(B73,'00_SKU_Master'!$B$2:$B$378,'00_SKU_Master'!$C$2:$C$378),"")</f>
        <v>61086F</v>
      </c>
      <c r="I73" s="138"/>
      <c r="J73" s="14" t="str">
        <f>_xlfn.IFNA(_xlfn.XLOOKUP(B73,'00_SKU_Master'!B$2:B$378,'00_SKU_Master'!H$2:H$378,0),"")</f>
        <v>LT 6D</v>
      </c>
      <c r="K73" s="14" t="str">
        <f>_xlfn.IFNA(_xlfn.XLOOKUP(B73,'00_SKU_Master'!B$2:B$378,'00_SKU_Master'!K$2:K$378,0),"")</f>
        <v>Slow</v>
      </c>
      <c r="L73" s="138" t="str">
        <f>_xlfn.XLOOKUP(B73,'00_SKU_Master'!$B$2:$B$378,'00_SKU_Master'!$D$2:$D$378)</f>
        <v>FB</v>
      </c>
      <c r="M73" s="138">
        <f t="shared" si="8"/>
        <v>0</v>
      </c>
      <c r="N73" t="str">
        <f>IFERROR(_xlfn.XLOOKUP(B73,'00_SKU_Master'!$B$2:$B$378,'00_SKU_Master'!$E$2:$E$378,""),"")</f>
        <v>ThighMeat</v>
      </c>
      <c r="O73">
        <f>IFERROR(_xlfn.XLOOKUP(B73,'00_SKU_Master'!$B$2:$B$378,'00_SKU_Master'!$F$2:$F$378,0),0)</f>
        <v>0</v>
      </c>
      <c r="P73">
        <f>IFERROR(_xlfn.XLOOKUP(N73,'00_Yield_Rates'!$B$2:$B$33,'00_Yield_Rates'!$E$2:$E$33,0)/100,0)</f>
        <v>0.105</v>
      </c>
      <c r="Q73">
        <f t="shared" si="9"/>
        <v>0</v>
      </c>
      <c r="R73">
        <f t="shared" si="10"/>
        <v>0</v>
      </c>
      <c r="S73">
        <f t="shared" si="11"/>
        <v>0</v>
      </c>
    </row>
    <row r="74" spans="1:19">
      <c r="A74" s="138" t="str">
        <f>'00_SKU_Master'!J166</f>
        <v>MS BSC FFTF THIGH AC 6D PP</v>
      </c>
      <c r="B74" s="138">
        <f>'00_SKU_Master'!B166</f>
        <v>2502</v>
      </c>
      <c r="C74" s="165">
        <f>_xlfn.XLOOKUP(B74,'02_TrayPack_Order'!$A$2:$A$265,'02_TrayPack_Order'!$C$2:$C$265)</f>
        <v>89</v>
      </c>
      <c r="D74" s="166">
        <f>_xlfn.XLOOKUP(B74,'02_TrayPack_Order'!$A$2:$A$265,'02_TrayPack_Order'!$L$2:$L$265,0)</f>
        <v>0</v>
      </c>
      <c r="E74" s="165">
        <f>SUMIF('13_Progress_Track'!$A$2:$A$108,B74,'13_Progress_Track'!$E$2:$E$108)</f>
        <v>0</v>
      </c>
      <c r="F74" s="165">
        <f t="shared" si="6"/>
        <v>0</v>
      </c>
      <c r="G74" s="167">
        <f t="shared" si="7"/>
        <v>89</v>
      </c>
      <c r="H74" s="138" t="str">
        <f>_xlfn.IFNA(_xlfn.XLOOKUP(B74,'00_SKU_Master'!$B$2:$B$378,'00_SKU_Master'!$C$2:$C$378),"")</f>
        <v>61077F</v>
      </c>
      <c r="I74" s="138"/>
      <c r="J74" s="14" t="str">
        <f>_xlfn.IFNA(_xlfn.XLOOKUP(B74,'00_SKU_Master'!B$2:B$378,'00_SKU_Master'!H$2:H$378,0),"")</f>
        <v>LT 6D</v>
      </c>
      <c r="K74" s="14" t="str">
        <f>_xlfn.IFNA(_xlfn.XLOOKUP(B74,'00_SKU_Master'!B$2:B$378,'00_SKU_Master'!K$2:K$378,0),"")</f>
        <v>Fast</v>
      </c>
      <c r="L74" s="138" t="str">
        <f>_xlfn.XLOOKUP(B74,'00_SKU_Master'!$B$2:$B$378,'00_SKU_Master'!$D$2:$D$378)</f>
        <v>FB</v>
      </c>
      <c r="M74" s="138">
        <f t="shared" si="8"/>
        <v>89</v>
      </c>
      <c r="N74" t="str">
        <f>IFERROR(_xlfn.XLOOKUP(B74,'00_SKU_Master'!$B$2:$B$378,'00_SKU_Master'!$E$2:$E$378,""),"")</f>
        <v>Thigh</v>
      </c>
      <c r="O74">
        <f>IFERROR(_xlfn.XLOOKUP(B74,'00_SKU_Master'!$B$2:$B$378,'00_SKU_Master'!$F$2:$F$378,0),0)</f>
        <v>6.34339030023094</v>
      </c>
      <c r="P74">
        <f>IFERROR(_xlfn.XLOOKUP(N74,'00_Yield_Rates'!$B$2:$B$33,'00_Yield_Rates'!$E$2:$E$33,0)/100,0)</f>
        <v>0.191</v>
      </c>
      <c r="Q74">
        <f t="shared" si="9"/>
        <v>564.56173672055365</v>
      </c>
      <c r="R74">
        <f t="shared" si="10"/>
        <v>2955.8206111023751</v>
      </c>
      <c r="S74">
        <f t="shared" si="11"/>
        <v>4.3999999999999995</v>
      </c>
    </row>
    <row r="75" spans="1:19">
      <c r="A75" s="138" t="str">
        <f>'00_SKU_Master'!J167</f>
        <v>MS FFTF THIGH AC 6D PP</v>
      </c>
      <c r="B75" s="138">
        <f>'00_SKU_Master'!B167</f>
        <v>2503</v>
      </c>
      <c r="C75" s="165">
        <f>_xlfn.XLOOKUP(B75,'02_TrayPack_Order'!$A$2:$A$265,'02_TrayPack_Order'!$C$2:$C$265)</f>
        <v>0</v>
      </c>
      <c r="D75" s="166">
        <f>_xlfn.XLOOKUP(B75,'02_TrayPack_Order'!$A$2:$A$265,'02_TrayPack_Order'!$L$2:$L$265,0)</f>
        <v>0</v>
      </c>
      <c r="E75" s="165">
        <f>SUMIF('13_Progress_Track'!$A$2:$A$108,B75,'13_Progress_Track'!$E$2:$E$108)</f>
        <v>0</v>
      </c>
      <c r="F75" s="165">
        <f t="shared" si="6"/>
        <v>0</v>
      </c>
      <c r="G75" s="167">
        <f t="shared" si="7"/>
        <v>0</v>
      </c>
      <c r="H75" s="138" t="str">
        <f>_xlfn.IFNA(_xlfn.XLOOKUP(B75,'00_SKU_Master'!$B$2:$B$378,'00_SKU_Master'!$C$2:$C$378),"")</f>
        <v>61077F</v>
      </c>
      <c r="I75" s="138"/>
      <c r="J75" s="14" t="str">
        <f>_xlfn.IFNA(_xlfn.XLOOKUP(B75,'00_SKU_Master'!B$2:B$378,'00_SKU_Master'!H$2:H$378,0),"")</f>
        <v>LT 6D</v>
      </c>
      <c r="K75" s="14" t="str">
        <f>_xlfn.IFNA(_xlfn.XLOOKUP(B75,'00_SKU_Master'!B$2:B$378,'00_SKU_Master'!K$2:K$378,0),"")</f>
        <v>Fast</v>
      </c>
      <c r="L75" s="138" t="str">
        <f>_xlfn.XLOOKUP(B75,'00_SKU_Master'!$B$2:$B$378,'00_SKU_Master'!$D$2:$D$378)</f>
        <v>FB</v>
      </c>
      <c r="M75" s="138">
        <f t="shared" si="8"/>
        <v>0</v>
      </c>
      <c r="N75" t="str">
        <f>IFERROR(_xlfn.XLOOKUP(B75,'00_SKU_Master'!$B$2:$B$378,'00_SKU_Master'!$E$2:$E$378,""),"")</f>
        <v>Thigh</v>
      </c>
      <c r="O75">
        <f>IFERROR(_xlfn.XLOOKUP(B75,'00_SKU_Master'!$B$2:$B$378,'00_SKU_Master'!$F$2:$F$378,0),0)</f>
        <v>0</v>
      </c>
      <c r="P75">
        <f>IFERROR(_xlfn.XLOOKUP(N75,'00_Yield_Rates'!$B$2:$B$33,'00_Yield_Rates'!$E$2:$E$33,0)/100,0)</f>
        <v>0.191</v>
      </c>
      <c r="Q75">
        <f t="shared" si="9"/>
        <v>0</v>
      </c>
      <c r="R75">
        <f t="shared" si="10"/>
        <v>0</v>
      </c>
      <c r="S75">
        <f t="shared" si="11"/>
        <v>0</v>
      </c>
    </row>
    <row r="76" spans="1:19">
      <c r="A76" s="138" t="str">
        <f>'00_SKU_Master'!J168</f>
        <v>MS BSC FFTF DRUM AC 6D PP</v>
      </c>
      <c r="B76" s="138">
        <f>'00_SKU_Master'!B168</f>
        <v>2504</v>
      </c>
      <c r="C76" s="165">
        <f>_xlfn.XLOOKUP(B76,'02_TrayPack_Order'!$A$2:$A$265,'02_TrayPack_Order'!$C$2:$C$265)</f>
        <v>58</v>
      </c>
      <c r="D76" s="166">
        <f>_xlfn.XLOOKUP(B76,'02_TrayPack_Order'!$A$2:$A$265,'02_TrayPack_Order'!$L$2:$L$265,0)</f>
        <v>0</v>
      </c>
      <c r="E76" s="165">
        <f>SUMIF('13_Progress_Track'!$A$2:$A$108,B76,'13_Progress_Track'!$E$2:$E$108)</f>
        <v>0</v>
      </c>
      <c r="F76" s="165">
        <f t="shared" si="6"/>
        <v>0</v>
      </c>
      <c r="G76" s="167">
        <f t="shared" si="7"/>
        <v>58</v>
      </c>
      <c r="H76" s="138" t="str">
        <f>_xlfn.IFNA(_xlfn.XLOOKUP(B76,'00_SKU_Master'!$B$2:$B$378,'00_SKU_Master'!$C$2:$C$378),"")</f>
        <v>61072F</v>
      </c>
      <c r="I76" s="138"/>
      <c r="J76" s="14" t="str">
        <f>_xlfn.IFNA(_xlfn.XLOOKUP(B76,'00_SKU_Master'!B$2:B$378,'00_SKU_Master'!H$2:H$378,0),"")</f>
        <v>LT 6D</v>
      </c>
      <c r="K76" s="14" t="str">
        <f>_xlfn.IFNA(_xlfn.XLOOKUP(B76,'00_SKU_Master'!B$2:B$378,'00_SKU_Master'!K$2:K$378,0),"")</f>
        <v>Fast</v>
      </c>
      <c r="L76" s="138" t="str">
        <f>_xlfn.XLOOKUP(B76,'00_SKU_Master'!$B$2:$B$378,'00_SKU_Master'!$D$2:$D$378)</f>
        <v>FB</v>
      </c>
      <c r="M76" s="138">
        <f t="shared" si="8"/>
        <v>58</v>
      </c>
      <c r="N76" t="str">
        <f>IFERROR(_xlfn.XLOOKUP(B76,'00_SKU_Master'!$B$2:$B$378,'00_SKU_Master'!$E$2:$E$378,""),"")</f>
        <v>Drum</v>
      </c>
      <c r="O76">
        <f>IFERROR(_xlfn.XLOOKUP(B76,'00_SKU_Master'!$B$2:$B$378,'00_SKU_Master'!$F$2:$F$378,0),0)</f>
        <v>6.0274686520376104</v>
      </c>
      <c r="P76">
        <f>IFERROR(_xlfn.XLOOKUP(N76,'00_Yield_Rates'!$B$2:$B$33,'00_Yield_Rates'!$E$2:$E$33,0)/100,0)</f>
        <v>0.128</v>
      </c>
      <c r="Q76">
        <f t="shared" si="9"/>
        <v>349.59318181818139</v>
      </c>
      <c r="R76">
        <f t="shared" si="10"/>
        <v>2731.1967329545419</v>
      </c>
      <c r="S76">
        <f t="shared" si="11"/>
        <v>4.0999999999999996</v>
      </c>
    </row>
    <row r="77" spans="1:19">
      <c r="A77" s="138" t="str">
        <f>'00_SKU_Master'!J169</f>
        <v>MS FFTF DRUM AC 6D P BSK</v>
      </c>
      <c r="B77" s="138">
        <f>'00_SKU_Master'!B169</f>
        <v>2505</v>
      </c>
      <c r="C77" s="165">
        <f>_xlfn.XLOOKUP(B77,'02_TrayPack_Order'!$A$2:$A$265,'02_TrayPack_Order'!$C$2:$C$265)</f>
        <v>0</v>
      </c>
      <c r="D77" s="166">
        <f>_xlfn.XLOOKUP(B77,'02_TrayPack_Order'!$A$2:$A$265,'02_TrayPack_Order'!$L$2:$L$265,0)</f>
        <v>0</v>
      </c>
      <c r="E77" s="165">
        <f>SUMIF('13_Progress_Track'!$A$2:$A$108,B77,'13_Progress_Track'!$E$2:$E$108)</f>
        <v>0</v>
      </c>
      <c r="F77" s="165">
        <f t="shared" si="6"/>
        <v>0</v>
      </c>
      <c r="G77" s="167">
        <f t="shared" si="7"/>
        <v>0</v>
      </c>
      <c r="H77" s="138" t="str">
        <f>_xlfn.IFNA(_xlfn.XLOOKUP(B77,'00_SKU_Master'!$B$2:$B$378,'00_SKU_Master'!$C$2:$C$378),"")</f>
        <v>61072F</v>
      </c>
      <c r="I77" s="138"/>
      <c r="J77" s="14" t="str">
        <f>_xlfn.IFNA(_xlfn.XLOOKUP(B77,'00_SKU_Master'!B$2:B$378,'00_SKU_Master'!H$2:H$378,0),"")</f>
        <v>LT 6D</v>
      </c>
      <c r="K77" s="14" t="str">
        <f>_xlfn.IFNA(_xlfn.XLOOKUP(B77,'00_SKU_Master'!B$2:B$378,'00_SKU_Master'!K$2:K$378,0),"")</f>
        <v>Fast</v>
      </c>
      <c r="L77" s="138" t="str">
        <f>_xlfn.XLOOKUP(B77,'00_SKU_Master'!$B$2:$B$378,'00_SKU_Master'!$D$2:$D$378)</f>
        <v>FB</v>
      </c>
      <c r="M77" s="138">
        <f t="shared" si="8"/>
        <v>0</v>
      </c>
      <c r="N77" t="str">
        <f>IFERROR(_xlfn.XLOOKUP(B77,'00_SKU_Master'!$B$2:$B$378,'00_SKU_Master'!$E$2:$E$378,""),"")</f>
        <v>Drum</v>
      </c>
      <c r="O77">
        <f>IFERROR(_xlfn.XLOOKUP(B77,'00_SKU_Master'!$B$2:$B$378,'00_SKU_Master'!$F$2:$F$378,0),0)</f>
        <v>0</v>
      </c>
      <c r="P77">
        <f>IFERROR(_xlfn.XLOOKUP(N77,'00_Yield_Rates'!$B$2:$B$33,'00_Yield_Rates'!$E$2:$E$33,0)/100,0)</f>
        <v>0.128</v>
      </c>
      <c r="Q77">
        <f t="shared" si="9"/>
        <v>0</v>
      </c>
      <c r="R77">
        <f t="shared" si="10"/>
        <v>0</v>
      </c>
      <c r="S77">
        <f t="shared" si="11"/>
        <v>0</v>
      </c>
    </row>
    <row r="78" spans="1:19">
      <c r="A78" s="138" t="str">
        <f>'00_SKU_Master'!J170</f>
        <v>MS FFTF SPL WING AC 6D PP BSK</v>
      </c>
      <c r="B78" s="138">
        <f>'00_SKU_Master'!B170</f>
        <v>2506</v>
      </c>
      <c r="C78" s="165">
        <f>_xlfn.XLOOKUP(B78,'02_TrayPack_Order'!$A$2:$A$265,'02_TrayPack_Order'!$C$2:$C$265)</f>
        <v>64</v>
      </c>
      <c r="D78" s="166">
        <f>_xlfn.XLOOKUP(B78,'02_TrayPack_Order'!$A$2:$A$265,'02_TrayPack_Order'!$L$2:$L$265,0)</f>
        <v>0</v>
      </c>
      <c r="E78" s="165">
        <f>SUMIF('13_Progress_Track'!$A$2:$A$108,B78,'13_Progress_Track'!$E$2:$E$108)</f>
        <v>0</v>
      </c>
      <c r="F78" s="165">
        <f t="shared" si="6"/>
        <v>0</v>
      </c>
      <c r="G78" s="167">
        <f t="shared" si="7"/>
        <v>64</v>
      </c>
      <c r="H78" s="138" t="str">
        <f>_xlfn.IFNA(_xlfn.XLOOKUP(B78,'00_SKU_Master'!$B$2:$B$378,'00_SKU_Master'!$C$2:$C$378),"")</f>
        <v>61014F</v>
      </c>
      <c r="I78" s="138"/>
      <c r="J78" s="14" t="str">
        <f>_xlfn.IFNA(_xlfn.XLOOKUP(B78,'00_SKU_Master'!B$2:B$378,'00_SKU_Master'!H$2:H$378,0),"")</f>
        <v>LT 6D</v>
      </c>
      <c r="K78" s="14" t="str">
        <f>_xlfn.IFNA(_xlfn.XLOOKUP(B78,'00_SKU_Master'!B$2:B$378,'00_SKU_Master'!K$2:K$378,0),"")</f>
        <v>Slow</v>
      </c>
      <c r="L78" s="138" t="str">
        <f>_xlfn.XLOOKUP(B78,'00_SKU_Master'!$B$2:$B$378,'00_SKU_Master'!$D$2:$D$378)</f>
        <v>FB</v>
      </c>
      <c r="M78" s="138">
        <f t="shared" si="8"/>
        <v>64</v>
      </c>
      <c r="N78" t="str">
        <f>IFERROR(_xlfn.XLOOKUP(B78,'00_SKU_Master'!$B$2:$B$378,'00_SKU_Master'!$E$2:$E$378,""),"")</f>
        <v>SplitWing</v>
      </c>
      <c r="O78">
        <f>IFERROR(_xlfn.XLOOKUP(B78,'00_SKU_Master'!$B$2:$B$378,'00_SKU_Master'!$F$2:$F$378,0),0)</f>
        <v>6.0352861072902302</v>
      </c>
      <c r="P78">
        <f>IFERROR(_xlfn.XLOOKUP(N78,'00_Yield_Rates'!$B$2:$B$33,'00_Yield_Rates'!$E$2:$E$33,0)/100,0)</f>
        <v>9.6000000000000002E-2</v>
      </c>
      <c r="Q78">
        <f t="shared" si="9"/>
        <v>386.25831086657473</v>
      </c>
      <c r="R78">
        <f t="shared" si="10"/>
        <v>4023.5240715268201</v>
      </c>
      <c r="S78">
        <f t="shared" si="11"/>
        <v>6</v>
      </c>
    </row>
    <row r="79" spans="1:19">
      <c r="A79" s="138" t="str">
        <f>'00_SKU_Master'!J171</f>
        <v>MS FFTF BSHB AC 6D PP</v>
      </c>
      <c r="B79" s="138">
        <f>'00_SKU_Master'!B171</f>
        <v>2508</v>
      </c>
      <c r="C79" s="165">
        <f>_xlfn.XLOOKUP(B79,'02_TrayPack_Order'!$A$2:$A$265,'02_TrayPack_Order'!$C$2:$C$265)</f>
        <v>28</v>
      </c>
      <c r="D79" s="166">
        <f>_xlfn.XLOOKUP(B79,'02_TrayPack_Order'!$A$2:$A$265,'02_TrayPack_Order'!$L$2:$L$265,0)</f>
        <v>0</v>
      </c>
      <c r="E79" s="165">
        <f>SUMIF('13_Progress_Track'!$A$2:$A$108,B79,'13_Progress_Track'!$E$2:$E$108)</f>
        <v>0</v>
      </c>
      <c r="F79" s="165">
        <f t="shared" si="6"/>
        <v>0</v>
      </c>
      <c r="G79" s="167">
        <f t="shared" si="7"/>
        <v>28</v>
      </c>
      <c r="H79" s="138" t="str">
        <f>_xlfn.IFNA(_xlfn.XLOOKUP(B79,'00_SKU_Master'!$B$2:$B$378,'00_SKU_Master'!$C$2:$C$378),"")</f>
        <v>61050F</v>
      </c>
      <c r="I79" s="138"/>
      <c r="J79" s="14" t="str">
        <f>_xlfn.IFNA(_xlfn.XLOOKUP(B79,'00_SKU_Master'!B$2:B$378,'00_SKU_Master'!H$2:H$378,0),"")</f>
        <v>LT 6D</v>
      </c>
      <c r="K79" s="14" t="str">
        <f>_xlfn.IFNA(_xlfn.XLOOKUP(B79,'00_SKU_Master'!B$2:B$378,'00_SKU_Master'!K$2:K$378,0),"")</f>
        <v>Fast</v>
      </c>
      <c r="L79" s="138" t="str">
        <f>_xlfn.XLOOKUP(B79,'00_SKU_Master'!$B$2:$B$378,'00_SKU_Master'!$D$2:$D$378)</f>
        <v>FB</v>
      </c>
      <c r="M79" s="138">
        <f t="shared" si="8"/>
        <v>28</v>
      </c>
      <c r="N79" t="str">
        <f>IFERROR(_xlfn.XLOOKUP(B79,'00_SKU_Master'!$B$2:$B$378,'00_SKU_Master'!$E$2:$E$378,""),"")</f>
        <v>BSB</v>
      </c>
      <c r="O79">
        <f>IFERROR(_xlfn.XLOOKUP(B79,'00_SKU_Master'!$B$2:$B$378,'00_SKU_Master'!$F$2:$F$378,0),0)</f>
        <v>7.0664191705984596</v>
      </c>
      <c r="P79">
        <f>IFERROR(_xlfn.XLOOKUP(N79,'00_Yield_Rates'!$B$2:$B$33,'00_Yield_Rates'!$E$2:$E$33,0)/100,0)</f>
        <v>0.31</v>
      </c>
      <c r="Q79">
        <f t="shared" si="9"/>
        <v>197.85973677675688</v>
      </c>
      <c r="R79">
        <f t="shared" si="10"/>
        <v>638.2572154088931</v>
      </c>
      <c r="S79">
        <f t="shared" si="11"/>
        <v>1</v>
      </c>
    </row>
    <row r="80" spans="1:19">
      <c r="A80" s="138" t="str">
        <f>'00_SKU_Master'!J172</f>
        <v>MS FFTF BSHB AC 6D PP</v>
      </c>
      <c r="B80" s="138">
        <f>'00_SKU_Master'!B172</f>
        <v>2509</v>
      </c>
      <c r="C80" s="165">
        <f>_xlfn.XLOOKUP(B80,'02_TrayPack_Order'!$A$2:$A$265,'02_TrayPack_Order'!$C$2:$C$265)</f>
        <v>0</v>
      </c>
      <c r="D80" s="166">
        <f>_xlfn.XLOOKUP(B80,'02_TrayPack_Order'!$A$2:$A$265,'02_TrayPack_Order'!$L$2:$L$265,0)</f>
        <v>0</v>
      </c>
      <c r="E80" s="165">
        <f>SUMIF('13_Progress_Track'!$A$2:$A$108,B80,'13_Progress_Track'!$E$2:$E$108)</f>
        <v>0</v>
      </c>
      <c r="F80" s="165">
        <f t="shared" si="6"/>
        <v>0</v>
      </c>
      <c r="G80" s="167">
        <f t="shared" si="7"/>
        <v>0</v>
      </c>
      <c r="H80" s="138">
        <f>_xlfn.IFNA(_xlfn.XLOOKUP(B80,'00_SKU_Master'!$B$2:$B$378,'00_SKU_Master'!$C$2:$C$378),"")</f>
        <v>61050</v>
      </c>
      <c r="I80" s="138"/>
      <c r="J80" s="14" t="str">
        <f>_xlfn.IFNA(_xlfn.XLOOKUP(B80,'00_SKU_Master'!B$2:B$378,'00_SKU_Master'!H$2:H$378,0),"")</f>
        <v>LT 6D</v>
      </c>
      <c r="K80" s="14" t="str">
        <f>_xlfn.IFNA(_xlfn.XLOOKUP(B80,'00_SKU_Master'!B$2:B$378,'00_SKU_Master'!K$2:K$378,0),"")</f>
        <v>Fast</v>
      </c>
      <c r="L80" s="138" t="str">
        <f>_xlfn.XLOOKUP(B80,'00_SKU_Master'!$B$2:$B$378,'00_SKU_Master'!$D$2:$D$378)</f>
        <v>FB</v>
      </c>
      <c r="M80" s="138">
        <f t="shared" si="8"/>
        <v>0</v>
      </c>
      <c r="N80" t="str">
        <f>IFERROR(_xlfn.XLOOKUP(B80,'00_SKU_Master'!$B$2:$B$378,'00_SKU_Master'!$E$2:$E$378,""),"")</f>
        <v>BSB</v>
      </c>
      <c r="O80">
        <f>IFERROR(_xlfn.XLOOKUP(B80,'00_SKU_Master'!$B$2:$B$378,'00_SKU_Master'!$F$2:$F$378,0),0)</f>
        <v>7.6328908051277304</v>
      </c>
      <c r="P80">
        <f>IFERROR(_xlfn.XLOOKUP(N80,'00_Yield_Rates'!$B$2:$B$33,'00_Yield_Rates'!$E$2:$E$33,0)/100,0)</f>
        <v>0.31</v>
      </c>
      <c r="Q80">
        <f t="shared" si="9"/>
        <v>0</v>
      </c>
      <c r="R80">
        <f t="shared" si="10"/>
        <v>0</v>
      </c>
      <c r="S80">
        <f t="shared" si="11"/>
        <v>0</v>
      </c>
    </row>
    <row r="81" spans="1:19">
      <c r="A81" s="138" t="str">
        <f>'00_SKU_Master'!J173</f>
        <v>MS BSC SPL WING 8XP PP</v>
      </c>
      <c r="B81" s="138">
        <f>'00_SKU_Master'!B173</f>
        <v>2510</v>
      </c>
      <c r="C81" s="165">
        <f>_xlfn.XLOOKUP(B81,'02_TrayPack_Order'!$A$2:$A$265,'02_TrayPack_Order'!$C$2:$C$265)</f>
        <v>153</v>
      </c>
      <c r="D81" s="166">
        <f>_xlfn.XLOOKUP(B81,'02_TrayPack_Order'!$A$2:$A$265,'02_TrayPack_Order'!$L$2:$L$265,0)</f>
        <v>0</v>
      </c>
      <c r="E81" s="165">
        <f>SUMIF('13_Progress_Track'!$A$2:$A$108,B81,'13_Progress_Track'!$E$2:$E$108)</f>
        <v>0</v>
      </c>
      <c r="F81" s="165">
        <f t="shared" si="6"/>
        <v>0</v>
      </c>
      <c r="G81" s="167">
        <f t="shared" si="7"/>
        <v>153</v>
      </c>
      <c r="H81" s="138" t="str">
        <f>_xlfn.IFNA(_xlfn.XLOOKUP(B81,'00_SKU_Master'!$B$2:$B$378,'00_SKU_Master'!$C$2:$C$378),"")</f>
        <v>61014F</v>
      </c>
      <c r="I81" s="138"/>
      <c r="J81" s="14" t="str">
        <f>_xlfn.IFNA(_xlfn.XLOOKUP(B81,'00_SKU_Master'!B$2:B$378,'00_SKU_Master'!H$2:H$378,0),"")</f>
        <v>LT 8XP</v>
      </c>
      <c r="K81" s="14" t="str">
        <f>_xlfn.IFNA(_xlfn.XLOOKUP(B81,'00_SKU_Master'!B$2:B$378,'00_SKU_Master'!K$2:K$378,0),"")</f>
        <v>Slow</v>
      </c>
      <c r="L81" s="138" t="str">
        <f>_xlfn.XLOOKUP(B81,'00_SKU_Master'!$B$2:$B$378,'00_SKU_Master'!$D$2:$D$378)</f>
        <v>FB</v>
      </c>
      <c r="M81" s="138">
        <f t="shared" si="8"/>
        <v>153</v>
      </c>
      <c r="N81" t="str">
        <f>IFERROR(_xlfn.XLOOKUP(B81,'00_SKU_Master'!$B$2:$B$378,'00_SKU_Master'!$E$2:$E$378,""),"")</f>
        <v>SplitWing</v>
      </c>
      <c r="O81">
        <f>IFERROR(_xlfn.XLOOKUP(B81,'00_SKU_Master'!$B$2:$B$378,'00_SKU_Master'!$F$2:$F$378,0),0)</f>
        <v>8.2152039737898903</v>
      </c>
      <c r="P81">
        <f>IFERROR(_xlfn.XLOOKUP(N81,'00_Yield_Rates'!$B$2:$B$33,'00_Yield_Rates'!$E$2:$E$33,0)/100,0)</f>
        <v>9.6000000000000002E-2</v>
      </c>
      <c r="Q81">
        <f t="shared" si="9"/>
        <v>1256.9262079898533</v>
      </c>
      <c r="R81">
        <f t="shared" si="10"/>
        <v>13092.981333227639</v>
      </c>
      <c r="S81">
        <f t="shared" si="11"/>
        <v>19.3</v>
      </c>
    </row>
    <row r="82" spans="1:19">
      <c r="A82" s="138" t="str">
        <f>'00_SKU_Master'!J174</f>
        <v>MS BSC SPL WING 8XP</v>
      </c>
      <c r="B82" s="138">
        <f>'00_SKU_Master'!B174</f>
        <v>2512</v>
      </c>
      <c r="C82" s="165">
        <f>_xlfn.XLOOKUP(B82,'02_TrayPack_Order'!$A$2:$A$265,'02_TrayPack_Order'!$C$2:$C$265)</f>
        <v>80</v>
      </c>
      <c r="D82" s="166">
        <f>_xlfn.XLOOKUP(B82,'02_TrayPack_Order'!$A$2:$A$265,'02_TrayPack_Order'!$L$2:$L$265,0)</f>
        <v>0</v>
      </c>
      <c r="E82" s="165">
        <f>SUMIF('13_Progress_Track'!$A$2:$A$108,B82,'13_Progress_Track'!$E$2:$E$108)</f>
        <v>0</v>
      </c>
      <c r="F82" s="165">
        <f t="shared" si="6"/>
        <v>0</v>
      </c>
      <c r="G82" s="167">
        <f t="shared" si="7"/>
        <v>80</v>
      </c>
      <c r="H82" s="138">
        <f>_xlfn.IFNA(_xlfn.XLOOKUP(B82,'00_SKU_Master'!$B$2:$B$378,'00_SKU_Master'!$C$2:$C$378),"")</f>
        <v>61014</v>
      </c>
      <c r="I82" s="138"/>
      <c r="J82" s="14" t="str">
        <f>_xlfn.IFNA(_xlfn.XLOOKUP(B82,'00_SKU_Master'!B$2:B$378,'00_SKU_Master'!H$2:H$378,0),"")</f>
        <v>LT 8XP</v>
      </c>
      <c r="K82" s="14" t="str">
        <f>_xlfn.IFNA(_xlfn.XLOOKUP(B82,'00_SKU_Master'!B$2:B$378,'00_SKU_Master'!K$2:K$378,0),"")</f>
        <v>Slow</v>
      </c>
      <c r="L82" s="138" t="str">
        <f>_xlfn.XLOOKUP(B82,'00_SKU_Master'!$B$2:$B$378,'00_SKU_Master'!$D$2:$D$378)</f>
        <v>METRO</v>
      </c>
      <c r="M82" s="138">
        <f t="shared" si="8"/>
        <v>80</v>
      </c>
      <c r="N82" t="str">
        <f>IFERROR(_xlfn.XLOOKUP(B82,'00_SKU_Master'!$B$2:$B$378,'00_SKU_Master'!$E$2:$E$378,""),"")</f>
        <v>SplitWing</v>
      </c>
      <c r="O82">
        <f>IFERROR(_xlfn.XLOOKUP(B82,'00_SKU_Master'!$B$2:$B$378,'00_SKU_Master'!$F$2:$F$378,0),0)</f>
        <v>8.2115199306759106</v>
      </c>
      <c r="P82">
        <f>IFERROR(_xlfn.XLOOKUP(N82,'00_Yield_Rates'!$B$2:$B$33,'00_Yield_Rates'!$E$2:$E$33,0)/100,0)</f>
        <v>9.6000000000000002E-2</v>
      </c>
      <c r="Q82">
        <f t="shared" si="9"/>
        <v>656.92159445407287</v>
      </c>
      <c r="R82">
        <f t="shared" si="10"/>
        <v>6842.9332755632586</v>
      </c>
      <c r="S82">
        <f t="shared" si="11"/>
        <v>10.1</v>
      </c>
    </row>
    <row r="83" spans="1:19">
      <c r="A83" s="138" t="str">
        <f>'00_SKU_Master'!J175</f>
        <v>PB WING LT</v>
      </c>
      <c r="B83" s="138">
        <f>'00_SKU_Master'!B175</f>
        <v>7018</v>
      </c>
      <c r="C83" s="165">
        <f>_xlfn.XLOOKUP(B83,'02_TrayPack_Order'!$A$2:$A$265,'02_TrayPack_Order'!$C$2:$C$265)</f>
        <v>0</v>
      </c>
      <c r="D83" s="166">
        <f>_xlfn.XLOOKUP(B83,'02_TrayPack_Order'!$A$2:$A$265,'02_TrayPack_Order'!$L$2:$L$265,0)</f>
        <v>0</v>
      </c>
      <c r="E83" s="165">
        <f>SUMIF('13_Progress_Track'!$A$2:$A$108,B83,'13_Progress_Track'!$E$2:$E$108)</f>
        <v>0</v>
      </c>
      <c r="F83" s="165">
        <f t="shared" si="6"/>
        <v>0</v>
      </c>
      <c r="G83" s="167">
        <f t="shared" si="7"/>
        <v>0</v>
      </c>
      <c r="H83" s="138">
        <f>_xlfn.IFNA(_xlfn.XLOOKUP(B83,'00_SKU_Master'!$B$2:$B$378,'00_SKU_Master'!$C$2:$C$378),"")</f>
        <v>61010</v>
      </c>
      <c r="I83" s="138"/>
      <c r="J83" s="14" t="str">
        <f>_xlfn.IFNA(_xlfn.XLOOKUP(B83,'00_SKU_Master'!B$2:B$378,'00_SKU_Master'!H$2:H$378,0),"")</f>
        <v>PET 8</v>
      </c>
      <c r="K83" s="14" t="str">
        <f>_xlfn.IFNA(_xlfn.XLOOKUP(B83,'00_SKU_Master'!B$2:B$378,'00_SKU_Master'!K$2:K$378,0),"")</f>
        <v>Fast</v>
      </c>
      <c r="L83" s="138" t="str">
        <f>_xlfn.XLOOKUP(B83,'00_SKU_Master'!$B$2:$B$378,'00_SKU_Master'!$D$2:$D$378)</f>
        <v>LCL</v>
      </c>
      <c r="M83" s="138">
        <f t="shared" si="8"/>
        <v>0</v>
      </c>
      <c r="N83" t="str">
        <f>IFERROR(_xlfn.XLOOKUP(B83,'00_SKU_Master'!$B$2:$B$378,'00_SKU_Master'!$E$2:$E$378,""),"")</f>
        <v>Whole Wing-Large</v>
      </c>
      <c r="O83">
        <f>IFERROR(_xlfn.XLOOKUP(B83,'00_SKU_Master'!$B$2:$B$378,'00_SKU_Master'!$F$2:$F$378,0),0)</f>
        <v>7.42</v>
      </c>
      <c r="P83">
        <f>IFERROR(_xlfn.XLOOKUP(N83,'00_Yield_Rates'!$B$2:$B$33,'00_Yield_Rates'!$E$2:$E$33,0)/100,0)</f>
        <v>0</v>
      </c>
      <c r="Q83">
        <f t="shared" si="9"/>
        <v>0</v>
      </c>
      <c r="R83">
        <f t="shared" si="10"/>
        <v>0</v>
      </c>
      <c r="S83">
        <f t="shared" si="11"/>
        <v>0</v>
      </c>
    </row>
    <row r="84" spans="1:19">
      <c r="A84" s="138" t="str">
        <f>'00_SKU_Master'!J176</f>
        <v>PB LEG BA LT</v>
      </c>
      <c r="B84" s="138">
        <f>'00_SKU_Master'!B176</f>
        <v>7091</v>
      </c>
      <c r="C84" s="165">
        <f>_xlfn.XLOOKUP(B84,'02_TrayPack_Order'!$A$2:$A$265,'02_TrayPack_Order'!$C$2:$C$265)</f>
        <v>0</v>
      </c>
      <c r="D84" s="166">
        <f>_xlfn.XLOOKUP(B84,'02_TrayPack_Order'!$A$2:$A$265,'02_TrayPack_Order'!$L$2:$L$265,0)</f>
        <v>0</v>
      </c>
      <c r="E84" s="165">
        <f>SUMIF('13_Progress_Track'!$A$2:$A$108,B84,'13_Progress_Track'!$E$2:$E$108)</f>
        <v>0</v>
      </c>
      <c r="F84" s="165">
        <f t="shared" si="6"/>
        <v>0</v>
      </c>
      <c r="G84" s="167">
        <f t="shared" si="7"/>
        <v>0</v>
      </c>
      <c r="H84" s="138">
        <f>_xlfn.IFNA(_xlfn.XLOOKUP(B84,'00_SKU_Master'!$B$2:$B$378,'00_SKU_Master'!$C$2:$C$378),"")</f>
        <v>61061</v>
      </c>
      <c r="I84" s="138"/>
      <c r="J84" s="14" t="str">
        <f>_xlfn.IFNA(_xlfn.XLOOKUP(B84,'00_SKU_Master'!B$2:B$378,'00_SKU_Master'!H$2:H$378,0),"")</f>
        <v>PET 8</v>
      </c>
      <c r="K84" s="14" t="str">
        <f>_xlfn.IFNA(_xlfn.XLOOKUP(B84,'00_SKU_Master'!B$2:B$378,'00_SKU_Master'!K$2:K$378,0),"")</f>
        <v>Fast</v>
      </c>
      <c r="L84" s="138" t="str">
        <f>_xlfn.XLOOKUP(B84,'00_SKU_Master'!$B$2:$B$378,'00_SKU_Master'!$D$2:$D$378)</f>
        <v>LCL</v>
      </c>
      <c r="M84" s="138">
        <f t="shared" si="8"/>
        <v>0</v>
      </c>
      <c r="N84" t="str">
        <f>IFERROR(_xlfn.XLOOKUP(B84,'00_SKU_Master'!$B$2:$B$378,'00_SKU_Master'!$E$2:$E$378,""),"")</f>
        <v>BA</v>
      </c>
      <c r="O84">
        <f>IFERROR(_xlfn.XLOOKUP(B84,'00_SKU_Master'!$B$2:$B$378,'00_SKU_Master'!$F$2:$F$378,0),0)</f>
        <v>0</v>
      </c>
      <c r="P84">
        <f>IFERROR(_xlfn.XLOOKUP(N84,'00_Yield_Rates'!$B$2:$B$33,'00_Yield_Rates'!$E$2:$E$33,0)/100,0)</f>
        <v>0.42</v>
      </c>
      <c r="Q84">
        <f t="shared" si="9"/>
        <v>0</v>
      </c>
      <c r="R84">
        <f t="shared" si="10"/>
        <v>0</v>
      </c>
      <c r="S84">
        <f t="shared" si="11"/>
        <v>0</v>
      </c>
    </row>
    <row r="85" spans="1:19">
      <c r="A85" s="138" t="str">
        <f>'00_SKU_Master'!J177</f>
        <v>PB FRY WOG TI ST</v>
      </c>
      <c r="B85" s="138">
        <f>'00_SKU_Master'!B177</f>
        <v>7103</v>
      </c>
      <c r="C85" s="165">
        <f>_xlfn.XLOOKUP(B85,'02_TrayPack_Order'!$A$2:$A$265,'02_TrayPack_Order'!$C$2:$C$265)</f>
        <v>0</v>
      </c>
      <c r="D85" s="166">
        <f>_xlfn.XLOOKUP(B85,'02_TrayPack_Order'!$A$2:$A$265,'02_TrayPack_Order'!$L$2:$L$265,0)</f>
        <v>0</v>
      </c>
      <c r="E85" s="165">
        <f>SUMIF('13_Progress_Track'!$A$2:$A$108,B85,'13_Progress_Track'!$E$2:$E$108)</f>
        <v>0</v>
      </c>
      <c r="F85" s="165">
        <f t="shared" si="6"/>
        <v>0</v>
      </c>
      <c r="G85" s="167">
        <f t="shared" si="7"/>
        <v>0</v>
      </c>
      <c r="H85" s="138">
        <f>_xlfn.IFNA(_xlfn.XLOOKUP(B85,'00_SKU_Master'!$B$2:$B$378,'00_SKU_Master'!$C$2:$C$378),"")</f>
        <v>203891</v>
      </c>
      <c r="I85" s="138"/>
      <c r="J85" s="14" t="str">
        <f>_xlfn.IFNA(_xlfn.XLOOKUP(B85,'00_SKU_Master'!B$2:B$378,'00_SKU_Master'!H$2:H$378,0),"")</f>
        <v>ST 3XP</v>
      </c>
      <c r="K85" s="14" t="str">
        <f>_xlfn.IFNA(_xlfn.XLOOKUP(B85,'00_SKU_Master'!B$2:B$378,'00_SKU_Master'!K$2:K$378,0),"")</f>
        <v>Fast</v>
      </c>
      <c r="L85" s="138" t="str">
        <f>_xlfn.XLOOKUP(B85,'00_SKU_Master'!$B$2:$B$378,'00_SKU_Master'!$D$2:$D$378)</f>
        <v>LCL</v>
      </c>
      <c r="M85" s="138">
        <f t="shared" si="8"/>
        <v>0</v>
      </c>
      <c r="N85" t="str">
        <f>IFERROR(_xlfn.XLOOKUP(B85,'00_SKU_Master'!$B$2:$B$378,'00_SKU_Master'!$E$2:$E$378,""),"")</f>
        <v>Whole Bird-Small</v>
      </c>
      <c r="O85">
        <f>IFERROR(_xlfn.XLOOKUP(B85,'00_SKU_Master'!$B$2:$B$378,'00_SKU_Master'!$F$2:$F$378,0),0)</f>
        <v>0</v>
      </c>
      <c r="P85">
        <f>IFERROR(_xlfn.XLOOKUP(N85,'00_Yield_Rates'!$B$2:$B$33,'00_Yield_Rates'!$E$2:$E$33,0)/100,0)</f>
        <v>0</v>
      </c>
      <c r="Q85">
        <f t="shared" si="9"/>
        <v>0</v>
      </c>
      <c r="R85">
        <f t="shared" si="10"/>
        <v>0</v>
      </c>
      <c r="S85">
        <f t="shared" si="11"/>
        <v>0</v>
      </c>
    </row>
    <row r="86" spans="1:19">
      <c r="A86" s="138" t="str">
        <f>'00_SKU_Master'!J178</f>
        <v>PB THIGH LT</v>
      </c>
      <c r="B86" s="138">
        <f>'00_SKU_Master'!B178</f>
        <v>7104</v>
      </c>
      <c r="C86" s="165">
        <f>_xlfn.XLOOKUP(B86,'02_TrayPack_Order'!$A$2:$A$265,'02_TrayPack_Order'!$C$2:$C$265)</f>
        <v>0</v>
      </c>
      <c r="D86" s="166">
        <f>_xlfn.XLOOKUP(B86,'02_TrayPack_Order'!$A$2:$A$265,'02_TrayPack_Order'!$L$2:$L$265,0)</f>
        <v>0</v>
      </c>
      <c r="E86" s="165">
        <f>SUMIF('13_Progress_Track'!$A$2:$A$108,B86,'13_Progress_Track'!$E$2:$E$108)</f>
        <v>0</v>
      </c>
      <c r="F86" s="165">
        <f t="shared" si="6"/>
        <v>0</v>
      </c>
      <c r="G86" s="167">
        <f t="shared" si="7"/>
        <v>0</v>
      </c>
      <c r="H86" s="138">
        <f>_xlfn.IFNA(_xlfn.XLOOKUP(B86,'00_SKU_Master'!$B$2:$B$378,'00_SKU_Master'!$C$2:$C$378),"")</f>
        <v>61082</v>
      </c>
      <c r="I86" s="138"/>
      <c r="J86" s="14" t="str">
        <f>_xlfn.IFNA(_xlfn.XLOOKUP(B86,'00_SKU_Master'!B$2:B$378,'00_SKU_Master'!H$2:H$378,0),"")</f>
        <v>PET 8</v>
      </c>
      <c r="K86" s="14" t="str">
        <f>_xlfn.IFNA(_xlfn.XLOOKUP(B86,'00_SKU_Master'!B$2:B$378,'00_SKU_Master'!K$2:K$378,0),"")</f>
        <v>Fast</v>
      </c>
      <c r="L86" s="138" t="str">
        <f>_xlfn.XLOOKUP(B86,'00_SKU_Master'!$B$2:$B$378,'00_SKU_Master'!$D$2:$D$378)</f>
        <v>LCL</v>
      </c>
      <c r="M86" s="138">
        <f t="shared" si="8"/>
        <v>0</v>
      </c>
      <c r="N86" t="str">
        <f>IFERROR(_xlfn.XLOOKUP(B86,'00_SKU_Master'!$B$2:$B$378,'00_SKU_Master'!$E$2:$E$378,""),"")</f>
        <v>Thigh</v>
      </c>
      <c r="O86">
        <f>IFERROR(_xlfn.XLOOKUP(B86,'00_SKU_Master'!$B$2:$B$378,'00_SKU_Master'!$F$2:$F$378,0),0)</f>
        <v>10.533333333333299</v>
      </c>
      <c r="P86">
        <f>IFERROR(_xlfn.XLOOKUP(N86,'00_Yield_Rates'!$B$2:$B$33,'00_Yield_Rates'!$E$2:$E$33,0)/100,0)</f>
        <v>0.191</v>
      </c>
      <c r="Q86">
        <f t="shared" si="9"/>
        <v>0</v>
      </c>
      <c r="R86">
        <f t="shared" si="10"/>
        <v>0</v>
      </c>
      <c r="S86">
        <f t="shared" si="11"/>
        <v>0</v>
      </c>
    </row>
    <row r="87" spans="1:19">
      <c r="A87" s="138" t="str">
        <f>'00_SKU_Master'!J179</f>
        <v>MS BSHB PET8 BSK</v>
      </c>
      <c r="B87" s="138">
        <f>'00_SKU_Master'!B179</f>
        <v>7105</v>
      </c>
      <c r="C87" s="165">
        <f>_xlfn.XLOOKUP(B87,'02_TrayPack_Order'!$A$2:$A$265,'02_TrayPack_Order'!$C$2:$C$265)</f>
        <v>0</v>
      </c>
      <c r="D87" s="166">
        <f>_xlfn.XLOOKUP(B87,'02_TrayPack_Order'!$A$2:$A$265,'02_TrayPack_Order'!$L$2:$L$265,0)</f>
        <v>0</v>
      </c>
      <c r="E87" s="165">
        <f>SUMIF('13_Progress_Track'!$A$2:$A$108,B87,'13_Progress_Track'!$E$2:$E$108)</f>
        <v>0</v>
      </c>
      <c r="F87" s="165">
        <f t="shared" si="6"/>
        <v>0</v>
      </c>
      <c r="G87" s="167">
        <f t="shared" si="7"/>
        <v>0</v>
      </c>
      <c r="H87" s="138" t="str">
        <f>_xlfn.IFNA(_xlfn.XLOOKUP(B87,'00_SKU_Master'!$B$2:$B$378,'00_SKU_Master'!$C$2:$C$378),"")</f>
        <v>61050#2</v>
      </c>
      <c r="I87" s="138"/>
      <c r="J87" s="14" t="str">
        <f>_xlfn.IFNA(_xlfn.XLOOKUP(B87,'00_SKU_Master'!B$2:B$378,'00_SKU_Master'!H$2:H$378,0),"")</f>
        <v>PET 8</v>
      </c>
      <c r="K87" s="14" t="str">
        <f>_xlfn.IFNA(_xlfn.XLOOKUP(B87,'00_SKU_Master'!B$2:B$378,'00_SKU_Master'!K$2:K$378,0),"")</f>
        <v>Fast</v>
      </c>
      <c r="L87" s="138" t="str">
        <f>_xlfn.XLOOKUP(B87,'00_SKU_Master'!$B$2:$B$378,'00_SKU_Master'!$D$2:$D$378)</f>
        <v>LCL</v>
      </c>
      <c r="M87" s="138">
        <f t="shared" si="8"/>
        <v>0</v>
      </c>
      <c r="N87" t="str">
        <f>IFERROR(_xlfn.XLOOKUP(B87,'00_SKU_Master'!$B$2:$B$378,'00_SKU_Master'!$E$2:$E$378,""),"")</f>
        <v>BSB</v>
      </c>
      <c r="O87">
        <f>IFERROR(_xlfn.XLOOKUP(B87,'00_SKU_Master'!$B$2:$B$378,'00_SKU_Master'!$F$2:$F$378,0),0)</f>
        <v>9.7704409432707493</v>
      </c>
      <c r="P87">
        <f>IFERROR(_xlfn.XLOOKUP(N87,'00_Yield_Rates'!$B$2:$B$33,'00_Yield_Rates'!$E$2:$E$33,0)/100,0)</f>
        <v>0.31</v>
      </c>
      <c r="Q87">
        <f t="shared" si="9"/>
        <v>0</v>
      </c>
      <c r="R87">
        <f t="shared" si="10"/>
        <v>0</v>
      </c>
      <c r="S87">
        <f t="shared" si="11"/>
        <v>0</v>
      </c>
    </row>
    <row r="88" spans="1:19">
      <c r="A88" s="138" t="str">
        <f>'00_SKU_Master'!J180</f>
        <v>PB SKLS HB LT</v>
      </c>
      <c r="B88" s="138">
        <f>'00_SKU_Master'!B180</f>
        <v>7107</v>
      </c>
      <c r="C88" s="165">
        <f>_xlfn.XLOOKUP(B88,'02_TrayPack_Order'!$A$2:$A$265,'02_TrayPack_Order'!$C$2:$C$265)</f>
        <v>0</v>
      </c>
      <c r="D88" s="166">
        <f>_xlfn.XLOOKUP(B88,'02_TrayPack_Order'!$A$2:$A$265,'02_TrayPack_Order'!$L$2:$L$265,0)</f>
        <v>0</v>
      </c>
      <c r="E88" s="165">
        <f>SUMIF('13_Progress_Track'!$A$2:$A$108,B88,'13_Progress_Track'!$E$2:$E$108)</f>
        <v>0</v>
      </c>
      <c r="F88" s="165">
        <f t="shared" si="6"/>
        <v>0</v>
      </c>
      <c r="G88" s="167">
        <f t="shared" si="7"/>
        <v>0</v>
      </c>
      <c r="H88" s="138" t="str">
        <f>_xlfn.IFNA(_xlfn.XLOOKUP(B88,'00_SKU_Master'!$B$2:$B$378,'00_SKU_Master'!$C$2:$C$378),"")</f>
        <v>61048#2</v>
      </c>
      <c r="I88" s="138"/>
      <c r="J88" s="14" t="str">
        <f>_xlfn.IFNA(_xlfn.XLOOKUP(B88,'00_SKU_Master'!B$2:B$378,'00_SKU_Master'!H$2:H$378,0),"")</f>
        <v>PET 8</v>
      </c>
      <c r="K88" s="14" t="str">
        <f>_xlfn.IFNA(_xlfn.XLOOKUP(B88,'00_SKU_Master'!B$2:B$378,'00_SKU_Master'!K$2:K$378,0),"")</f>
        <v>Fast</v>
      </c>
      <c r="L88" s="138" t="str">
        <f>_xlfn.XLOOKUP(B88,'00_SKU_Master'!$B$2:$B$378,'00_SKU_Master'!$D$2:$D$378)</f>
        <v>LCL</v>
      </c>
      <c r="M88" s="138">
        <f t="shared" si="8"/>
        <v>0</v>
      </c>
      <c r="N88" t="str">
        <f>IFERROR(_xlfn.XLOOKUP(B88,'00_SKU_Master'!$B$2:$B$378,'00_SKU_Master'!$E$2:$E$378,""),"")</f>
        <v>SplitBreast</v>
      </c>
      <c r="O88">
        <f>IFERROR(_xlfn.XLOOKUP(B88,'00_SKU_Master'!$B$2:$B$378,'00_SKU_Master'!$F$2:$F$378,0),0)</f>
        <v>10.5304894500172</v>
      </c>
      <c r="P88">
        <f>IFERROR(_xlfn.XLOOKUP(N88,'00_Yield_Rates'!$B$2:$B$33,'00_Yield_Rates'!$E$2:$E$33,0)/100,0)</f>
        <v>0.43</v>
      </c>
      <c r="Q88">
        <f t="shared" si="9"/>
        <v>0</v>
      </c>
      <c r="R88">
        <f t="shared" si="10"/>
        <v>0</v>
      </c>
      <c r="S88">
        <f t="shared" si="11"/>
        <v>0</v>
      </c>
    </row>
    <row r="89" spans="1:19">
      <c r="A89" s="138" t="str">
        <f>'00_SKU_Master'!J181</f>
        <v>MS DRUM PET8 BSK</v>
      </c>
      <c r="B89" s="138">
        <f>'00_SKU_Master'!B181</f>
        <v>7108</v>
      </c>
      <c r="C89" s="165">
        <f>_xlfn.XLOOKUP(B89,'02_TrayPack_Order'!$A$2:$A$265,'02_TrayPack_Order'!$C$2:$C$265)</f>
        <v>0</v>
      </c>
      <c r="D89" s="166">
        <f>_xlfn.XLOOKUP(B89,'02_TrayPack_Order'!$A$2:$A$265,'02_TrayPack_Order'!$L$2:$L$265,0)</f>
        <v>0</v>
      </c>
      <c r="E89" s="165">
        <f>SUMIF('13_Progress_Track'!$A$2:$A$108,B89,'13_Progress_Track'!$E$2:$E$108)</f>
        <v>0</v>
      </c>
      <c r="F89" s="165">
        <f t="shared" si="6"/>
        <v>0</v>
      </c>
      <c r="G89" s="167">
        <f t="shared" si="7"/>
        <v>0</v>
      </c>
      <c r="H89" s="138" t="str">
        <f>_xlfn.IFNA(_xlfn.XLOOKUP(B89,'00_SKU_Master'!$B$2:$B$378,'00_SKU_Master'!$C$2:$C$378),"")</f>
        <v>61072#2</v>
      </c>
      <c r="I89" s="138"/>
      <c r="J89" s="14" t="str">
        <f>_xlfn.IFNA(_xlfn.XLOOKUP(B89,'00_SKU_Master'!B$2:B$378,'00_SKU_Master'!H$2:H$378,0),"")</f>
        <v>PET 8</v>
      </c>
      <c r="K89" s="14" t="str">
        <f>_xlfn.IFNA(_xlfn.XLOOKUP(B89,'00_SKU_Master'!B$2:B$378,'00_SKU_Master'!K$2:K$378,0),"")</f>
        <v>Fast</v>
      </c>
      <c r="L89" s="138" t="str">
        <f>_xlfn.XLOOKUP(B89,'00_SKU_Master'!$B$2:$B$378,'00_SKU_Master'!$D$2:$D$378)</f>
        <v>LCL</v>
      </c>
      <c r="M89" s="138">
        <f t="shared" si="8"/>
        <v>0</v>
      </c>
      <c r="N89" t="str">
        <f>IFERROR(_xlfn.XLOOKUP(B89,'00_SKU_Master'!$B$2:$B$378,'00_SKU_Master'!$E$2:$E$378,""),"")</f>
        <v>Drum</v>
      </c>
      <c r="O89">
        <f>IFERROR(_xlfn.XLOOKUP(B89,'00_SKU_Master'!$B$2:$B$378,'00_SKU_Master'!$F$2:$F$378,0),0)</f>
        <v>8.2584084680086907</v>
      </c>
      <c r="P89">
        <f>IFERROR(_xlfn.XLOOKUP(N89,'00_Yield_Rates'!$B$2:$B$33,'00_Yield_Rates'!$E$2:$E$33,0)/100,0)</f>
        <v>0.128</v>
      </c>
      <c r="Q89">
        <f t="shared" si="9"/>
        <v>0</v>
      </c>
      <c r="R89">
        <f t="shared" si="10"/>
        <v>0</v>
      </c>
      <c r="S89">
        <f t="shared" si="11"/>
        <v>0</v>
      </c>
    </row>
    <row r="90" spans="1:19">
      <c r="A90" s="138" t="str">
        <f>'00_SKU_Master'!J182</f>
        <v>PB HB LT</v>
      </c>
      <c r="B90" s="138">
        <f>'00_SKU_Master'!B182</f>
        <v>7109</v>
      </c>
      <c r="C90" s="165">
        <f>_xlfn.XLOOKUP(B90,'02_TrayPack_Order'!$A$2:$A$265,'02_TrayPack_Order'!$C$2:$C$265)</f>
        <v>0</v>
      </c>
      <c r="D90" s="166">
        <f>_xlfn.XLOOKUP(B90,'02_TrayPack_Order'!$A$2:$A$265,'02_TrayPack_Order'!$L$2:$L$265,0)</f>
        <v>0</v>
      </c>
      <c r="E90" s="165">
        <f>SUMIF('13_Progress_Track'!$A$2:$A$108,B90,'13_Progress_Track'!$E$2:$E$108)</f>
        <v>0</v>
      </c>
      <c r="F90" s="165">
        <f t="shared" si="6"/>
        <v>0</v>
      </c>
      <c r="G90" s="167">
        <f t="shared" si="7"/>
        <v>0</v>
      </c>
      <c r="H90" s="138" t="str">
        <f>_xlfn.IFNA(_xlfn.XLOOKUP(B90,'00_SKU_Master'!$B$2:$B$378,'00_SKU_Master'!$C$2:$C$378),"")</f>
        <v>61040#2</v>
      </c>
      <c r="I90" s="138"/>
      <c r="J90" s="14" t="str">
        <f>_xlfn.IFNA(_xlfn.XLOOKUP(B90,'00_SKU_Master'!B$2:B$378,'00_SKU_Master'!H$2:H$378,0),"")</f>
        <v>PET 8</v>
      </c>
      <c r="K90" s="14" t="str">
        <f>_xlfn.IFNA(_xlfn.XLOOKUP(B90,'00_SKU_Master'!B$2:B$378,'00_SKU_Master'!K$2:K$378,0),"")</f>
        <v>Fast</v>
      </c>
      <c r="L90" s="138" t="str">
        <f>_xlfn.XLOOKUP(B90,'00_SKU_Master'!$B$2:$B$378,'00_SKU_Master'!$D$2:$D$378)</f>
        <v>LCL</v>
      </c>
      <c r="M90" s="138">
        <f t="shared" si="8"/>
        <v>0</v>
      </c>
      <c r="N90" t="str">
        <f>IFERROR(_xlfn.XLOOKUP(B90,'00_SKU_Master'!$B$2:$B$378,'00_SKU_Master'!$E$2:$E$378,""),"")</f>
        <v>SplitBreast</v>
      </c>
      <c r="O90">
        <f>IFERROR(_xlfn.XLOOKUP(B90,'00_SKU_Master'!$B$2:$B$378,'00_SKU_Master'!$F$2:$F$378,0),0)</f>
        <v>0</v>
      </c>
      <c r="P90">
        <f>IFERROR(_xlfn.XLOOKUP(N90,'00_Yield_Rates'!$B$2:$B$33,'00_Yield_Rates'!$E$2:$E$33,0)/100,0)</f>
        <v>0.43</v>
      </c>
      <c r="Q90">
        <f t="shared" si="9"/>
        <v>0</v>
      </c>
      <c r="R90">
        <f t="shared" si="10"/>
        <v>0</v>
      </c>
      <c r="S90">
        <f t="shared" si="11"/>
        <v>0</v>
      </c>
    </row>
    <row r="91" spans="1:19">
      <c r="A91" s="138" t="str">
        <f>'00_SKU_Master'!J183</f>
        <v>PB DRUM LT PP</v>
      </c>
      <c r="B91" s="138">
        <f>'00_SKU_Master'!B183</f>
        <v>7115</v>
      </c>
      <c r="C91" s="165">
        <f>_xlfn.XLOOKUP(B91,'02_TrayPack_Order'!$A$2:$A$265,'02_TrayPack_Order'!$C$2:$C$265)</f>
        <v>0</v>
      </c>
      <c r="D91" s="166">
        <f>_xlfn.XLOOKUP(B91,'02_TrayPack_Order'!$A$2:$A$265,'02_TrayPack_Order'!$L$2:$L$265,0)</f>
        <v>0</v>
      </c>
      <c r="E91" s="165">
        <f>SUMIF('13_Progress_Track'!$A$2:$A$108,B91,'13_Progress_Track'!$E$2:$E$108)</f>
        <v>0</v>
      </c>
      <c r="F91" s="165">
        <f t="shared" si="6"/>
        <v>0</v>
      </c>
      <c r="G91" s="167">
        <f t="shared" si="7"/>
        <v>0</v>
      </c>
      <c r="H91" s="138" t="str">
        <f>_xlfn.IFNA(_xlfn.XLOOKUP(B91,'00_SKU_Master'!$B$2:$B$378,'00_SKU_Master'!$C$2:$C$378),"")</f>
        <v>61072#2</v>
      </c>
      <c r="I91" s="138"/>
      <c r="J91" s="14" t="str">
        <f>_xlfn.IFNA(_xlfn.XLOOKUP(B91,'00_SKU_Master'!B$2:B$378,'00_SKU_Master'!H$2:H$378,0),"")</f>
        <v>PET 8</v>
      </c>
      <c r="K91" s="14" t="str">
        <f>_xlfn.IFNA(_xlfn.XLOOKUP(B91,'00_SKU_Master'!B$2:B$378,'00_SKU_Master'!K$2:K$378,0),"")</f>
        <v>Fast</v>
      </c>
      <c r="L91" s="138" t="str">
        <f>_xlfn.XLOOKUP(B91,'00_SKU_Master'!$B$2:$B$378,'00_SKU_Master'!$D$2:$D$378)</f>
        <v>LCL</v>
      </c>
      <c r="M91" s="138">
        <f t="shared" si="8"/>
        <v>0</v>
      </c>
      <c r="N91" t="str">
        <f>IFERROR(_xlfn.XLOOKUP(B91,'00_SKU_Master'!$B$2:$B$378,'00_SKU_Master'!$E$2:$E$378,""),"")</f>
        <v>Drum</v>
      </c>
      <c r="O91">
        <f>IFERROR(_xlfn.XLOOKUP(B91,'00_SKU_Master'!$B$2:$B$378,'00_SKU_Master'!$F$2:$F$378,0),0)</f>
        <v>8.0768612235717399</v>
      </c>
      <c r="P91">
        <f>IFERROR(_xlfn.XLOOKUP(N91,'00_Yield_Rates'!$B$2:$B$33,'00_Yield_Rates'!$E$2:$E$33,0)/100,0)</f>
        <v>0.128</v>
      </c>
      <c r="Q91">
        <f t="shared" si="9"/>
        <v>0</v>
      </c>
      <c r="R91">
        <f t="shared" si="10"/>
        <v>0</v>
      </c>
      <c r="S91">
        <f t="shared" si="11"/>
        <v>0</v>
      </c>
    </row>
    <row r="92" spans="1:19">
      <c r="A92" s="138" t="str">
        <f>'00_SKU_Master'!J184</f>
        <v>PB THIGH LT PP</v>
      </c>
      <c r="B92" s="138">
        <f>'00_SKU_Master'!B184</f>
        <v>7116</v>
      </c>
      <c r="C92" s="165">
        <f>_xlfn.XLOOKUP(B92,'02_TrayPack_Order'!$A$2:$A$265,'02_TrayPack_Order'!$C$2:$C$265)</f>
        <v>0</v>
      </c>
      <c r="D92" s="166">
        <f>_xlfn.XLOOKUP(B92,'02_TrayPack_Order'!$A$2:$A$265,'02_TrayPack_Order'!$L$2:$L$265,0)</f>
        <v>0</v>
      </c>
      <c r="E92" s="165">
        <f>SUMIF('13_Progress_Track'!$A$2:$A$108,B92,'13_Progress_Track'!$E$2:$E$108)</f>
        <v>0</v>
      </c>
      <c r="F92" s="165">
        <f t="shared" si="6"/>
        <v>0</v>
      </c>
      <c r="G92" s="167">
        <f t="shared" si="7"/>
        <v>0</v>
      </c>
      <c r="H92" s="138">
        <f>_xlfn.IFNA(_xlfn.XLOOKUP(B92,'00_SKU_Master'!$B$2:$B$378,'00_SKU_Master'!$C$2:$C$378),"")</f>
        <v>61082</v>
      </c>
      <c r="I92" s="138"/>
      <c r="J92" s="14" t="str">
        <f>_xlfn.IFNA(_xlfn.XLOOKUP(B92,'00_SKU_Master'!B$2:B$378,'00_SKU_Master'!H$2:H$378,0),"")</f>
        <v>PET 8</v>
      </c>
      <c r="K92" s="14" t="str">
        <f>_xlfn.IFNA(_xlfn.XLOOKUP(B92,'00_SKU_Master'!B$2:B$378,'00_SKU_Master'!K$2:K$378,0),"")</f>
        <v>Fast</v>
      </c>
      <c r="L92" s="138" t="str">
        <f>_xlfn.XLOOKUP(B92,'00_SKU_Master'!$B$2:$B$378,'00_SKU_Master'!$D$2:$D$378)</f>
        <v>LCL</v>
      </c>
      <c r="M92" s="138">
        <f t="shared" si="8"/>
        <v>0</v>
      </c>
      <c r="N92" t="str">
        <f>IFERROR(_xlfn.XLOOKUP(B92,'00_SKU_Master'!$B$2:$B$378,'00_SKU_Master'!$E$2:$E$378,""),"")</f>
        <v>Thigh</v>
      </c>
      <c r="O92">
        <f>IFERROR(_xlfn.XLOOKUP(B92,'00_SKU_Master'!$B$2:$B$378,'00_SKU_Master'!$F$2:$F$378,0),0)</f>
        <v>0</v>
      </c>
      <c r="P92">
        <f>IFERROR(_xlfn.XLOOKUP(N92,'00_Yield_Rates'!$B$2:$B$33,'00_Yield_Rates'!$E$2:$E$33,0)/100,0)</f>
        <v>0.191</v>
      </c>
      <c r="Q92">
        <f t="shared" si="9"/>
        <v>0</v>
      </c>
      <c r="R92">
        <f t="shared" si="10"/>
        <v>0</v>
      </c>
      <c r="S92">
        <f t="shared" si="11"/>
        <v>0</v>
      </c>
    </row>
    <row r="93" spans="1:19">
      <c r="A93" s="138" t="str">
        <f>'00_SKU_Master'!J185</f>
        <v>PB HB LT PP</v>
      </c>
      <c r="B93" s="138">
        <f>'00_SKU_Master'!B185</f>
        <v>7117</v>
      </c>
      <c r="C93" s="165">
        <f>_xlfn.XLOOKUP(B93,'02_TrayPack_Order'!$A$2:$A$265,'02_TrayPack_Order'!$C$2:$C$265)</f>
        <v>0</v>
      </c>
      <c r="D93" s="166">
        <f>_xlfn.XLOOKUP(B93,'02_TrayPack_Order'!$A$2:$A$265,'02_TrayPack_Order'!$L$2:$L$265,0)</f>
        <v>0</v>
      </c>
      <c r="E93" s="165">
        <f>SUMIF('13_Progress_Track'!$A$2:$A$108,B93,'13_Progress_Track'!$E$2:$E$108)</f>
        <v>0</v>
      </c>
      <c r="F93" s="165">
        <f t="shared" si="6"/>
        <v>0</v>
      </c>
      <c r="G93" s="167">
        <f t="shared" si="7"/>
        <v>0</v>
      </c>
      <c r="H93" s="138" t="str">
        <f>_xlfn.IFNA(_xlfn.XLOOKUP(B93,'00_SKU_Master'!$B$2:$B$378,'00_SKU_Master'!$C$2:$C$378),"")</f>
        <v>61040#2</v>
      </c>
      <c r="I93" s="138"/>
      <c r="J93" s="14" t="str">
        <f>_xlfn.IFNA(_xlfn.XLOOKUP(B93,'00_SKU_Master'!B$2:B$378,'00_SKU_Master'!H$2:H$378,0),"")</f>
        <v>PET 8</v>
      </c>
      <c r="K93" s="14" t="str">
        <f>_xlfn.IFNA(_xlfn.XLOOKUP(B93,'00_SKU_Master'!B$2:B$378,'00_SKU_Master'!K$2:K$378,0),"")</f>
        <v>Fast</v>
      </c>
      <c r="L93" s="138" t="str">
        <f>_xlfn.XLOOKUP(B93,'00_SKU_Master'!$B$2:$B$378,'00_SKU_Master'!$D$2:$D$378)</f>
        <v>LCL</v>
      </c>
      <c r="M93" s="138">
        <f t="shared" si="8"/>
        <v>0</v>
      </c>
      <c r="N93" t="str">
        <f>IFERROR(_xlfn.XLOOKUP(B93,'00_SKU_Master'!$B$2:$B$378,'00_SKU_Master'!$E$2:$E$378,""),"")</f>
        <v>SplitBreast</v>
      </c>
      <c r="O93">
        <f>IFERROR(_xlfn.XLOOKUP(B93,'00_SKU_Master'!$B$2:$B$378,'00_SKU_Master'!$F$2:$F$378,0),0)</f>
        <v>0</v>
      </c>
      <c r="P93">
        <f>IFERROR(_xlfn.XLOOKUP(N93,'00_Yield_Rates'!$B$2:$B$33,'00_Yield_Rates'!$E$2:$E$33,0)/100,0)</f>
        <v>0.43</v>
      </c>
      <c r="Q93">
        <f t="shared" si="9"/>
        <v>0</v>
      </c>
      <c r="R93">
        <f t="shared" si="10"/>
        <v>0</v>
      </c>
      <c r="S93">
        <f t="shared" si="11"/>
        <v>0</v>
      </c>
    </row>
    <row r="94" spans="1:19">
      <c r="A94" s="138" t="str">
        <f>'00_SKU_Master'!J186</f>
        <v>PB SKLS HB LT PP</v>
      </c>
      <c r="B94" s="138">
        <f>'00_SKU_Master'!B186</f>
        <v>7118</v>
      </c>
      <c r="C94" s="165">
        <f>_xlfn.XLOOKUP(B94,'02_TrayPack_Order'!$A$2:$A$265,'02_TrayPack_Order'!$C$2:$C$265)</f>
        <v>0</v>
      </c>
      <c r="D94" s="166">
        <f>_xlfn.XLOOKUP(B94,'02_TrayPack_Order'!$A$2:$A$265,'02_TrayPack_Order'!$L$2:$L$265,0)</f>
        <v>0</v>
      </c>
      <c r="E94" s="165">
        <f>SUMIF('13_Progress_Track'!$A$2:$A$108,B94,'13_Progress_Track'!$E$2:$E$108)</f>
        <v>0</v>
      </c>
      <c r="F94" s="165">
        <f t="shared" si="6"/>
        <v>0</v>
      </c>
      <c r="G94" s="167">
        <f t="shared" si="7"/>
        <v>0</v>
      </c>
      <c r="H94" s="138" t="str">
        <f>_xlfn.IFNA(_xlfn.XLOOKUP(B94,'00_SKU_Master'!$B$2:$B$378,'00_SKU_Master'!$C$2:$C$378),"")</f>
        <v>61048#2</v>
      </c>
      <c r="I94" s="138"/>
      <c r="J94" s="14" t="str">
        <f>_xlfn.IFNA(_xlfn.XLOOKUP(B94,'00_SKU_Master'!B$2:B$378,'00_SKU_Master'!H$2:H$378,0),"")</f>
        <v>PET 8</v>
      </c>
      <c r="K94" s="14" t="str">
        <f>_xlfn.IFNA(_xlfn.XLOOKUP(B94,'00_SKU_Master'!B$2:B$378,'00_SKU_Master'!K$2:K$378,0),"")</f>
        <v>Fast</v>
      </c>
      <c r="L94" s="138" t="str">
        <f>_xlfn.XLOOKUP(B94,'00_SKU_Master'!$B$2:$B$378,'00_SKU_Master'!$D$2:$D$378)</f>
        <v>LCL</v>
      </c>
      <c r="M94" s="138">
        <f t="shared" si="8"/>
        <v>0</v>
      </c>
      <c r="N94" t="str">
        <f>IFERROR(_xlfn.XLOOKUP(B94,'00_SKU_Master'!$B$2:$B$378,'00_SKU_Master'!$E$2:$E$378,""),"")</f>
        <v>SplitBreast</v>
      </c>
      <c r="O94">
        <f>IFERROR(_xlfn.XLOOKUP(B94,'00_SKU_Master'!$B$2:$B$378,'00_SKU_Master'!$F$2:$F$378,0),0)</f>
        <v>0</v>
      </c>
      <c r="P94">
        <f>IFERROR(_xlfn.XLOOKUP(N94,'00_Yield_Rates'!$B$2:$B$33,'00_Yield_Rates'!$E$2:$E$33,0)/100,0)</f>
        <v>0.43</v>
      </c>
      <c r="Q94">
        <f t="shared" si="9"/>
        <v>0</v>
      </c>
      <c r="R94">
        <f t="shared" si="10"/>
        <v>0</v>
      </c>
      <c r="S94">
        <f t="shared" si="11"/>
        <v>0</v>
      </c>
    </row>
    <row r="95" spans="1:19">
      <c r="A95" s="138" t="str">
        <f>'00_SKU_Master'!J187</f>
        <v>PB SKLS HB LT PP</v>
      </c>
      <c r="B95" s="138">
        <f>'00_SKU_Master'!B187</f>
        <v>7119</v>
      </c>
      <c r="C95" s="165">
        <f>_xlfn.XLOOKUP(B95,'02_TrayPack_Order'!$A$2:$A$265,'02_TrayPack_Order'!$C$2:$C$265)</f>
        <v>0</v>
      </c>
      <c r="D95" s="166">
        <f>_xlfn.XLOOKUP(B95,'02_TrayPack_Order'!$A$2:$A$265,'02_TrayPack_Order'!$L$2:$L$265,0)</f>
        <v>0</v>
      </c>
      <c r="E95" s="165">
        <f>SUMIF('13_Progress_Track'!$A$2:$A$108,B95,'13_Progress_Track'!$E$2:$E$108)</f>
        <v>0</v>
      </c>
      <c r="F95" s="165">
        <f t="shared" si="6"/>
        <v>0</v>
      </c>
      <c r="G95" s="167">
        <f t="shared" si="7"/>
        <v>0</v>
      </c>
      <c r="H95" s="138" t="str">
        <f>_xlfn.IFNA(_xlfn.XLOOKUP(B95,'00_SKU_Master'!$B$2:$B$378,'00_SKU_Master'!$C$2:$C$378),"")</f>
        <v>61048#2</v>
      </c>
      <c r="I95" s="138"/>
      <c r="J95" s="14" t="str">
        <f>_xlfn.IFNA(_xlfn.XLOOKUP(B95,'00_SKU_Master'!B$2:B$378,'00_SKU_Master'!H$2:H$378,0),"")</f>
        <v>PET 8</v>
      </c>
      <c r="K95" s="14" t="str">
        <f>_xlfn.IFNA(_xlfn.XLOOKUP(B95,'00_SKU_Master'!B$2:B$378,'00_SKU_Master'!K$2:K$378,0),"")</f>
        <v>Fast</v>
      </c>
      <c r="L95" s="138" t="str">
        <f>_xlfn.XLOOKUP(B95,'00_SKU_Master'!$B$2:$B$378,'00_SKU_Master'!$D$2:$D$378)</f>
        <v>LCL</v>
      </c>
      <c r="M95" s="138">
        <f t="shared" si="8"/>
        <v>0</v>
      </c>
      <c r="N95" t="str">
        <f>IFERROR(_xlfn.XLOOKUP(B95,'00_SKU_Master'!$B$2:$B$378,'00_SKU_Master'!$E$2:$E$378,""),"")</f>
        <v>SplitBreast</v>
      </c>
      <c r="O95">
        <f>IFERROR(_xlfn.XLOOKUP(B95,'00_SKU_Master'!$B$2:$B$378,'00_SKU_Master'!$F$2:$F$378,0),0)</f>
        <v>0</v>
      </c>
      <c r="P95">
        <f>IFERROR(_xlfn.XLOOKUP(N95,'00_Yield_Rates'!$B$2:$B$33,'00_Yield_Rates'!$E$2:$E$33,0)/100,0)</f>
        <v>0.43</v>
      </c>
      <c r="Q95">
        <f t="shared" si="9"/>
        <v>0</v>
      </c>
      <c r="R95">
        <f t="shared" si="10"/>
        <v>0</v>
      </c>
      <c r="S95">
        <f t="shared" si="11"/>
        <v>0</v>
      </c>
    </row>
    <row r="96" spans="1:19">
      <c r="A96" s="138" t="str">
        <f>'00_SKU_Master'!J188</f>
        <v>PB BSTHIGH LT PP</v>
      </c>
      <c r="B96" s="138">
        <f>'00_SKU_Master'!B188</f>
        <v>7120</v>
      </c>
      <c r="C96" s="165">
        <f>_xlfn.XLOOKUP(B96,'02_TrayPack_Order'!$A$2:$A$265,'02_TrayPack_Order'!$C$2:$C$265)</f>
        <v>0</v>
      </c>
      <c r="D96" s="166">
        <f>_xlfn.XLOOKUP(B96,'02_TrayPack_Order'!$A$2:$A$265,'02_TrayPack_Order'!$L$2:$L$265,0)</f>
        <v>0</v>
      </c>
      <c r="E96" s="165">
        <f>SUMIF('13_Progress_Track'!$A$2:$A$108,B96,'13_Progress_Track'!$E$2:$E$108)</f>
        <v>0</v>
      </c>
      <c r="F96" s="165">
        <f t="shared" si="6"/>
        <v>0</v>
      </c>
      <c r="G96" s="167">
        <f t="shared" si="7"/>
        <v>0</v>
      </c>
      <c r="H96" s="138" t="str">
        <f>_xlfn.IFNA(_xlfn.XLOOKUP(B96,'00_SKU_Master'!$B$2:$B$378,'00_SKU_Master'!$C$2:$C$378),"")</f>
        <v>61086#2</v>
      </c>
      <c r="I96" s="138"/>
      <c r="J96" s="14" t="str">
        <f>_xlfn.IFNA(_xlfn.XLOOKUP(B96,'00_SKU_Master'!B$2:B$378,'00_SKU_Master'!H$2:H$378,0),"")</f>
        <v>PET 8</v>
      </c>
      <c r="K96" s="14" t="str">
        <f>_xlfn.IFNA(_xlfn.XLOOKUP(B96,'00_SKU_Master'!B$2:B$378,'00_SKU_Master'!K$2:K$378,0),"")</f>
        <v>Slow</v>
      </c>
      <c r="L96" s="138" t="str">
        <f>_xlfn.XLOOKUP(B96,'00_SKU_Master'!$B$2:$B$378,'00_SKU_Master'!$D$2:$D$378)</f>
        <v>LCL</v>
      </c>
      <c r="M96" s="138">
        <f t="shared" si="8"/>
        <v>0</v>
      </c>
      <c r="N96" t="str">
        <f>IFERROR(_xlfn.XLOOKUP(B96,'00_SKU_Master'!$B$2:$B$378,'00_SKU_Master'!$E$2:$E$378,""),"")</f>
        <v>ThighMeat</v>
      </c>
      <c r="O96">
        <f>IFERROR(_xlfn.XLOOKUP(B96,'00_SKU_Master'!$B$2:$B$378,'00_SKU_Master'!$F$2:$F$378,0),0)</f>
        <v>8.1490624999999994</v>
      </c>
      <c r="P96">
        <f>IFERROR(_xlfn.XLOOKUP(N96,'00_Yield_Rates'!$B$2:$B$33,'00_Yield_Rates'!$E$2:$E$33,0)/100,0)</f>
        <v>0.105</v>
      </c>
      <c r="Q96">
        <f t="shared" si="9"/>
        <v>0</v>
      </c>
      <c r="R96">
        <f t="shared" si="10"/>
        <v>0</v>
      </c>
      <c r="S96">
        <f t="shared" si="11"/>
        <v>0</v>
      </c>
    </row>
    <row r="97" spans="1:19">
      <c r="A97" s="138" t="str">
        <f>'00_SKU_Master'!J189</f>
        <v>PB GIB ST PP</v>
      </c>
      <c r="B97" s="138">
        <f>'00_SKU_Master'!B189</f>
        <v>7121</v>
      </c>
      <c r="C97" s="165">
        <f>_xlfn.XLOOKUP(B97,'02_TrayPack_Order'!$A$2:$A$265,'02_TrayPack_Order'!$C$2:$C$265)</f>
        <v>0</v>
      </c>
      <c r="D97" s="166">
        <f>_xlfn.XLOOKUP(B97,'02_TrayPack_Order'!$A$2:$A$265,'02_TrayPack_Order'!$L$2:$L$265,0)</f>
        <v>0</v>
      </c>
      <c r="E97" s="165">
        <f>SUMIF('13_Progress_Track'!$A$2:$A$108,B97,'13_Progress_Track'!$E$2:$E$108)</f>
        <v>0</v>
      </c>
      <c r="F97" s="165">
        <f t="shared" si="6"/>
        <v>0</v>
      </c>
      <c r="G97" s="167">
        <f t="shared" si="7"/>
        <v>0</v>
      </c>
      <c r="H97" s="138">
        <f>_xlfn.IFNA(_xlfn.XLOOKUP(B97,'00_SKU_Master'!$B$2:$B$378,'00_SKU_Master'!$C$2:$C$378),"")</f>
        <v>203041</v>
      </c>
      <c r="I97" s="138"/>
      <c r="J97" s="14" t="str">
        <f>_xlfn.IFNA(_xlfn.XLOOKUP(B97,'00_SKU_Master'!B$2:B$378,'00_SKU_Master'!H$2:H$378,0),"")</f>
        <v>PET 8</v>
      </c>
      <c r="K97" s="14" t="str">
        <f>_xlfn.IFNA(_xlfn.XLOOKUP(B97,'00_SKU_Master'!B$2:B$378,'00_SKU_Master'!K$2:K$378,0),"")</f>
        <v>Fast</v>
      </c>
      <c r="L97" s="138" t="str">
        <f>_xlfn.XLOOKUP(B97,'00_SKU_Master'!$B$2:$B$378,'00_SKU_Master'!$D$2:$D$378)</f>
        <v>LCL</v>
      </c>
      <c r="M97" s="138">
        <f t="shared" si="8"/>
        <v>0</v>
      </c>
      <c r="N97" t="str">
        <f>IFERROR(_xlfn.XLOOKUP(B97,'00_SKU_Master'!$B$2:$B$378,'00_SKU_Master'!$E$2:$E$378,""),"")</f>
        <v>SplitBreast</v>
      </c>
      <c r="O97">
        <f>IFERROR(_xlfn.XLOOKUP(B97,'00_SKU_Master'!$B$2:$B$378,'00_SKU_Master'!$F$2:$F$378,0),0)</f>
        <v>0</v>
      </c>
      <c r="P97">
        <f>IFERROR(_xlfn.XLOOKUP(N97,'00_Yield_Rates'!$B$2:$B$33,'00_Yield_Rates'!$E$2:$E$33,0)/100,0)</f>
        <v>0.43</v>
      </c>
      <c r="Q97">
        <f t="shared" si="9"/>
        <v>0</v>
      </c>
      <c r="R97">
        <f t="shared" si="10"/>
        <v>0</v>
      </c>
      <c r="S97">
        <f t="shared" si="11"/>
        <v>0</v>
      </c>
    </row>
    <row r="98" spans="1:19">
      <c r="A98" s="138" t="str">
        <f>'00_SKU_Master'!J190</f>
        <v>MS DRUM LT PP</v>
      </c>
      <c r="B98" s="138">
        <f>'00_SKU_Master'!B190</f>
        <v>7136</v>
      </c>
      <c r="C98" s="165">
        <f>_xlfn.XLOOKUP(B98,'02_TrayPack_Order'!$A$2:$A$265,'02_TrayPack_Order'!$C$2:$C$265)</f>
        <v>0</v>
      </c>
      <c r="D98" s="166">
        <f>_xlfn.XLOOKUP(B98,'02_TrayPack_Order'!$A$2:$A$265,'02_TrayPack_Order'!$L$2:$L$265,0)</f>
        <v>0</v>
      </c>
      <c r="E98" s="165">
        <f>SUMIF('13_Progress_Track'!$A$2:$A$108,B98,'13_Progress_Track'!$E$2:$E$108)</f>
        <v>0</v>
      </c>
      <c r="F98" s="165">
        <f t="shared" si="6"/>
        <v>0</v>
      </c>
      <c r="G98" s="167">
        <f t="shared" si="7"/>
        <v>0</v>
      </c>
      <c r="H98" s="138" t="str">
        <f>_xlfn.IFNA(_xlfn.XLOOKUP(B98,'00_SKU_Master'!$B$2:$B$378,'00_SKU_Master'!$C$2:$C$378),"")</f>
        <v>61072#2</v>
      </c>
      <c r="I98" s="138"/>
      <c r="J98" s="14" t="str">
        <f>_xlfn.IFNA(_xlfn.XLOOKUP(B98,'00_SKU_Master'!B$2:B$378,'00_SKU_Master'!H$2:H$378,0),"")</f>
        <v>PET 8</v>
      </c>
      <c r="K98" s="14" t="str">
        <f>_xlfn.IFNA(_xlfn.XLOOKUP(B98,'00_SKU_Master'!B$2:B$378,'00_SKU_Master'!K$2:K$378,0),"")</f>
        <v>Fast</v>
      </c>
      <c r="L98" s="138" t="str">
        <f>_xlfn.XLOOKUP(B98,'00_SKU_Master'!$B$2:$B$378,'00_SKU_Master'!$D$2:$D$378)</f>
        <v>LCL</v>
      </c>
      <c r="M98" s="138">
        <f t="shared" si="8"/>
        <v>0</v>
      </c>
      <c r="N98" t="str">
        <f>IFERROR(_xlfn.XLOOKUP(B98,'00_SKU_Master'!$B$2:$B$378,'00_SKU_Master'!$E$2:$E$378,""),"")</f>
        <v>Drum</v>
      </c>
      <c r="O98">
        <f>IFERROR(_xlfn.XLOOKUP(B98,'00_SKU_Master'!$B$2:$B$378,'00_SKU_Master'!$F$2:$F$378,0),0)</f>
        <v>0</v>
      </c>
      <c r="P98">
        <f>IFERROR(_xlfn.XLOOKUP(N98,'00_Yield_Rates'!$B$2:$B$33,'00_Yield_Rates'!$E$2:$E$33,0)/100,0)</f>
        <v>0.128</v>
      </c>
      <c r="Q98">
        <f t="shared" si="9"/>
        <v>0</v>
      </c>
      <c r="R98">
        <f t="shared" si="10"/>
        <v>0</v>
      </c>
      <c r="S98">
        <f t="shared" si="11"/>
        <v>0</v>
      </c>
    </row>
    <row r="99" spans="1:19">
      <c r="A99" s="138" t="str">
        <f>'00_SKU_Master'!J191</f>
        <v>MS THIGH LT PP</v>
      </c>
      <c r="B99" s="138">
        <f>'00_SKU_Master'!B191</f>
        <v>7137</v>
      </c>
      <c r="C99" s="165">
        <f>_xlfn.XLOOKUP(B99,'02_TrayPack_Order'!$A$2:$A$265,'02_TrayPack_Order'!$C$2:$C$265)</f>
        <v>0</v>
      </c>
      <c r="D99" s="166">
        <f>_xlfn.XLOOKUP(B99,'02_TrayPack_Order'!$A$2:$A$265,'02_TrayPack_Order'!$L$2:$L$265,0)</f>
        <v>0</v>
      </c>
      <c r="E99" s="165">
        <f>SUMIF('13_Progress_Track'!$A$2:$A$108,B99,'13_Progress_Track'!$E$2:$E$108)</f>
        <v>0</v>
      </c>
      <c r="F99" s="165">
        <f t="shared" si="6"/>
        <v>0</v>
      </c>
      <c r="G99" s="167">
        <f t="shared" si="7"/>
        <v>0</v>
      </c>
      <c r="H99" s="138">
        <f>_xlfn.IFNA(_xlfn.XLOOKUP(B99,'00_SKU_Master'!$B$2:$B$378,'00_SKU_Master'!$C$2:$C$378),"")</f>
        <v>61082</v>
      </c>
      <c r="I99" s="138"/>
      <c r="J99" s="14" t="str">
        <f>_xlfn.IFNA(_xlfn.XLOOKUP(B99,'00_SKU_Master'!B$2:B$378,'00_SKU_Master'!H$2:H$378,0),"")</f>
        <v>PET 8</v>
      </c>
      <c r="K99" s="14" t="str">
        <f>_xlfn.IFNA(_xlfn.XLOOKUP(B99,'00_SKU_Master'!B$2:B$378,'00_SKU_Master'!K$2:K$378,0),"")</f>
        <v>Fast</v>
      </c>
      <c r="L99" s="138" t="str">
        <f>_xlfn.XLOOKUP(B99,'00_SKU_Master'!$B$2:$B$378,'00_SKU_Master'!$D$2:$D$378)</f>
        <v>LCL</v>
      </c>
      <c r="M99" s="138">
        <f t="shared" si="8"/>
        <v>0</v>
      </c>
      <c r="N99" t="str">
        <f>IFERROR(_xlfn.XLOOKUP(B99,'00_SKU_Master'!$B$2:$B$378,'00_SKU_Master'!$E$2:$E$378,""),"")</f>
        <v>Thigh</v>
      </c>
      <c r="O99">
        <f>IFERROR(_xlfn.XLOOKUP(B99,'00_SKU_Master'!$B$2:$B$378,'00_SKU_Master'!$F$2:$F$378,0),0)</f>
        <v>0</v>
      </c>
      <c r="P99">
        <f>IFERROR(_xlfn.XLOOKUP(N99,'00_Yield_Rates'!$B$2:$B$33,'00_Yield_Rates'!$E$2:$E$33,0)/100,0)</f>
        <v>0.191</v>
      </c>
      <c r="Q99">
        <f t="shared" si="9"/>
        <v>0</v>
      </c>
      <c r="R99">
        <f t="shared" si="10"/>
        <v>0</v>
      </c>
      <c r="S99">
        <f t="shared" si="11"/>
        <v>0</v>
      </c>
    </row>
    <row r="100" spans="1:19">
      <c r="A100" s="138" t="str">
        <f>'00_SKU_Master'!J192</f>
        <v>MS SKLS HB LCP BSK</v>
      </c>
      <c r="B100" s="138">
        <f>'00_SKU_Master'!B192</f>
        <v>7145</v>
      </c>
      <c r="C100" s="165">
        <f>_xlfn.XLOOKUP(B100,'02_TrayPack_Order'!$A$2:$A$265,'02_TrayPack_Order'!$C$2:$C$265)</f>
        <v>0</v>
      </c>
      <c r="D100" s="166">
        <f>_xlfn.XLOOKUP(B100,'02_TrayPack_Order'!$A$2:$A$265,'02_TrayPack_Order'!$L$2:$L$265,0)</f>
        <v>0</v>
      </c>
      <c r="E100" s="165">
        <f>SUMIF('13_Progress_Track'!$A$2:$A$108,B100,'13_Progress_Track'!$E$2:$E$108)</f>
        <v>0</v>
      </c>
      <c r="F100" s="165">
        <f t="shared" si="6"/>
        <v>0</v>
      </c>
      <c r="G100" s="167">
        <f t="shared" si="7"/>
        <v>0</v>
      </c>
      <c r="H100" s="138" t="str">
        <f>_xlfn.IFNA(_xlfn.XLOOKUP(B100,'00_SKU_Master'!$B$2:$B$378,'00_SKU_Master'!$C$2:$C$378),"")</f>
        <v>61048#2</v>
      </c>
      <c r="I100" s="138"/>
      <c r="J100" s="14" t="str">
        <f>_xlfn.IFNA(_xlfn.XLOOKUP(B100,'00_SKU_Master'!B$2:B$378,'00_SKU_Master'!H$2:H$378,0),"")</f>
        <v>LT 14D</v>
      </c>
      <c r="K100" s="14" t="str">
        <f>_xlfn.IFNA(_xlfn.XLOOKUP(B100,'00_SKU_Master'!B$2:B$378,'00_SKU_Master'!K$2:K$378,0),"")</f>
        <v>Fast</v>
      </c>
      <c r="L100" s="138" t="str">
        <f>_xlfn.XLOOKUP(B100,'00_SKU_Master'!$B$2:$B$378,'00_SKU_Master'!$D$2:$D$378)</f>
        <v>LCL</v>
      </c>
      <c r="M100" s="138">
        <f t="shared" si="8"/>
        <v>0</v>
      </c>
      <c r="N100" t="str">
        <f>IFERROR(_xlfn.XLOOKUP(B100,'00_SKU_Master'!$B$2:$B$378,'00_SKU_Master'!$E$2:$E$378,""),"")</f>
        <v>SplitBreast</v>
      </c>
      <c r="O100">
        <f>IFERROR(_xlfn.XLOOKUP(B100,'00_SKU_Master'!$B$2:$B$378,'00_SKU_Master'!$F$2:$F$378,0),0)</f>
        <v>0</v>
      </c>
      <c r="P100">
        <f>IFERROR(_xlfn.XLOOKUP(N100,'00_Yield_Rates'!$B$2:$B$33,'00_Yield_Rates'!$E$2:$E$33,0)/100,0)</f>
        <v>0.43</v>
      </c>
      <c r="Q100">
        <f t="shared" si="9"/>
        <v>0</v>
      </c>
      <c r="R100">
        <f t="shared" si="10"/>
        <v>0</v>
      </c>
      <c r="S100">
        <f t="shared" si="11"/>
        <v>0</v>
      </c>
    </row>
    <row r="101" spans="1:19">
      <c r="A101" s="138" t="str">
        <f>'00_SKU_Master'!J193</f>
        <v>MS BSHB LT -1860</v>
      </c>
      <c r="B101" s="138">
        <f>'00_SKU_Master'!B193</f>
        <v>7146</v>
      </c>
      <c r="C101" s="165">
        <f>_xlfn.XLOOKUP(B101,'02_TrayPack_Order'!$A$2:$A$265,'02_TrayPack_Order'!$C$2:$C$265)</f>
        <v>0</v>
      </c>
      <c r="D101" s="166">
        <f>_xlfn.XLOOKUP(B101,'02_TrayPack_Order'!$A$2:$A$265,'02_TrayPack_Order'!$L$2:$L$265,0)</f>
        <v>0</v>
      </c>
      <c r="E101" s="165">
        <f>SUMIF('13_Progress_Track'!$A$2:$A$108,B101,'13_Progress_Track'!$E$2:$E$108)</f>
        <v>0</v>
      </c>
      <c r="F101" s="165">
        <f t="shared" si="6"/>
        <v>0</v>
      </c>
      <c r="G101" s="167">
        <f t="shared" si="7"/>
        <v>0</v>
      </c>
      <c r="H101" s="138" t="str">
        <f>_xlfn.IFNA(_xlfn.XLOOKUP(B101,'00_SKU_Master'!$B$2:$B$378,'00_SKU_Master'!$C$2:$C$378),"")</f>
        <v>61050#2</v>
      </c>
      <c r="I101" s="138"/>
      <c r="J101" s="14" t="str">
        <f>_xlfn.IFNA(_xlfn.XLOOKUP(B101,'00_SKU_Master'!B$2:B$378,'00_SKU_Master'!H$2:H$378,0),"")</f>
        <v>PET 8</v>
      </c>
      <c r="K101" s="14" t="str">
        <f>_xlfn.IFNA(_xlfn.XLOOKUP(B101,'00_SKU_Master'!B$2:B$378,'00_SKU_Master'!K$2:K$378,0),"")</f>
        <v>Fast</v>
      </c>
      <c r="L101" s="138" t="str">
        <f>_xlfn.XLOOKUP(B101,'00_SKU_Master'!$B$2:$B$378,'00_SKU_Master'!$D$2:$D$378)</f>
        <v>LCL</v>
      </c>
      <c r="M101" s="138">
        <f t="shared" si="8"/>
        <v>0</v>
      </c>
      <c r="N101" t="str">
        <f>IFERROR(_xlfn.XLOOKUP(B101,'00_SKU_Master'!$B$2:$B$378,'00_SKU_Master'!$E$2:$E$378,""),"")</f>
        <v>BSB</v>
      </c>
      <c r="O101">
        <f>IFERROR(_xlfn.XLOOKUP(B101,'00_SKU_Master'!$B$2:$B$378,'00_SKU_Master'!$F$2:$F$378,0),0)</f>
        <v>7.8289293184803199</v>
      </c>
      <c r="P101">
        <f>IFERROR(_xlfn.XLOOKUP(N101,'00_Yield_Rates'!$B$2:$B$33,'00_Yield_Rates'!$E$2:$E$33,0)/100,0)</f>
        <v>0.31</v>
      </c>
      <c r="Q101">
        <f t="shared" si="9"/>
        <v>0</v>
      </c>
      <c r="R101">
        <f t="shared" si="10"/>
        <v>0</v>
      </c>
      <c r="S101">
        <f t="shared" si="11"/>
        <v>0</v>
      </c>
    </row>
    <row r="102" spans="1:19">
      <c r="A102" s="138" t="str">
        <f>'00_SKU_Master'!J194</f>
        <v>MS BSHB LT PP</v>
      </c>
      <c r="B102" s="138">
        <f>'00_SKU_Master'!B194</f>
        <v>7149</v>
      </c>
      <c r="C102" s="165">
        <f>_xlfn.XLOOKUP(B102,'02_TrayPack_Order'!$A$2:$A$265,'02_TrayPack_Order'!$C$2:$C$265)</f>
        <v>0</v>
      </c>
      <c r="D102" s="166">
        <f>_xlfn.XLOOKUP(B102,'02_TrayPack_Order'!$A$2:$A$265,'02_TrayPack_Order'!$L$2:$L$265,0)</f>
        <v>0</v>
      </c>
      <c r="E102" s="165">
        <f>SUMIF('13_Progress_Track'!$A$2:$A$108,B102,'13_Progress_Track'!$E$2:$E$108)</f>
        <v>0</v>
      </c>
      <c r="F102" s="165">
        <f t="shared" si="6"/>
        <v>0</v>
      </c>
      <c r="G102" s="167">
        <f t="shared" si="7"/>
        <v>0</v>
      </c>
      <c r="H102" s="138" t="str">
        <f>_xlfn.IFNA(_xlfn.XLOOKUP(B102,'00_SKU_Master'!$B$2:$B$378,'00_SKU_Master'!$C$2:$C$378),"")</f>
        <v>61050#2</v>
      </c>
      <c r="I102" s="138"/>
      <c r="J102" s="14" t="str">
        <f>_xlfn.IFNA(_xlfn.XLOOKUP(B102,'00_SKU_Master'!B$2:B$378,'00_SKU_Master'!H$2:H$378,0),"")</f>
        <v>PET 8</v>
      </c>
      <c r="K102" s="14" t="str">
        <f>_xlfn.IFNA(_xlfn.XLOOKUP(B102,'00_SKU_Master'!B$2:B$378,'00_SKU_Master'!K$2:K$378,0),"")</f>
        <v>Fast</v>
      </c>
      <c r="L102" s="138" t="str">
        <f>_xlfn.XLOOKUP(B102,'00_SKU_Master'!$B$2:$B$378,'00_SKU_Master'!$D$2:$D$378)</f>
        <v>LCL</v>
      </c>
      <c r="M102" s="138">
        <f t="shared" si="8"/>
        <v>0</v>
      </c>
      <c r="N102" t="str">
        <f>IFERROR(_xlfn.XLOOKUP(B102,'00_SKU_Master'!$B$2:$B$378,'00_SKU_Master'!$E$2:$E$378,""),"")</f>
        <v>BSB</v>
      </c>
      <c r="O102">
        <f>IFERROR(_xlfn.XLOOKUP(B102,'00_SKU_Master'!$B$2:$B$378,'00_SKU_Master'!$F$2:$F$378,0),0)</f>
        <v>0</v>
      </c>
      <c r="P102">
        <f>IFERROR(_xlfn.XLOOKUP(N102,'00_Yield_Rates'!$B$2:$B$33,'00_Yield_Rates'!$E$2:$E$33,0)/100,0)</f>
        <v>0.31</v>
      </c>
      <c r="Q102">
        <f t="shared" si="9"/>
        <v>0</v>
      </c>
      <c r="R102">
        <f t="shared" si="10"/>
        <v>0</v>
      </c>
      <c r="S102">
        <f t="shared" si="11"/>
        <v>0</v>
      </c>
    </row>
    <row r="103" spans="1:19">
      <c r="A103" s="138" t="str">
        <f>'00_SKU_Master'!J195</f>
        <v>MS BSHB LT PP</v>
      </c>
      <c r="B103" s="138">
        <f>'00_SKU_Master'!B195</f>
        <v>7150</v>
      </c>
      <c r="C103" s="165">
        <f>_xlfn.XLOOKUP(B103,'02_TrayPack_Order'!$A$2:$A$265,'02_TrayPack_Order'!$C$2:$C$265)</f>
        <v>0</v>
      </c>
      <c r="D103" s="166">
        <f>_xlfn.XLOOKUP(B103,'02_TrayPack_Order'!$A$2:$A$265,'02_TrayPack_Order'!$L$2:$L$265,0)</f>
        <v>0</v>
      </c>
      <c r="E103" s="165">
        <f>SUMIF('13_Progress_Track'!$A$2:$A$108,B103,'13_Progress_Track'!$E$2:$E$108)</f>
        <v>0</v>
      </c>
      <c r="F103" s="165">
        <f t="shared" si="6"/>
        <v>0</v>
      </c>
      <c r="G103" s="167">
        <f t="shared" si="7"/>
        <v>0</v>
      </c>
      <c r="H103" s="138" t="str">
        <f>_xlfn.IFNA(_xlfn.XLOOKUP(B103,'00_SKU_Master'!$B$2:$B$378,'00_SKU_Master'!$C$2:$C$378),"")</f>
        <v>61050#2</v>
      </c>
      <c r="I103" s="138"/>
      <c r="J103" s="14" t="str">
        <f>_xlfn.IFNA(_xlfn.XLOOKUP(B103,'00_SKU_Master'!B$2:B$378,'00_SKU_Master'!H$2:H$378,0),"")</f>
        <v>PET 8</v>
      </c>
      <c r="K103" s="14" t="str">
        <f>_xlfn.IFNA(_xlfn.XLOOKUP(B103,'00_SKU_Master'!B$2:B$378,'00_SKU_Master'!K$2:K$378,0),"")</f>
        <v>Fast</v>
      </c>
      <c r="L103" s="138" t="str">
        <f>_xlfn.XLOOKUP(B103,'00_SKU_Master'!$B$2:$B$378,'00_SKU_Master'!$D$2:$D$378)</f>
        <v>LCL</v>
      </c>
      <c r="M103" s="138">
        <f t="shared" si="8"/>
        <v>0</v>
      </c>
      <c r="N103" t="str">
        <f>IFERROR(_xlfn.XLOOKUP(B103,'00_SKU_Master'!$B$2:$B$378,'00_SKU_Master'!$E$2:$E$378,""),"")</f>
        <v>BSB</v>
      </c>
      <c r="O103">
        <f>IFERROR(_xlfn.XLOOKUP(B103,'00_SKU_Master'!$B$2:$B$378,'00_SKU_Master'!$F$2:$F$378,0),0)</f>
        <v>10.094750749731199</v>
      </c>
      <c r="P103">
        <f>IFERROR(_xlfn.XLOOKUP(N103,'00_Yield_Rates'!$B$2:$B$33,'00_Yield_Rates'!$E$2:$E$33,0)/100,0)</f>
        <v>0.31</v>
      </c>
      <c r="Q103">
        <f t="shared" si="9"/>
        <v>0</v>
      </c>
      <c r="R103">
        <f t="shared" si="10"/>
        <v>0</v>
      </c>
      <c r="S103">
        <f t="shared" si="11"/>
        <v>0</v>
      </c>
    </row>
    <row r="104" spans="1:19">
      <c r="A104" s="138" t="str">
        <f>'00_SKU_Master'!J196</f>
        <v>MS SKLS HB LT PP</v>
      </c>
      <c r="B104" s="138">
        <f>'00_SKU_Master'!B196</f>
        <v>7153</v>
      </c>
      <c r="C104" s="165">
        <f>_xlfn.XLOOKUP(B104,'02_TrayPack_Order'!$A$2:$A$265,'02_TrayPack_Order'!$C$2:$C$265)</f>
        <v>0</v>
      </c>
      <c r="D104" s="166">
        <f>_xlfn.XLOOKUP(B104,'02_TrayPack_Order'!$A$2:$A$265,'02_TrayPack_Order'!$L$2:$L$265,0)</f>
        <v>0</v>
      </c>
      <c r="E104" s="165">
        <f>SUMIF('13_Progress_Track'!$A$2:$A$108,B104,'13_Progress_Track'!$E$2:$E$108)</f>
        <v>0</v>
      </c>
      <c r="F104" s="165">
        <f t="shared" si="6"/>
        <v>0</v>
      </c>
      <c r="G104" s="167">
        <f t="shared" si="7"/>
        <v>0</v>
      </c>
      <c r="H104" s="138" t="str">
        <f>_xlfn.IFNA(_xlfn.XLOOKUP(B104,'00_SKU_Master'!$B$2:$B$378,'00_SKU_Master'!$C$2:$C$378),"")</f>
        <v>61048#2</v>
      </c>
      <c r="I104" s="138"/>
      <c r="J104" s="14" t="str">
        <f>_xlfn.IFNA(_xlfn.XLOOKUP(B104,'00_SKU_Master'!B$2:B$378,'00_SKU_Master'!H$2:H$378,0),"")</f>
        <v>PET 8</v>
      </c>
      <c r="K104" s="14" t="str">
        <f>_xlfn.IFNA(_xlfn.XLOOKUP(B104,'00_SKU_Master'!B$2:B$378,'00_SKU_Master'!K$2:K$378,0),"")</f>
        <v>Fast</v>
      </c>
      <c r="L104" s="138" t="str">
        <f>_xlfn.XLOOKUP(B104,'00_SKU_Master'!$B$2:$B$378,'00_SKU_Master'!$D$2:$D$378)</f>
        <v>LCL</v>
      </c>
      <c r="M104" s="138">
        <f t="shared" si="8"/>
        <v>0</v>
      </c>
      <c r="N104" t="str">
        <f>IFERROR(_xlfn.XLOOKUP(B104,'00_SKU_Master'!$B$2:$B$378,'00_SKU_Master'!$E$2:$E$378,""),"")</f>
        <v>SplitBreast</v>
      </c>
      <c r="O104">
        <f>IFERROR(_xlfn.XLOOKUP(B104,'00_SKU_Master'!$B$2:$B$378,'00_SKU_Master'!$F$2:$F$378,0),0)</f>
        <v>0</v>
      </c>
      <c r="P104">
        <f>IFERROR(_xlfn.XLOOKUP(N104,'00_Yield_Rates'!$B$2:$B$33,'00_Yield_Rates'!$E$2:$E$33,0)/100,0)</f>
        <v>0.43</v>
      </c>
      <c r="Q104">
        <f t="shared" si="9"/>
        <v>0</v>
      </c>
      <c r="R104">
        <f t="shared" si="10"/>
        <v>0</v>
      </c>
      <c r="S104">
        <f t="shared" si="11"/>
        <v>0</v>
      </c>
    </row>
    <row r="105" spans="1:19">
      <c r="A105" s="138" t="str">
        <f>'00_SKU_Master'!J197</f>
        <v>MS BSHB ST</v>
      </c>
      <c r="B105" s="138">
        <f>'00_SKU_Master'!B197</f>
        <v>7155</v>
      </c>
      <c r="C105" s="165">
        <f>_xlfn.XLOOKUP(B105,'02_TrayPack_Order'!$A$2:$A$265,'02_TrayPack_Order'!$C$2:$C$265)</f>
        <v>0</v>
      </c>
      <c r="D105" s="166">
        <f>_xlfn.XLOOKUP(B105,'02_TrayPack_Order'!$A$2:$A$265,'02_TrayPack_Order'!$L$2:$L$265,0)</f>
        <v>0</v>
      </c>
      <c r="E105" s="165">
        <f>SUMIF('13_Progress_Track'!$A$2:$A$108,B105,'13_Progress_Track'!$E$2:$E$108)</f>
        <v>0</v>
      </c>
      <c r="F105" s="165">
        <f t="shared" si="6"/>
        <v>0</v>
      </c>
      <c r="G105" s="167">
        <f t="shared" si="7"/>
        <v>0</v>
      </c>
      <c r="H105" s="138" t="str">
        <f>_xlfn.IFNA(_xlfn.XLOOKUP(B105,'00_SKU_Master'!$B$2:$B$378,'00_SKU_Master'!$C$2:$C$378),"")</f>
        <v>61050#2</v>
      </c>
      <c r="I105" s="138"/>
      <c r="J105" s="14" t="str">
        <f>_xlfn.IFNA(_xlfn.XLOOKUP(B105,'00_SKU_Master'!B$2:B$378,'00_SKU_Master'!H$2:H$378,0),"")</f>
        <v>ST 2HP</v>
      </c>
      <c r="K105" s="14" t="str">
        <f>_xlfn.IFNA(_xlfn.XLOOKUP(B105,'00_SKU_Master'!B$2:B$378,'00_SKU_Master'!K$2:K$378,0),"")</f>
        <v>Fast</v>
      </c>
      <c r="L105" s="138" t="str">
        <f>_xlfn.XLOOKUP(B105,'00_SKU_Master'!$B$2:$B$378,'00_SKU_Master'!$D$2:$D$378)</f>
        <v>LCL</v>
      </c>
      <c r="M105" s="138">
        <f t="shared" si="8"/>
        <v>0</v>
      </c>
      <c r="N105" t="str">
        <f>IFERROR(_xlfn.XLOOKUP(B105,'00_SKU_Master'!$B$2:$B$378,'00_SKU_Master'!$E$2:$E$378,""),"")</f>
        <v>BSB</v>
      </c>
      <c r="O105">
        <f>IFERROR(_xlfn.XLOOKUP(B105,'00_SKU_Master'!$B$2:$B$378,'00_SKU_Master'!$F$2:$F$378,0),0)</f>
        <v>0</v>
      </c>
      <c r="P105">
        <f>IFERROR(_xlfn.XLOOKUP(N105,'00_Yield_Rates'!$B$2:$B$33,'00_Yield_Rates'!$E$2:$E$33,0)/100,0)</f>
        <v>0.31</v>
      </c>
      <c r="Q105">
        <f t="shared" si="9"/>
        <v>0</v>
      </c>
      <c r="R105">
        <f t="shared" si="10"/>
        <v>0</v>
      </c>
      <c r="S105">
        <f t="shared" si="11"/>
        <v>0</v>
      </c>
    </row>
    <row r="106" spans="1:19">
      <c r="A106" s="138" t="str">
        <f>'00_SKU_Master'!J198</f>
        <v>MS BSHB ST BSK</v>
      </c>
      <c r="B106" s="138">
        <f>'00_SKU_Master'!B198</f>
        <v>7159</v>
      </c>
      <c r="C106" s="165">
        <f>_xlfn.XLOOKUP(B106,'02_TrayPack_Order'!$A$2:$A$265,'02_TrayPack_Order'!$C$2:$C$265)</f>
        <v>0</v>
      </c>
      <c r="D106" s="166">
        <f>_xlfn.XLOOKUP(B106,'02_TrayPack_Order'!$A$2:$A$265,'02_TrayPack_Order'!$L$2:$L$265,0)</f>
        <v>0</v>
      </c>
      <c r="E106" s="165">
        <f>SUMIF('13_Progress_Track'!$A$2:$A$108,B106,'13_Progress_Track'!$E$2:$E$108)</f>
        <v>0</v>
      </c>
      <c r="F106" s="165">
        <f t="shared" si="6"/>
        <v>0</v>
      </c>
      <c r="G106" s="167">
        <f t="shared" si="7"/>
        <v>0</v>
      </c>
      <c r="H106" s="138" t="str">
        <f>_xlfn.IFNA(_xlfn.XLOOKUP(B106,'00_SKU_Master'!$B$2:$B$378,'00_SKU_Master'!$C$2:$C$378),"")</f>
        <v>61050#2</v>
      </c>
      <c r="I106" s="138"/>
      <c r="J106" s="14" t="str">
        <f>_xlfn.IFNA(_xlfn.XLOOKUP(B106,'00_SKU_Master'!B$2:B$378,'00_SKU_Master'!H$2:H$378,0),"")</f>
        <v>ST 2HP</v>
      </c>
      <c r="K106" s="14" t="str">
        <f>_xlfn.IFNA(_xlfn.XLOOKUP(B106,'00_SKU_Master'!B$2:B$378,'00_SKU_Master'!K$2:K$378,0),"")</f>
        <v>Fast</v>
      </c>
      <c r="L106" s="138" t="str">
        <f>_xlfn.XLOOKUP(B106,'00_SKU_Master'!$B$2:$B$378,'00_SKU_Master'!$D$2:$D$378)</f>
        <v>LCL</v>
      </c>
      <c r="M106" s="138">
        <f t="shared" si="8"/>
        <v>0</v>
      </c>
      <c r="N106" t="str">
        <f>IFERROR(_xlfn.XLOOKUP(B106,'00_SKU_Master'!$B$2:$B$378,'00_SKU_Master'!$E$2:$E$378,""),"")</f>
        <v>BSB</v>
      </c>
      <c r="O106">
        <f>IFERROR(_xlfn.XLOOKUP(B106,'00_SKU_Master'!$B$2:$B$378,'00_SKU_Master'!$F$2:$F$378,0),0)</f>
        <v>0</v>
      </c>
      <c r="P106">
        <f>IFERROR(_xlfn.XLOOKUP(N106,'00_Yield_Rates'!$B$2:$B$33,'00_Yield_Rates'!$E$2:$E$33,0)/100,0)</f>
        <v>0.31</v>
      </c>
      <c r="Q106">
        <f t="shared" si="9"/>
        <v>0</v>
      </c>
      <c r="R106">
        <f t="shared" si="10"/>
        <v>0</v>
      </c>
      <c r="S106">
        <f t="shared" si="11"/>
        <v>0</v>
      </c>
    </row>
    <row r="107" spans="1:19">
      <c r="A107" s="138" t="str">
        <f>'00_SKU_Master'!J199</f>
        <v>MS SKLS HB LT</v>
      </c>
      <c r="B107" s="138">
        <f>'00_SKU_Master'!B199</f>
        <v>7160</v>
      </c>
      <c r="C107" s="165">
        <f>_xlfn.XLOOKUP(B107,'02_TrayPack_Order'!$A$2:$A$265,'02_TrayPack_Order'!$C$2:$C$265)</f>
        <v>0</v>
      </c>
      <c r="D107" s="166">
        <f>_xlfn.XLOOKUP(B107,'02_TrayPack_Order'!$A$2:$A$265,'02_TrayPack_Order'!$L$2:$L$265,0)</f>
        <v>0</v>
      </c>
      <c r="E107" s="165">
        <f>SUMIF('13_Progress_Track'!$A$2:$A$108,B107,'13_Progress_Track'!$E$2:$E$108)</f>
        <v>0</v>
      </c>
      <c r="F107" s="165">
        <f t="shared" si="6"/>
        <v>0</v>
      </c>
      <c r="G107" s="167">
        <f t="shared" si="7"/>
        <v>0</v>
      </c>
      <c r="H107" s="138" t="str">
        <f>_xlfn.IFNA(_xlfn.XLOOKUP(B107,'00_SKU_Master'!$B$2:$B$378,'00_SKU_Master'!$C$2:$C$378),"")</f>
        <v>61048#2</v>
      </c>
      <c r="I107" s="138"/>
      <c r="J107" s="14" t="str">
        <f>_xlfn.IFNA(_xlfn.XLOOKUP(B107,'00_SKU_Master'!B$2:B$378,'00_SKU_Master'!H$2:H$378,0),"")</f>
        <v>PET 8</v>
      </c>
      <c r="K107" s="14" t="str">
        <f>_xlfn.IFNA(_xlfn.XLOOKUP(B107,'00_SKU_Master'!B$2:B$378,'00_SKU_Master'!K$2:K$378,0),"")</f>
        <v>Fast</v>
      </c>
      <c r="L107" s="138" t="str">
        <f>_xlfn.XLOOKUP(B107,'00_SKU_Master'!$B$2:$B$378,'00_SKU_Master'!$D$2:$D$378)</f>
        <v>LCL</v>
      </c>
      <c r="M107" s="138">
        <f t="shared" si="8"/>
        <v>0</v>
      </c>
      <c r="N107" t="str">
        <f>IFERROR(_xlfn.XLOOKUP(B107,'00_SKU_Master'!$B$2:$B$378,'00_SKU_Master'!$E$2:$E$378,""),"")</f>
        <v>SplitBreast</v>
      </c>
      <c r="O107">
        <f>IFERROR(_xlfn.XLOOKUP(B107,'00_SKU_Master'!$B$2:$B$378,'00_SKU_Master'!$F$2:$F$378,0),0)</f>
        <v>0</v>
      </c>
      <c r="P107">
        <f>IFERROR(_xlfn.XLOOKUP(N107,'00_Yield_Rates'!$B$2:$B$33,'00_Yield_Rates'!$E$2:$E$33,0)/100,0)</f>
        <v>0.43</v>
      </c>
      <c r="Q107">
        <f t="shared" si="9"/>
        <v>0</v>
      </c>
      <c r="R107">
        <f t="shared" si="10"/>
        <v>0</v>
      </c>
      <c r="S107">
        <f t="shared" si="11"/>
        <v>0</v>
      </c>
    </row>
    <row r="108" spans="1:19">
      <c r="A108" s="138" t="str">
        <f>'00_SKU_Master'!J200</f>
        <v>MS HB LT</v>
      </c>
      <c r="B108" s="138">
        <f>'00_SKU_Master'!B200</f>
        <v>7161</v>
      </c>
      <c r="C108" s="165">
        <f>_xlfn.XLOOKUP(B108,'02_TrayPack_Order'!$A$2:$A$265,'02_TrayPack_Order'!$C$2:$C$265)</f>
        <v>0</v>
      </c>
      <c r="D108" s="166">
        <f>_xlfn.XLOOKUP(B108,'02_TrayPack_Order'!$A$2:$A$265,'02_TrayPack_Order'!$L$2:$L$265,0)</f>
        <v>0</v>
      </c>
      <c r="E108" s="165">
        <f>SUMIF('13_Progress_Track'!$A$2:$A$108,B108,'13_Progress_Track'!$E$2:$E$108)</f>
        <v>0</v>
      </c>
      <c r="F108" s="165">
        <f t="shared" si="6"/>
        <v>0</v>
      </c>
      <c r="G108" s="167">
        <f t="shared" si="7"/>
        <v>0</v>
      </c>
      <c r="H108" s="138" t="str">
        <f>_xlfn.IFNA(_xlfn.XLOOKUP(B108,'00_SKU_Master'!$B$2:$B$378,'00_SKU_Master'!$C$2:$C$378),"")</f>
        <v>61040#2</v>
      </c>
      <c r="I108" s="138"/>
      <c r="J108" s="14" t="str">
        <f>_xlfn.IFNA(_xlfn.XLOOKUP(B108,'00_SKU_Master'!B$2:B$378,'00_SKU_Master'!H$2:H$378,0),"")</f>
        <v>PET 8</v>
      </c>
      <c r="K108" s="14" t="str">
        <f>_xlfn.IFNA(_xlfn.XLOOKUP(B108,'00_SKU_Master'!B$2:B$378,'00_SKU_Master'!K$2:K$378,0),"")</f>
        <v>Fast</v>
      </c>
      <c r="L108" s="138" t="str">
        <f>_xlfn.XLOOKUP(B108,'00_SKU_Master'!$B$2:$B$378,'00_SKU_Master'!$D$2:$D$378)</f>
        <v>LCL</v>
      </c>
      <c r="M108" s="138">
        <f t="shared" si="8"/>
        <v>0</v>
      </c>
      <c r="N108" t="str">
        <f>IFERROR(_xlfn.XLOOKUP(B108,'00_SKU_Master'!$B$2:$B$378,'00_SKU_Master'!$E$2:$E$378,""),"")</f>
        <v>SplitBreast</v>
      </c>
      <c r="O108">
        <f>IFERROR(_xlfn.XLOOKUP(B108,'00_SKU_Master'!$B$2:$B$378,'00_SKU_Master'!$F$2:$F$378,0),0)</f>
        <v>0</v>
      </c>
      <c r="P108">
        <f>IFERROR(_xlfn.XLOOKUP(N108,'00_Yield_Rates'!$B$2:$B$33,'00_Yield_Rates'!$E$2:$E$33,0)/100,0)</f>
        <v>0.43</v>
      </c>
      <c r="Q108">
        <f t="shared" si="9"/>
        <v>0</v>
      </c>
      <c r="R108">
        <f t="shared" si="10"/>
        <v>0</v>
      </c>
      <c r="S108">
        <f t="shared" si="11"/>
        <v>0</v>
      </c>
    </row>
    <row r="109" spans="1:19">
      <c r="A109" s="138" t="str">
        <f>'00_SKU_Master'!J201</f>
        <v>MS BSTHIGH LT</v>
      </c>
      <c r="B109" s="138">
        <f>'00_SKU_Master'!B201</f>
        <v>7162</v>
      </c>
      <c r="C109" s="165">
        <f>_xlfn.XLOOKUP(B109,'02_TrayPack_Order'!$A$2:$A$265,'02_TrayPack_Order'!$C$2:$C$265)</f>
        <v>0</v>
      </c>
      <c r="D109" s="166">
        <f>_xlfn.XLOOKUP(B109,'02_TrayPack_Order'!$A$2:$A$265,'02_TrayPack_Order'!$L$2:$L$265,0)</f>
        <v>0</v>
      </c>
      <c r="E109" s="165">
        <f>SUMIF('13_Progress_Track'!$A$2:$A$108,B109,'13_Progress_Track'!$E$2:$E$108)</f>
        <v>0</v>
      </c>
      <c r="F109" s="165">
        <f t="shared" si="6"/>
        <v>0</v>
      </c>
      <c r="G109" s="167">
        <f t="shared" si="7"/>
        <v>0</v>
      </c>
      <c r="H109" s="138" t="str">
        <f>_xlfn.IFNA(_xlfn.XLOOKUP(B109,'00_SKU_Master'!$B$2:$B$378,'00_SKU_Master'!$C$2:$C$378),"")</f>
        <v>61086#2</v>
      </c>
      <c r="I109" s="138"/>
      <c r="J109" s="14" t="str">
        <f>_xlfn.IFNA(_xlfn.XLOOKUP(B109,'00_SKU_Master'!B$2:B$378,'00_SKU_Master'!H$2:H$378,0),"")</f>
        <v>PET 8</v>
      </c>
      <c r="K109" s="14" t="str">
        <f>_xlfn.IFNA(_xlfn.XLOOKUP(B109,'00_SKU_Master'!B$2:B$378,'00_SKU_Master'!K$2:K$378,0),"")</f>
        <v>Slow</v>
      </c>
      <c r="L109" s="138" t="str">
        <f>_xlfn.XLOOKUP(B109,'00_SKU_Master'!$B$2:$B$378,'00_SKU_Master'!$D$2:$D$378)</f>
        <v>LCL</v>
      </c>
      <c r="M109" s="138">
        <f t="shared" si="8"/>
        <v>0</v>
      </c>
      <c r="N109" t="str">
        <f>IFERROR(_xlfn.XLOOKUP(B109,'00_SKU_Master'!$B$2:$B$378,'00_SKU_Master'!$E$2:$E$378,""),"")</f>
        <v>ThighMeat</v>
      </c>
      <c r="O109">
        <f>IFERROR(_xlfn.XLOOKUP(B109,'00_SKU_Master'!$B$2:$B$378,'00_SKU_Master'!$F$2:$F$378,0),0)</f>
        <v>0</v>
      </c>
      <c r="P109">
        <f>IFERROR(_xlfn.XLOOKUP(N109,'00_Yield_Rates'!$B$2:$B$33,'00_Yield_Rates'!$E$2:$E$33,0)/100,0)</f>
        <v>0.105</v>
      </c>
      <c r="Q109">
        <f t="shared" si="9"/>
        <v>0</v>
      </c>
      <c r="R109">
        <f t="shared" si="10"/>
        <v>0</v>
      </c>
      <c r="S109">
        <f t="shared" si="11"/>
        <v>0</v>
      </c>
    </row>
    <row r="110" spans="1:19">
      <c r="A110" s="138" t="str">
        <f>'00_SKU_Master'!J202</f>
        <v>MS THIGH LT</v>
      </c>
      <c r="B110" s="138">
        <f>'00_SKU_Master'!B202</f>
        <v>7163</v>
      </c>
      <c r="C110" s="165">
        <f>_xlfn.XLOOKUP(B110,'02_TrayPack_Order'!$A$2:$A$265,'02_TrayPack_Order'!$C$2:$C$265)</f>
        <v>0</v>
      </c>
      <c r="D110" s="166">
        <f>_xlfn.XLOOKUP(B110,'02_TrayPack_Order'!$A$2:$A$265,'02_TrayPack_Order'!$L$2:$L$265,0)</f>
        <v>0</v>
      </c>
      <c r="E110" s="165">
        <f>SUMIF('13_Progress_Track'!$A$2:$A$108,B110,'13_Progress_Track'!$E$2:$E$108)</f>
        <v>0</v>
      </c>
      <c r="F110" s="165">
        <f t="shared" si="6"/>
        <v>0</v>
      </c>
      <c r="G110" s="167">
        <f t="shared" si="7"/>
        <v>0</v>
      </c>
      <c r="H110" s="138">
        <f>_xlfn.IFNA(_xlfn.XLOOKUP(B110,'00_SKU_Master'!$B$2:$B$378,'00_SKU_Master'!$C$2:$C$378),"")</f>
        <v>61082</v>
      </c>
      <c r="I110" s="138"/>
      <c r="J110" s="14" t="str">
        <f>_xlfn.IFNA(_xlfn.XLOOKUP(B110,'00_SKU_Master'!B$2:B$378,'00_SKU_Master'!H$2:H$378,0),"")</f>
        <v>PET 8</v>
      </c>
      <c r="K110" s="14" t="str">
        <f>_xlfn.IFNA(_xlfn.XLOOKUP(B110,'00_SKU_Master'!B$2:B$378,'00_SKU_Master'!K$2:K$378,0),"")</f>
        <v>Fast</v>
      </c>
      <c r="L110" s="138" t="str">
        <f>_xlfn.XLOOKUP(B110,'00_SKU_Master'!$B$2:$B$378,'00_SKU_Master'!$D$2:$D$378)</f>
        <v>LCL</v>
      </c>
      <c r="M110" s="138">
        <f t="shared" si="8"/>
        <v>0</v>
      </c>
      <c r="N110" t="str">
        <f>IFERROR(_xlfn.XLOOKUP(B110,'00_SKU_Master'!$B$2:$B$378,'00_SKU_Master'!$E$2:$E$378,""),"")</f>
        <v>Thigh</v>
      </c>
      <c r="O110">
        <f>IFERROR(_xlfn.XLOOKUP(B110,'00_SKU_Master'!$B$2:$B$378,'00_SKU_Master'!$F$2:$F$378,0),0)</f>
        <v>0</v>
      </c>
      <c r="P110">
        <f>IFERROR(_xlfn.XLOOKUP(N110,'00_Yield_Rates'!$B$2:$B$33,'00_Yield_Rates'!$E$2:$E$33,0)/100,0)</f>
        <v>0.191</v>
      </c>
      <c r="Q110">
        <f t="shared" si="9"/>
        <v>0</v>
      </c>
      <c r="R110">
        <f t="shared" si="10"/>
        <v>0</v>
      </c>
      <c r="S110">
        <f t="shared" si="11"/>
        <v>0</v>
      </c>
    </row>
    <row r="111" spans="1:19">
      <c r="A111" s="138" t="str">
        <f>'00_SKU_Master'!J203</f>
        <v>MS DRUM LT</v>
      </c>
      <c r="B111" s="138">
        <f>'00_SKU_Master'!B203</f>
        <v>7164</v>
      </c>
      <c r="C111" s="165">
        <f>_xlfn.XLOOKUP(B111,'02_TrayPack_Order'!$A$2:$A$265,'02_TrayPack_Order'!$C$2:$C$265)</f>
        <v>0</v>
      </c>
      <c r="D111" s="166">
        <f>_xlfn.XLOOKUP(B111,'02_TrayPack_Order'!$A$2:$A$265,'02_TrayPack_Order'!$L$2:$L$265,0)</f>
        <v>0</v>
      </c>
      <c r="E111" s="165">
        <f>SUMIF('13_Progress_Track'!$A$2:$A$108,B111,'13_Progress_Track'!$E$2:$E$108)</f>
        <v>0</v>
      </c>
      <c r="F111" s="165">
        <f t="shared" si="6"/>
        <v>0</v>
      </c>
      <c r="G111" s="167">
        <f t="shared" si="7"/>
        <v>0</v>
      </c>
      <c r="H111" s="138" t="str">
        <f>_xlfn.IFNA(_xlfn.XLOOKUP(B111,'00_SKU_Master'!$B$2:$B$378,'00_SKU_Master'!$C$2:$C$378),"")</f>
        <v>61072#2</v>
      </c>
      <c r="I111" s="138"/>
      <c r="J111" s="14" t="str">
        <f>_xlfn.IFNA(_xlfn.XLOOKUP(B111,'00_SKU_Master'!B$2:B$378,'00_SKU_Master'!H$2:H$378,0),"")</f>
        <v>PET 8</v>
      </c>
      <c r="K111" s="14" t="str">
        <f>_xlfn.IFNA(_xlfn.XLOOKUP(B111,'00_SKU_Master'!B$2:B$378,'00_SKU_Master'!K$2:K$378,0),"")</f>
        <v>Fast</v>
      </c>
      <c r="L111" s="138" t="str">
        <f>_xlfn.XLOOKUP(B111,'00_SKU_Master'!$B$2:$B$378,'00_SKU_Master'!$D$2:$D$378)</f>
        <v>LCL</v>
      </c>
      <c r="M111" s="138">
        <f t="shared" si="8"/>
        <v>0</v>
      </c>
      <c r="N111" t="str">
        <f>IFERROR(_xlfn.XLOOKUP(B111,'00_SKU_Master'!$B$2:$B$378,'00_SKU_Master'!$E$2:$E$378,""),"")</f>
        <v>Drum</v>
      </c>
      <c r="O111">
        <f>IFERROR(_xlfn.XLOOKUP(B111,'00_SKU_Master'!$B$2:$B$378,'00_SKU_Master'!$F$2:$F$378,0),0)</f>
        <v>0</v>
      </c>
      <c r="P111">
        <f>IFERROR(_xlfn.XLOOKUP(N111,'00_Yield_Rates'!$B$2:$B$33,'00_Yield_Rates'!$E$2:$E$33,0)/100,0)</f>
        <v>0.128</v>
      </c>
      <c r="Q111">
        <f t="shared" si="9"/>
        <v>0</v>
      </c>
      <c r="R111">
        <f t="shared" si="10"/>
        <v>0</v>
      </c>
      <c r="S111">
        <f t="shared" si="11"/>
        <v>0</v>
      </c>
    </row>
    <row r="112" spans="1:19">
      <c r="A112" s="138" t="str">
        <f>'00_SKU_Master'!J204</f>
        <v>MS LEG BA LT</v>
      </c>
      <c r="B112" s="138">
        <f>'00_SKU_Master'!B204</f>
        <v>7165</v>
      </c>
      <c r="C112" s="165">
        <f>_xlfn.XLOOKUP(B112,'02_TrayPack_Order'!$A$2:$A$265,'02_TrayPack_Order'!$C$2:$C$265)</f>
        <v>0</v>
      </c>
      <c r="D112" s="166">
        <f>_xlfn.XLOOKUP(B112,'02_TrayPack_Order'!$A$2:$A$265,'02_TrayPack_Order'!$L$2:$L$265,0)</f>
        <v>0</v>
      </c>
      <c r="E112" s="165">
        <f>SUMIF('13_Progress_Track'!$A$2:$A$108,B112,'13_Progress_Track'!$E$2:$E$108)</f>
        <v>0</v>
      </c>
      <c r="F112" s="165">
        <f t="shared" si="6"/>
        <v>0</v>
      </c>
      <c r="G112" s="167">
        <f t="shared" si="7"/>
        <v>0</v>
      </c>
      <c r="H112" s="138">
        <f>_xlfn.IFNA(_xlfn.XLOOKUP(B112,'00_SKU_Master'!$B$2:$B$378,'00_SKU_Master'!$C$2:$C$378),"")</f>
        <v>61061</v>
      </c>
      <c r="I112" s="138"/>
      <c r="J112" s="14" t="str">
        <f>_xlfn.IFNA(_xlfn.XLOOKUP(B112,'00_SKU_Master'!B$2:B$378,'00_SKU_Master'!H$2:H$378,0),"")</f>
        <v>PET 8</v>
      </c>
      <c r="K112" s="14" t="str">
        <f>_xlfn.IFNA(_xlfn.XLOOKUP(B112,'00_SKU_Master'!B$2:B$378,'00_SKU_Master'!K$2:K$378,0),"")</f>
        <v>Fast</v>
      </c>
      <c r="L112" s="138" t="str">
        <f>_xlfn.XLOOKUP(B112,'00_SKU_Master'!$B$2:$B$378,'00_SKU_Master'!$D$2:$D$378)</f>
        <v>LCL</v>
      </c>
      <c r="M112" s="138">
        <f t="shared" si="8"/>
        <v>0</v>
      </c>
      <c r="N112" t="str">
        <f>IFERROR(_xlfn.XLOOKUP(B112,'00_SKU_Master'!$B$2:$B$378,'00_SKU_Master'!$E$2:$E$378,""),"")</f>
        <v>BA</v>
      </c>
      <c r="O112">
        <f>IFERROR(_xlfn.XLOOKUP(B112,'00_SKU_Master'!$B$2:$B$378,'00_SKU_Master'!$F$2:$F$378,0),0)</f>
        <v>0</v>
      </c>
      <c r="P112">
        <f>IFERROR(_xlfn.XLOOKUP(N112,'00_Yield_Rates'!$B$2:$B$33,'00_Yield_Rates'!$E$2:$E$33,0)/100,0)</f>
        <v>0.42</v>
      </c>
      <c r="Q112">
        <f t="shared" si="9"/>
        <v>0</v>
      </c>
      <c r="R112">
        <f t="shared" si="10"/>
        <v>0</v>
      </c>
      <c r="S112">
        <f t="shared" si="11"/>
        <v>0</v>
      </c>
    </row>
    <row r="113" spans="1:19">
      <c r="A113" s="138" t="str">
        <f>'00_SKU_Master'!J205</f>
        <v>MS WING LT</v>
      </c>
      <c r="B113" s="138">
        <f>'00_SKU_Master'!B205</f>
        <v>7166</v>
      </c>
      <c r="C113" s="165">
        <f>_xlfn.XLOOKUP(B113,'02_TrayPack_Order'!$A$2:$A$265,'02_TrayPack_Order'!$C$2:$C$265)</f>
        <v>0</v>
      </c>
      <c r="D113" s="166">
        <f>_xlfn.XLOOKUP(B113,'02_TrayPack_Order'!$A$2:$A$265,'02_TrayPack_Order'!$L$2:$L$265,0)</f>
        <v>0</v>
      </c>
      <c r="E113" s="165">
        <f>SUMIF('13_Progress_Track'!$A$2:$A$108,B113,'13_Progress_Track'!$E$2:$E$108)</f>
        <v>0</v>
      </c>
      <c r="F113" s="165">
        <f t="shared" si="6"/>
        <v>0</v>
      </c>
      <c r="G113" s="167">
        <f t="shared" si="7"/>
        <v>0</v>
      </c>
      <c r="H113" s="138">
        <f>_xlfn.IFNA(_xlfn.XLOOKUP(B113,'00_SKU_Master'!$B$2:$B$378,'00_SKU_Master'!$C$2:$C$378),"")</f>
        <v>61010</v>
      </c>
      <c r="I113" s="138"/>
      <c r="J113" s="14" t="str">
        <f>_xlfn.IFNA(_xlfn.XLOOKUP(B113,'00_SKU_Master'!B$2:B$378,'00_SKU_Master'!H$2:H$378,0),"")</f>
        <v>PET 8</v>
      </c>
      <c r="K113" s="14" t="str">
        <f>_xlfn.IFNA(_xlfn.XLOOKUP(B113,'00_SKU_Master'!B$2:B$378,'00_SKU_Master'!K$2:K$378,0),"")</f>
        <v>Fast</v>
      </c>
      <c r="L113" s="138" t="str">
        <f>_xlfn.XLOOKUP(B113,'00_SKU_Master'!$B$2:$B$378,'00_SKU_Master'!$D$2:$D$378)</f>
        <v>LCL</v>
      </c>
      <c r="M113" s="138">
        <f t="shared" si="8"/>
        <v>0</v>
      </c>
      <c r="N113" t="str">
        <f>IFERROR(_xlfn.XLOOKUP(B113,'00_SKU_Master'!$B$2:$B$378,'00_SKU_Master'!$E$2:$E$378,""),"")</f>
        <v>Whole Wing-Large</v>
      </c>
      <c r="O113">
        <f>IFERROR(_xlfn.XLOOKUP(B113,'00_SKU_Master'!$B$2:$B$378,'00_SKU_Master'!$F$2:$F$378,0),0)</f>
        <v>0</v>
      </c>
      <c r="P113">
        <f>IFERROR(_xlfn.XLOOKUP(N113,'00_Yield_Rates'!$B$2:$B$33,'00_Yield_Rates'!$E$2:$E$33,0)/100,0)</f>
        <v>0</v>
      </c>
      <c r="Q113">
        <f t="shared" si="9"/>
        <v>0</v>
      </c>
      <c r="R113">
        <f t="shared" si="10"/>
        <v>0</v>
      </c>
      <c r="S113">
        <f t="shared" si="11"/>
        <v>0</v>
      </c>
    </row>
    <row r="114" spans="1:19">
      <c r="A114" s="138" t="str">
        <f>'00_SKU_Master'!J206</f>
        <v>PB DRUM LT PP</v>
      </c>
      <c r="B114" s="138">
        <f>'00_SKU_Master'!B206</f>
        <v>7168</v>
      </c>
      <c r="C114" s="165">
        <f>_xlfn.XLOOKUP(B114,'02_TrayPack_Order'!$A$2:$A$265,'02_TrayPack_Order'!$C$2:$C$265)</f>
        <v>0</v>
      </c>
      <c r="D114" s="166">
        <f>_xlfn.XLOOKUP(B114,'02_TrayPack_Order'!$A$2:$A$265,'02_TrayPack_Order'!$L$2:$L$265,0)</f>
        <v>0</v>
      </c>
      <c r="E114" s="165">
        <f>SUMIF('13_Progress_Track'!$A$2:$A$108,B114,'13_Progress_Track'!$E$2:$E$108)</f>
        <v>0</v>
      </c>
      <c r="F114" s="165">
        <f t="shared" si="6"/>
        <v>0</v>
      </c>
      <c r="G114" s="167">
        <f t="shared" si="7"/>
        <v>0</v>
      </c>
      <c r="H114" s="138" t="str">
        <f>_xlfn.IFNA(_xlfn.XLOOKUP(B114,'00_SKU_Master'!$B$2:$B$378,'00_SKU_Master'!$C$2:$C$378),"")</f>
        <v>61072#2</v>
      </c>
      <c r="I114" s="138"/>
      <c r="J114" s="14" t="str">
        <f>_xlfn.IFNA(_xlfn.XLOOKUP(B114,'00_SKU_Master'!B$2:B$378,'00_SKU_Master'!H$2:H$378,0),"")</f>
        <v>PET 8</v>
      </c>
      <c r="K114" s="14" t="str">
        <f>_xlfn.IFNA(_xlfn.XLOOKUP(B114,'00_SKU_Master'!B$2:B$378,'00_SKU_Master'!K$2:K$378,0),"")</f>
        <v>Fast</v>
      </c>
      <c r="L114" s="138" t="str">
        <f>_xlfn.XLOOKUP(B114,'00_SKU_Master'!$B$2:$B$378,'00_SKU_Master'!$D$2:$D$378)</f>
        <v>LCL</v>
      </c>
      <c r="M114" s="138">
        <f t="shared" si="8"/>
        <v>0</v>
      </c>
      <c r="N114" t="str">
        <f>IFERROR(_xlfn.XLOOKUP(B114,'00_SKU_Master'!$B$2:$B$378,'00_SKU_Master'!$E$2:$E$378,""),"")</f>
        <v>Drum</v>
      </c>
      <c r="O114">
        <f>IFERROR(_xlfn.XLOOKUP(B114,'00_SKU_Master'!$B$2:$B$378,'00_SKU_Master'!$F$2:$F$378,0),0)</f>
        <v>0</v>
      </c>
      <c r="P114">
        <f>IFERROR(_xlfn.XLOOKUP(N114,'00_Yield_Rates'!$B$2:$B$33,'00_Yield_Rates'!$E$2:$E$33,0)/100,0)</f>
        <v>0.128</v>
      </c>
      <c r="Q114">
        <f t="shared" si="9"/>
        <v>0</v>
      </c>
      <c r="R114">
        <f t="shared" si="10"/>
        <v>0</v>
      </c>
      <c r="S114">
        <f t="shared" si="11"/>
        <v>0</v>
      </c>
    </row>
    <row r="115" spans="1:19">
      <c r="A115" s="138" t="str">
        <f>'00_SKU_Master'!J207</f>
        <v>PB THIGH LT PP</v>
      </c>
      <c r="B115" s="138">
        <f>'00_SKU_Master'!B207</f>
        <v>7169</v>
      </c>
      <c r="C115" s="165">
        <f>_xlfn.XLOOKUP(B115,'02_TrayPack_Order'!$A$2:$A$265,'02_TrayPack_Order'!$C$2:$C$265)</f>
        <v>0</v>
      </c>
      <c r="D115" s="166">
        <f>_xlfn.XLOOKUP(B115,'02_TrayPack_Order'!$A$2:$A$265,'02_TrayPack_Order'!$L$2:$L$265,0)</f>
        <v>0</v>
      </c>
      <c r="E115" s="165">
        <f>SUMIF('13_Progress_Track'!$A$2:$A$108,B115,'13_Progress_Track'!$E$2:$E$108)</f>
        <v>0</v>
      </c>
      <c r="F115" s="165">
        <f t="shared" si="6"/>
        <v>0</v>
      </c>
      <c r="G115" s="167">
        <f t="shared" si="7"/>
        <v>0</v>
      </c>
      <c r="H115" s="138">
        <f>_xlfn.IFNA(_xlfn.XLOOKUP(B115,'00_SKU_Master'!$B$2:$B$378,'00_SKU_Master'!$C$2:$C$378),"")</f>
        <v>61082</v>
      </c>
      <c r="I115" s="138"/>
      <c r="J115" s="14" t="str">
        <f>_xlfn.IFNA(_xlfn.XLOOKUP(B115,'00_SKU_Master'!B$2:B$378,'00_SKU_Master'!H$2:H$378,0),"")</f>
        <v>PET 8</v>
      </c>
      <c r="K115" s="14" t="str">
        <f>_xlfn.IFNA(_xlfn.XLOOKUP(B115,'00_SKU_Master'!B$2:B$378,'00_SKU_Master'!K$2:K$378,0),"")</f>
        <v>Fast</v>
      </c>
      <c r="L115" s="138" t="str">
        <f>_xlfn.XLOOKUP(B115,'00_SKU_Master'!$B$2:$B$378,'00_SKU_Master'!$D$2:$D$378)</f>
        <v>LCL</v>
      </c>
      <c r="M115" s="138">
        <f t="shared" si="8"/>
        <v>0</v>
      </c>
      <c r="N115" t="str">
        <f>IFERROR(_xlfn.XLOOKUP(B115,'00_SKU_Master'!$B$2:$B$378,'00_SKU_Master'!$E$2:$E$378,""),"")</f>
        <v>Thigh</v>
      </c>
      <c r="O115">
        <f>IFERROR(_xlfn.XLOOKUP(B115,'00_SKU_Master'!$B$2:$B$378,'00_SKU_Master'!$F$2:$F$378,0),0)</f>
        <v>0</v>
      </c>
      <c r="P115">
        <f>IFERROR(_xlfn.XLOOKUP(N115,'00_Yield_Rates'!$B$2:$B$33,'00_Yield_Rates'!$E$2:$E$33,0)/100,0)</f>
        <v>0.191</v>
      </c>
      <c r="Q115">
        <f t="shared" si="9"/>
        <v>0</v>
      </c>
      <c r="R115">
        <f t="shared" si="10"/>
        <v>0</v>
      </c>
      <c r="S115">
        <f t="shared" si="11"/>
        <v>0</v>
      </c>
    </row>
    <row r="116" spans="1:19">
      <c r="A116" s="138" t="str">
        <f>'00_SKU_Master'!J208</f>
        <v>PB BSTHIGH LT PP</v>
      </c>
      <c r="B116" s="138">
        <f>'00_SKU_Master'!B208</f>
        <v>7171</v>
      </c>
      <c r="C116" s="165">
        <f>_xlfn.XLOOKUP(B116,'02_TrayPack_Order'!$A$2:$A$265,'02_TrayPack_Order'!$C$2:$C$265)</f>
        <v>0</v>
      </c>
      <c r="D116" s="166">
        <f>_xlfn.XLOOKUP(B116,'02_TrayPack_Order'!$A$2:$A$265,'02_TrayPack_Order'!$L$2:$L$265,0)</f>
        <v>0</v>
      </c>
      <c r="E116" s="165">
        <f>SUMIF('13_Progress_Track'!$A$2:$A$108,B116,'13_Progress_Track'!$E$2:$E$108)</f>
        <v>0</v>
      </c>
      <c r="F116" s="165">
        <f t="shared" si="6"/>
        <v>0</v>
      </c>
      <c r="G116" s="167">
        <f t="shared" si="7"/>
        <v>0</v>
      </c>
      <c r="H116" s="138" t="str">
        <f>_xlfn.IFNA(_xlfn.XLOOKUP(B116,'00_SKU_Master'!$B$2:$B$378,'00_SKU_Master'!$C$2:$C$378),"")</f>
        <v>61086#2</v>
      </c>
      <c r="I116" s="138"/>
      <c r="J116" s="14" t="str">
        <f>_xlfn.IFNA(_xlfn.XLOOKUP(B116,'00_SKU_Master'!B$2:B$378,'00_SKU_Master'!H$2:H$378,0),"")</f>
        <v>PET 8</v>
      </c>
      <c r="K116" s="14" t="str">
        <f>_xlfn.IFNA(_xlfn.XLOOKUP(B116,'00_SKU_Master'!B$2:B$378,'00_SKU_Master'!K$2:K$378,0),"")</f>
        <v>Slow</v>
      </c>
      <c r="L116" s="138" t="str">
        <f>_xlfn.XLOOKUP(B116,'00_SKU_Master'!$B$2:$B$378,'00_SKU_Master'!$D$2:$D$378)</f>
        <v>LCL</v>
      </c>
      <c r="M116" s="138">
        <f t="shared" si="8"/>
        <v>0</v>
      </c>
      <c r="N116" t="str">
        <f>IFERROR(_xlfn.XLOOKUP(B116,'00_SKU_Master'!$B$2:$B$378,'00_SKU_Master'!$E$2:$E$378,""),"")</f>
        <v>ThighMeat</v>
      </c>
      <c r="O116">
        <f>IFERROR(_xlfn.XLOOKUP(B116,'00_SKU_Master'!$B$2:$B$378,'00_SKU_Master'!$F$2:$F$378,0),0)</f>
        <v>0</v>
      </c>
      <c r="P116">
        <f>IFERROR(_xlfn.XLOOKUP(N116,'00_Yield_Rates'!$B$2:$B$33,'00_Yield_Rates'!$E$2:$E$33,0)/100,0)</f>
        <v>0.105</v>
      </c>
      <c r="Q116">
        <f t="shared" si="9"/>
        <v>0</v>
      </c>
      <c r="R116">
        <f t="shared" si="10"/>
        <v>0</v>
      </c>
      <c r="S116">
        <f t="shared" si="11"/>
        <v>0</v>
      </c>
    </row>
    <row r="117" spans="1:19">
      <c r="A117" s="138" t="str">
        <f>'00_SKU_Master'!J209</f>
        <v>MS DRUM LCP</v>
      </c>
      <c r="B117" s="138">
        <f>'00_SKU_Master'!B209</f>
        <v>7173</v>
      </c>
      <c r="C117" s="165">
        <f>_xlfn.XLOOKUP(B117,'02_TrayPack_Order'!$A$2:$A$265,'02_TrayPack_Order'!$C$2:$C$265)</f>
        <v>0</v>
      </c>
      <c r="D117" s="166">
        <f>_xlfn.XLOOKUP(B117,'02_TrayPack_Order'!$A$2:$A$265,'02_TrayPack_Order'!$L$2:$L$265,0)</f>
        <v>0</v>
      </c>
      <c r="E117" s="165">
        <f>SUMIF('13_Progress_Track'!$A$2:$A$108,B117,'13_Progress_Track'!$E$2:$E$108)</f>
        <v>0</v>
      </c>
      <c r="F117" s="165">
        <f t="shared" si="6"/>
        <v>0</v>
      </c>
      <c r="G117" s="167">
        <f t="shared" si="7"/>
        <v>0</v>
      </c>
      <c r="H117" s="138" t="str">
        <f>_xlfn.IFNA(_xlfn.XLOOKUP(B117,'00_SKU_Master'!$B$2:$B$378,'00_SKU_Master'!$C$2:$C$378),"")</f>
        <v>61072#2</v>
      </c>
      <c r="I117" s="138"/>
      <c r="J117" s="14" t="str">
        <f>_xlfn.IFNA(_xlfn.XLOOKUP(B117,'00_SKU_Master'!B$2:B$378,'00_SKU_Master'!H$2:H$378,0),"")</f>
        <v>LT 14D</v>
      </c>
      <c r="K117" s="14" t="str">
        <f>_xlfn.IFNA(_xlfn.XLOOKUP(B117,'00_SKU_Master'!B$2:B$378,'00_SKU_Master'!K$2:K$378,0),"")</f>
        <v>Fast</v>
      </c>
      <c r="L117" s="138" t="str">
        <f>_xlfn.XLOOKUP(B117,'00_SKU_Master'!$B$2:$B$378,'00_SKU_Master'!$D$2:$D$378)</f>
        <v>LCL</v>
      </c>
      <c r="M117" s="138">
        <f t="shared" si="8"/>
        <v>0</v>
      </c>
      <c r="N117" t="str">
        <f>IFERROR(_xlfn.XLOOKUP(B117,'00_SKU_Master'!$B$2:$B$378,'00_SKU_Master'!$E$2:$E$378,""),"")</f>
        <v>Drum</v>
      </c>
      <c r="O117">
        <f>IFERROR(_xlfn.XLOOKUP(B117,'00_SKU_Master'!$B$2:$B$378,'00_SKU_Master'!$F$2:$F$378,0),0)</f>
        <v>0</v>
      </c>
      <c r="P117">
        <f>IFERROR(_xlfn.XLOOKUP(N117,'00_Yield_Rates'!$B$2:$B$33,'00_Yield_Rates'!$E$2:$E$33,0)/100,0)</f>
        <v>0.128</v>
      </c>
      <c r="Q117">
        <f t="shared" si="9"/>
        <v>0</v>
      </c>
      <c r="R117">
        <f t="shared" si="10"/>
        <v>0</v>
      </c>
      <c r="S117">
        <f t="shared" si="11"/>
        <v>0</v>
      </c>
    </row>
    <row r="118" spans="1:19">
      <c r="A118" s="138" t="str">
        <f>'00_SKU_Master'!J210</f>
        <v>PB 1.1-1.4 FRY WOG TI 2/LT</v>
      </c>
      <c r="B118" s="138">
        <f>'00_SKU_Master'!B210</f>
        <v>7178</v>
      </c>
      <c r="C118" s="165">
        <f>_xlfn.XLOOKUP(B118,'02_TrayPack_Order'!$A$2:$A$265,'02_TrayPack_Order'!$C$2:$C$265)</f>
        <v>0</v>
      </c>
      <c r="D118" s="166">
        <f>_xlfn.XLOOKUP(B118,'02_TrayPack_Order'!$A$2:$A$265,'02_TrayPack_Order'!$L$2:$L$265,0)</f>
        <v>0</v>
      </c>
      <c r="E118" s="165">
        <f>SUMIF('13_Progress_Track'!$A$2:$A$108,B118,'13_Progress_Track'!$E$2:$E$108)</f>
        <v>0</v>
      </c>
      <c r="F118" s="165">
        <f t="shared" si="6"/>
        <v>0</v>
      </c>
      <c r="G118" s="167">
        <f t="shared" si="7"/>
        <v>0</v>
      </c>
      <c r="H118" s="138">
        <f>_xlfn.IFNA(_xlfn.XLOOKUP(B118,'00_SKU_Master'!$B$2:$B$378,'00_SKU_Master'!$C$2:$C$378),"")</f>
        <v>203891</v>
      </c>
      <c r="I118" s="138"/>
      <c r="J118" s="14" t="str">
        <f>_xlfn.IFNA(_xlfn.XLOOKUP(B118,'00_SKU_Master'!B$2:B$378,'00_SKU_Master'!H$2:H$378,0),"")</f>
        <v>PET 9</v>
      </c>
      <c r="K118" s="14" t="str">
        <f>_xlfn.IFNA(_xlfn.XLOOKUP(B118,'00_SKU_Master'!B$2:B$378,'00_SKU_Master'!K$2:K$378,0),"")</f>
        <v>Fast</v>
      </c>
      <c r="L118" s="138" t="str">
        <f>_xlfn.XLOOKUP(B118,'00_SKU_Master'!$B$2:$B$378,'00_SKU_Master'!$D$2:$D$378)</f>
        <v>LCL</v>
      </c>
      <c r="M118" s="138">
        <f t="shared" si="8"/>
        <v>0</v>
      </c>
      <c r="N118" t="str">
        <f>IFERROR(_xlfn.XLOOKUP(B118,'00_SKU_Master'!$B$2:$B$378,'00_SKU_Master'!$E$2:$E$378,""),"")</f>
        <v>Whole Bird-Large</v>
      </c>
      <c r="O118">
        <f>IFERROR(_xlfn.XLOOKUP(B118,'00_SKU_Master'!$B$2:$B$378,'00_SKU_Master'!$F$2:$F$378,0),0)</f>
        <v>0</v>
      </c>
      <c r="P118">
        <f>IFERROR(_xlfn.XLOOKUP(N118,'00_Yield_Rates'!$B$2:$B$33,'00_Yield_Rates'!$E$2:$E$33,0)/100,0)</f>
        <v>0</v>
      </c>
      <c r="Q118">
        <f t="shared" si="9"/>
        <v>0</v>
      </c>
      <c r="R118">
        <f t="shared" si="10"/>
        <v>0</v>
      </c>
      <c r="S118">
        <f t="shared" si="11"/>
        <v>0</v>
      </c>
    </row>
    <row r="119" spans="1:19">
      <c r="A119" s="138" t="str">
        <f>'00_SKU_Master'!J211</f>
        <v>MS BSHB LT PP</v>
      </c>
      <c r="B119" s="138">
        <f>'00_SKU_Master'!B211</f>
        <v>7179</v>
      </c>
      <c r="C119" s="165">
        <f>_xlfn.XLOOKUP(B119,'02_TrayPack_Order'!$A$2:$A$265,'02_TrayPack_Order'!$C$2:$C$265)</f>
        <v>0</v>
      </c>
      <c r="D119" s="166">
        <f>_xlfn.XLOOKUP(B119,'02_TrayPack_Order'!$A$2:$A$265,'02_TrayPack_Order'!$L$2:$L$265,0)</f>
        <v>0</v>
      </c>
      <c r="E119" s="165">
        <f>SUMIF('13_Progress_Track'!$A$2:$A$108,B119,'13_Progress_Track'!$E$2:$E$108)</f>
        <v>0</v>
      </c>
      <c r="F119" s="165">
        <f t="shared" si="6"/>
        <v>0</v>
      </c>
      <c r="G119" s="167">
        <f t="shared" si="7"/>
        <v>0</v>
      </c>
      <c r="H119" s="138" t="str">
        <f>_xlfn.IFNA(_xlfn.XLOOKUP(B119,'00_SKU_Master'!$B$2:$B$378,'00_SKU_Master'!$C$2:$C$378),"")</f>
        <v>61050#2</v>
      </c>
      <c r="I119" s="138"/>
      <c r="J119" s="14" t="str">
        <f>_xlfn.IFNA(_xlfn.XLOOKUP(B119,'00_SKU_Master'!B$2:B$378,'00_SKU_Master'!H$2:H$378,0),"")</f>
        <v>PET 8</v>
      </c>
      <c r="K119" s="14" t="str">
        <f>_xlfn.IFNA(_xlfn.XLOOKUP(B119,'00_SKU_Master'!B$2:B$378,'00_SKU_Master'!K$2:K$378,0),"")</f>
        <v>Fast</v>
      </c>
      <c r="L119" s="138" t="str">
        <f>_xlfn.XLOOKUP(B119,'00_SKU_Master'!$B$2:$B$378,'00_SKU_Master'!$D$2:$D$378)</f>
        <v>LCL</v>
      </c>
      <c r="M119" s="138">
        <f t="shared" si="8"/>
        <v>0</v>
      </c>
      <c r="N119" t="str">
        <f>IFERROR(_xlfn.XLOOKUP(B119,'00_SKU_Master'!$B$2:$B$378,'00_SKU_Master'!$E$2:$E$378,""),"")</f>
        <v>BSB</v>
      </c>
      <c r="O119">
        <f>IFERROR(_xlfn.XLOOKUP(B119,'00_SKU_Master'!$B$2:$B$378,'00_SKU_Master'!$F$2:$F$378,0),0)</f>
        <v>10.020709951800301</v>
      </c>
      <c r="P119">
        <f>IFERROR(_xlfn.XLOOKUP(N119,'00_Yield_Rates'!$B$2:$B$33,'00_Yield_Rates'!$E$2:$E$33,0)/100,0)</f>
        <v>0.31</v>
      </c>
      <c r="Q119">
        <f t="shared" si="9"/>
        <v>0</v>
      </c>
      <c r="R119">
        <f t="shared" si="10"/>
        <v>0</v>
      </c>
      <c r="S119">
        <f t="shared" si="11"/>
        <v>0</v>
      </c>
    </row>
    <row r="120" spans="1:19">
      <c r="A120" s="138" t="str">
        <f>'00_SKU_Master'!J212</f>
        <v>PB PC DRUM AC PET 8</v>
      </c>
      <c r="B120" s="138">
        <f>'00_SKU_Master'!B212</f>
        <v>7188</v>
      </c>
      <c r="C120" s="165">
        <f>_xlfn.XLOOKUP(B120,'02_TrayPack_Order'!$A$2:$A$265,'02_TrayPack_Order'!$C$2:$C$265)</f>
        <v>0</v>
      </c>
      <c r="D120" s="166">
        <f>_xlfn.XLOOKUP(B120,'02_TrayPack_Order'!$A$2:$A$265,'02_TrayPack_Order'!$L$2:$L$265,0)</f>
        <v>0</v>
      </c>
      <c r="E120" s="165">
        <f>SUMIF('13_Progress_Track'!$A$2:$A$108,B120,'13_Progress_Track'!$E$2:$E$108)</f>
        <v>0</v>
      </c>
      <c r="F120" s="165">
        <f t="shared" si="6"/>
        <v>0</v>
      </c>
      <c r="G120" s="167">
        <f t="shared" si="7"/>
        <v>0</v>
      </c>
      <c r="H120" s="138">
        <f>_xlfn.IFNA(_xlfn.XLOOKUP(B120,'00_SKU_Master'!$B$2:$B$378,'00_SKU_Master'!$C$2:$C$378),"")</f>
        <v>61072</v>
      </c>
      <c r="I120" s="138"/>
      <c r="J120" s="14" t="str">
        <f>_xlfn.IFNA(_xlfn.XLOOKUP(B120,'00_SKU_Master'!B$2:B$378,'00_SKU_Master'!H$2:H$378,0),"")</f>
        <v>PET 8</v>
      </c>
      <c r="K120" s="14" t="str">
        <f>_xlfn.IFNA(_xlfn.XLOOKUP(B120,'00_SKU_Master'!B$2:B$378,'00_SKU_Master'!K$2:K$378,0),"")</f>
        <v>Fast</v>
      </c>
      <c r="L120" s="138" t="str">
        <f>_xlfn.XLOOKUP(B120,'00_SKU_Master'!$B$2:$B$378,'00_SKU_Master'!$D$2:$D$378)</f>
        <v>LCL</v>
      </c>
      <c r="M120" s="138">
        <f t="shared" si="8"/>
        <v>0</v>
      </c>
      <c r="N120" t="str">
        <f>IFERROR(_xlfn.XLOOKUP(B120,'00_SKU_Master'!$B$2:$B$378,'00_SKU_Master'!$E$2:$E$378,""),"")</f>
        <v>Drum</v>
      </c>
      <c r="O120">
        <f>IFERROR(_xlfn.XLOOKUP(B120,'00_SKU_Master'!$B$2:$B$378,'00_SKU_Master'!$F$2:$F$378,0),0)</f>
        <v>0</v>
      </c>
      <c r="P120">
        <f>IFERROR(_xlfn.XLOOKUP(N120,'00_Yield_Rates'!$B$2:$B$33,'00_Yield_Rates'!$E$2:$E$33,0)/100,0)</f>
        <v>0.128</v>
      </c>
      <c r="Q120">
        <f t="shared" si="9"/>
        <v>0</v>
      </c>
      <c r="R120">
        <f t="shared" si="10"/>
        <v>0</v>
      </c>
      <c r="S120">
        <f t="shared" si="11"/>
        <v>0</v>
      </c>
    </row>
    <row r="121" spans="1:19">
      <c r="A121" s="138" t="str">
        <f>'00_SKU_Master'!J213</f>
        <v>PB PC THIGH AC PET 8</v>
      </c>
      <c r="B121" s="138">
        <f>'00_SKU_Master'!B213</f>
        <v>7189</v>
      </c>
      <c r="C121" s="165">
        <f>_xlfn.XLOOKUP(B121,'02_TrayPack_Order'!$A$2:$A$265,'02_TrayPack_Order'!$C$2:$C$265)</f>
        <v>0</v>
      </c>
      <c r="D121" s="166">
        <f>_xlfn.XLOOKUP(B121,'02_TrayPack_Order'!$A$2:$A$265,'02_TrayPack_Order'!$L$2:$L$265,0)</f>
        <v>0</v>
      </c>
      <c r="E121" s="165">
        <f>SUMIF('13_Progress_Track'!$A$2:$A$108,B121,'13_Progress_Track'!$E$2:$E$108)</f>
        <v>0</v>
      </c>
      <c r="F121" s="165">
        <f t="shared" si="6"/>
        <v>0</v>
      </c>
      <c r="G121" s="167">
        <f t="shared" si="7"/>
        <v>0</v>
      </c>
      <c r="H121" s="138">
        <f>_xlfn.IFNA(_xlfn.XLOOKUP(B121,'00_SKU_Master'!$B$2:$B$378,'00_SKU_Master'!$C$2:$C$378),"")</f>
        <v>61077</v>
      </c>
      <c r="I121" s="138"/>
      <c r="J121" s="14" t="str">
        <f>_xlfn.IFNA(_xlfn.XLOOKUP(B121,'00_SKU_Master'!B$2:B$378,'00_SKU_Master'!H$2:H$378,0),"")</f>
        <v>PET 8</v>
      </c>
      <c r="K121" s="14" t="str">
        <f>_xlfn.IFNA(_xlfn.XLOOKUP(B121,'00_SKU_Master'!B$2:B$378,'00_SKU_Master'!K$2:K$378,0),"")</f>
        <v>Fast</v>
      </c>
      <c r="L121" s="138" t="str">
        <f>_xlfn.XLOOKUP(B121,'00_SKU_Master'!$B$2:$B$378,'00_SKU_Master'!$D$2:$D$378)</f>
        <v>LCL</v>
      </c>
      <c r="M121" s="138">
        <f t="shared" si="8"/>
        <v>0</v>
      </c>
      <c r="N121" t="str">
        <f>IFERROR(_xlfn.XLOOKUP(B121,'00_SKU_Master'!$B$2:$B$378,'00_SKU_Master'!$E$2:$E$378,""),"")</f>
        <v>Thigh</v>
      </c>
      <c r="O121">
        <f>IFERROR(_xlfn.XLOOKUP(B121,'00_SKU_Master'!$B$2:$B$378,'00_SKU_Master'!$F$2:$F$378,0),0)</f>
        <v>0</v>
      </c>
      <c r="P121">
        <f>IFERROR(_xlfn.XLOOKUP(N121,'00_Yield_Rates'!$B$2:$B$33,'00_Yield_Rates'!$E$2:$E$33,0)/100,0)</f>
        <v>0.191</v>
      </c>
      <c r="Q121">
        <f t="shared" si="9"/>
        <v>0</v>
      </c>
      <c r="R121">
        <f t="shared" si="10"/>
        <v>0</v>
      </c>
      <c r="S121">
        <f t="shared" si="11"/>
        <v>0</v>
      </c>
    </row>
    <row r="122" spans="1:19">
      <c r="A122" s="138" t="str">
        <f>'00_SKU_Master'!J214</f>
        <v>PB LEG BA LT PP</v>
      </c>
      <c r="B122" s="138">
        <f>'00_SKU_Master'!B214</f>
        <v>7191</v>
      </c>
      <c r="C122" s="165">
        <f>_xlfn.XLOOKUP(B122,'02_TrayPack_Order'!$A$2:$A$265,'02_TrayPack_Order'!$C$2:$C$265)</f>
        <v>0</v>
      </c>
      <c r="D122" s="166">
        <f>_xlfn.XLOOKUP(B122,'02_TrayPack_Order'!$A$2:$A$265,'02_TrayPack_Order'!$L$2:$L$265,0)</f>
        <v>0</v>
      </c>
      <c r="E122" s="165">
        <f>SUMIF('13_Progress_Track'!$A$2:$A$108,B122,'13_Progress_Track'!$E$2:$E$108)</f>
        <v>0</v>
      </c>
      <c r="F122" s="165">
        <f t="shared" si="6"/>
        <v>0</v>
      </c>
      <c r="G122" s="167">
        <f t="shared" si="7"/>
        <v>0</v>
      </c>
      <c r="H122" s="138">
        <f>_xlfn.IFNA(_xlfn.XLOOKUP(B122,'00_SKU_Master'!$B$2:$B$378,'00_SKU_Master'!$C$2:$C$378),"")</f>
        <v>61061</v>
      </c>
      <c r="I122" s="138"/>
      <c r="J122" s="14" t="str">
        <f>_xlfn.IFNA(_xlfn.XLOOKUP(B122,'00_SKU_Master'!B$2:B$378,'00_SKU_Master'!H$2:H$378,0),"")</f>
        <v>PET 8</v>
      </c>
      <c r="K122" s="14" t="str">
        <f>_xlfn.IFNA(_xlfn.XLOOKUP(B122,'00_SKU_Master'!B$2:B$378,'00_SKU_Master'!K$2:K$378,0),"")</f>
        <v>Fast</v>
      </c>
      <c r="L122" s="138" t="str">
        <f>_xlfn.XLOOKUP(B122,'00_SKU_Master'!$B$2:$B$378,'00_SKU_Master'!$D$2:$D$378)</f>
        <v>LCL</v>
      </c>
      <c r="M122" s="138">
        <f t="shared" si="8"/>
        <v>0</v>
      </c>
      <c r="N122" t="str">
        <f>IFERROR(_xlfn.XLOOKUP(B122,'00_SKU_Master'!$B$2:$B$378,'00_SKU_Master'!$E$2:$E$378,""),"")</f>
        <v>BA</v>
      </c>
      <c r="O122">
        <f>IFERROR(_xlfn.XLOOKUP(B122,'00_SKU_Master'!$B$2:$B$378,'00_SKU_Master'!$F$2:$F$378,0),0)</f>
        <v>0</v>
      </c>
      <c r="P122">
        <f>IFERROR(_xlfn.XLOOKUP(N122,'00_Yield_Rates'!$B$2:$B$33,'00_Yield_Rates'!$E$2:$E$33,0)/100,0)</f>
        <v>0.42</v>
      </c>
      <c r="Q122">
        <f t="shared" si="9"/>
        <v>0</v>
      </c>
      <c r="R122">
        <f t="shared" si="10"/>
        <v>0</v>
      </c>
      <c r="S122">
        <f t="shared" si="11"/>
        <v>0</v>
      </c>
    </row>
    <row r="123" spans="1:19">
      <c r="A123" s="138" t="str">
        <f>'00_SKU_Master'!J215</f>
        <v>RWA FRY WOG AC TI 2/LT</v>
      </c>
      <c r="B123" s="138">
        <f>'00_SKU_Master'!B215</f>
        <v>7192</v>
      </c>
      <c r="C123" s="165">
        <f>_xlfn.XLOOKUP(B123,'02_TrayPack_Order'!$A$2:$A$265,'02_TrayPack_Order'!$C$2:$C$265)</f>
        <v>0</v>
      </c>
      <c r="D123" s="166">
        <f>_xlfn.XLOOKUP(B123,'02_TrayPack_Order'!$A$2:$A$265,'02_TrayPack_Order'!$L$2:$L$265,0)</f>
        <v>0</v>
      </c>
      <c r="E123" s="165">
        <f>SUMIF('13_Progress_Track'!$A$2:$A$108,B123,'13_Progress_Track'!$E$2:$E$108)</f>
        <v>0</v>
      </c>
      <c r="F123" s="165">
        <f t="shared" si="6"/>
        <v>0</v>
      </c>
      <c r="G123" s="167">
        <f t="shared" si="7"/>
        <v>0</v>
      </c>
      <c r="H123" s="138">
        <f>_xlfn.IFNA(_xlfn.XLOOKUP(B123,'00_SKU_Master'!$B$2:$B$378,'00_SKU_Master'!$C$2:$C$378),"")</f>
        <v>203152</v>
      </c>
      <c r="I123" s="138"/>
      <c r="J123" s="14" t="str">
        <f>_xlfn.IFNA(_xlfn.XLOOKUP(B123,'00_SKU_Master'!B$2:B$378,'00_SKU_Master'!H$2:H$378,0),"")</f>
        <v>PET 9</v>
      </c>
      <c r="K123" s="14" t="str">
        <f>_xlfn.IFNA(_xlfn.XLOOKUP(B123,'00_SKU_Master'!B$2:B$378,'00_SKU_Master'!K$2:K$378,0),"")</f>
        <v>Fast</v>
      </c>
      <c r="L123" s="138" t="str">
        <f>_xlfn.XLOOKUP(B123,'00_SKU_Master'!$B$2:$B$378,'00_SKU_Master'!$D$2:$D$378)</f>
        <v>RWA</v>
      </c>
      <c r="M123" s="138">
        <f t="shared" si="8"/>
        <v>0</v>
      </c>
      <c r="N123" t="str">
        <f>IFERROR(_xlfn.XLOOKUP(B123,'00_SKU_Master'!$B$2:$B$378,'00_SKU_Master'!$E$2:$E$378,""),"")</f>
        <v>Whole Bird-Large</v>
      </c>
      <c r="O123">
        <f>IFERROR(_xlfn.XLOOKUP(B123,'00_SKU_Master'!$B$2:$B$378,'00_SKU_Master'!$F$2:$F$378,0),0)</f>
        <v>0</v>
      </c>
      <c r="P123">
        <f>IFERROR(_xlfn.XLOOKUP(N123,'00_Yield_Rates'!$B$2:$B$33,'00_Yield_Rates'!$E$2:$E$33,0)/100,0)</f>
        <v>0</v>
      </c>
      <c r="Q123">
        <f t="shared" si="9"/>
        <v>0</v>
      </c>
      <c r="R123">
        <f t="shared" si="10"/>
        <v>0</v>
      </c>
      <c r="S123">
        <f t="shared" si="11"/>
        <v>0</v>
      </c>
    </row>
    <row r="124" spans="1:19">
      <c r="A124" s="138" t="str">
        <f>'00_SKU_Master'!J216</f>
        <v>MS DRUM LCP</v>
      </c>
      <c r="B124" s="138">
        <f>'00_SKU_Master'!B216</f>
        <v>7193</v>
      </c>
      <c r="C124" s="165">
        <f>_xlfn.XLOOKUP(B124,'02_TrayPack_Order'!$A$2:$A$265,'02_TrayPack_Order'!$C$2:$C$265)</f>
        <v>0</v>
      </c>
      <c r="D124" s="166">
        <f>_xlfn.XLOOKUP(B124,'02_TrayPack_Order'!$A$2:$A$265,'02_TrayPack_Order'!$L$2:$L$265,0)</f>
        <v>0</v>
      </c>
      <c r="E124" s="165">
        <f>SUMIF('13_Progress_Track'!$A$2:$A$108,B124,'13_Progress_Track'!$E$2:$E$108)</f>
        <v>0</v>
      </c>
      <c r="F124" s="165">
        <f t="shared" si="6"/>
        <v>0</v>
      </c>
      <c r="G124" s="167">
        <f t="shared" si="7"/>
        <v>0</v>
      </c>
      <c r="H124" s="138" t="str">
        <f>_xlfn.IFNA(_xlfn.XLOOKUP(B124,'00_SKU_Master'!$B$2:$B$378,'00_SKU_Master'!$C$2:$C$378),"")</f>
        <v>61072#2</v>
      </c>
      <c r="I124" s="138"/>
      <c r="J124" s="14" t="str">
        <f>_xlfn.IFNA(_xlfn.XLOOKUP(B124,'00_SKU_Master'!B$2:B$378,'00_SKU_Master'!H$2:H$378,0),"")</f>
        <v>LT 14D</v>
      </c>
      <c r="K124" s="14" t="str">
        <f>_xlfn.IFNA(_xlfn.XLOOKUP(B124,'00_SKU_Master'!B$2:B$378,'00_SKU_Master'!K$2:K$378,0),"")</f>
        <v>Fast</v>
      </c>
      <c r="L124" s="138" t="str">
        <f>_xlfn.XLOOKUP(B124,'00_SKU_Master'!$B$2:$B$378,'00_SKU_Master'!$D$2:$D$378)</f>
        <v>LCL</v>
      </c>
      <c r="M124" s="138">
        <f t="shared" si="8"/>
        <v>0</v>
      </c>
      <c r="N124" t="str">
        <f>IFERROR(_xlfn.XLOOKUP(B124,'00_SKU_Master'!$B$2:$B$378,'00_SKU_Master'!$E$2:$E$378,""),"")</f>
        <v>Drum</v>
      </c>
      <c r="O124">
        <f>IFERROR(_xlfn.XLOOKUP(B124,'00_SKU_Master'!$B$2:$B$378,'00_SKU_Master'!$F$2:$F$378,0),0)</f>
        <v>0</v>
      </c>
      <c r="P124">
        <f>IFERROR(_xlfn.XLOOKUP(N124,'00_Yield_Rates'!$B$2:$B$33,'00_Yield_Rates'!$E$2:$E$33,0)/100,0)</f>
        <v>0.128</v>
      </c>
      <c r="Q124">
        <f t="shared" si="9"/>
        <v>0</v>
      </c>
      <c r="R124">
        <f t="shared" si="10"/>
        <v>0</v>
      </c>
      <c r="S124">
        <f t="shared" si="11"/>
        <v>0</v>
      </c>
    </row>
    <row r="125" spans="1:19">
      <c r="A125" s="138" t="str">
        <f>'00_SKU_Master'!J217</f>
        <v>RWA MS MLF HB AC PET 3</v>
      </c>
      <c r="B125" s="138">
        <f>'00_SKU_Master'!B217</f>
        <v>7229</v>
      </c>
      <c r="C125" s="165">
        <f>_xlfn.XLOOKUP(B125,'02_TrayPack_Order'!$A$2:$A$265,'02_TrayPack_Order'!$C$2:$C$265)</f>
        <v>0</v>
      </c>
      <c r="D125" s="166">
        <f>_xlfn.XLOOKUP(B125,'02_TrayPack_Order'!$A$2:$A$265,'02_TrayPack_Order'!$L$2:$L$265,0)</f>
        <v>0</v>
      </c>
      <c r="E125" s="165">
        <f>SUMIF('13_Progress_Track'!$A$2:$A$108,B125,'13_Progress_Track'!$E$2:$E$108)</f>
        <v>0</v>
      </c>
      <c r="F125" s="165">
        <f t="shared" si="6"/>
        <v>0</v>
      </c>
      <c r="G125" s="167">
        <f t="shared" si="7"/>
        <v>0</v>
      </c>
      <c r="H125" s="138">
        <f>_xlfn.IFNA(_xlfn.XLOOKUP(B125,'00_SKU_Master'!$B$2:$B$378,'00_SKU_Master'!$C$2:$C$378),"")</f>
        <v>61042</v>
      </c>
      <c r="I125" s="138"/>
      <c r="J125" s="14" t="str">
        <f>_xlfn.IFNA(_xlfn.XLOOKUP(B125,'00_SKU_Master'!B$2:B$378,'00_SKU_Master'!H$2:H$378,0),"")</f>
        <v>PET 3</v>
      </c>
      <c r="K125" s="14" t="str">
        <f>_xlfn.IFNA(_xlfn.XLOOKUP(B125,'00_SKU_Master'!B$2:B$378,'00_SKU_Master'!K$2:K$378,0),"")</f>
        <v>Fast</v>
      </c>
      <c r="L125" s="138" t="str">
        <f>_xlfn.XLOOKUP(B125,'00_SKU_Master'!$B$2:$B$378,'00_SKU_Master'!$D$2:$D$378)</f>
        <v>RWA</v>
      </c>
      <c r="M125" s="138">
        <f t="shared" si="8"/>
        <v>0</v>
      </c>
      <c r="N125" t="str">
        <f>IFERROR(_xlfn.XLOOKUP(B125,'00_SKU_Master'!$B$2:$B$378,'00_SKU_Master'!$E$2:$E$378,""),"")</f>
        <v>SplitBreast</v>
      </c>
      <c r="O125">
        <f>IFERROR(_xlfn.XLOOKUP(B125,'00_SKU_Master'!$B$2:$B$378,'00_SKU_Master'!$F$2:$F$378,0),0)</f>
        <v>7.9639242722696402</v>
      </c>
      <c r="P125">
        <f>IFERROR(_xlfn.XLOOKUP(N125,'00_Yield_Rates'!$B$2:$B$33,'00_Yield_Rates'!$E$2:$E$33,0)/100,0)</f>
        <v>0.43</v>
      </c>
      <c r="Q125">
        <f t="shared" si="9"/>
        <v>0</v>
      </c>
      <c r="R125">
        <f t="shared" si="10"/>
        <v>0</v>
      </c>
      <c r="S125">
        <f t="shared" si="11"/>
        <v>0</v>
      </c>
    </row>
    <row r="126" spans="1:19">
      <c r="A126" s="138" t="str">
        <f>'00_SKU_Master'!J218</f>
        <v>RWA PB PC BM SKLS HB AC PET 3</v>
      </c>
      <c r="B126" s="138">
        <f>'00_SKU_Master'!B218</f>
        <v>7230</v>
      </c>
      <c r="C126" s="165">
        <f>_xlfn.XLOOKUP(B126,'02_TrayPack_Order'!$A$2:$A$265,'02_TrayPack_Order'!$C$2:$C$265)</f>
        <v>0</v>
      </c>
      <c r="D126" s="166">
        <f>_xlfn.XLOOKUP(B126,'02_TrayPack_Order'!$A$2:$A$265,'02_TrayPack_Order'!$L$2:$L$265,0)</f>
        <v>0</v>
      </c>
      <c r="E126" s="165">
        <f>SUMIF('13_Progress_Track'!$A$2:$A$108,B126,'13_Progress_Track'!$E$2:$E$108)</f>
        <v>0</v>
      </c>
      <c r="F126" s="165">
        <f t="shared" si="6"/>
        <v>0</v>
      </c>
      <c r="G126" s="167">
        <f t="shared" si="7"/>
        <v>0</v>
      </c>
      <c r="H126" s="138">
        <f>_xlfn.IFNA(_xlfn.XLOOKUP(B126,'00_SKU_Master'!$B$2:$B$378,'00_SKU_Master'!$C$2:$C$378),"")</f>
        <v>61049</v>
      </c>
      <c r="I126" s="138"/>
      <c r="J126" s="14" t="str">
        <f>_xlfn.IFNA(_xlfn.XLOOKUP(B126,'00_SKU_Master'!B$2:B$378,'00_SKU_Master'!H$2:H$378,0),"")</f>
        <v>PET 3</v>
      </c>
      <c r="K126" s="14" t="str">
        <f>_xlfn.IFNA(_xlfn.XLOOKUP(B126,'00_SKU_Master'!B$2:B$378,'00_SKU_Master'!K$2:K$378,0),"")</f>
        <v>Fast</v>
      </c>
      <c r="L126" s="138" t="str">
        <f>_xlfn.XLOOKUP(B126,'00_SKU_Master'!$B$2:$B$378,'00_SKU_Master'!$D$2:$D$378)</f>
        <v>RWA</v>
      </c>
      <c r="M126" s="138">
        <f t="shared" si="8"/>
        <v>0</v>
      </c>
      <c r="N126" t="str">
        <f>IFERROR(_xlfn.XLOOKUP(B126,'00_SKU_Master'!$B$2:$B$378,'00_SKU_Master'!$E$2:$E$378,""),"")</f>
        <v>SplitBreast</v>
      </c>
      <c r="O126">
        <f>IFERROR(_xlfn.XLOOKUP(B126,'00_SKU_Master'!$B$2:$B$378,'00_SKU_Master'!$F$2:$F$378,0),0)</f>
        <v>7.1660573476702503</v>
      </c>
      <c r="P126">
        <f>IFERROR(_xlfn.XLOOKUP(N126,'00_Yield_Rates'!$B$2:$B$33,'00_Yield_Rates'!$E$2:$E$33,0)/100,0)</f>
        <v>0.43</v>
      </c>
      <c r="Q126">
        <f t="shared" si="9"/>
        <v>0</v>
      </c>
      <c r="R126">
        <f t="shared" si="10"/>
        <v>0</v>
      </c>
      <c r="S126">
        <f t="shared" si="11"/>
        <v>0</v>
      </c>
    </row>
    <row r="127" spans="1:19">
      <c r="A127" s="138" t="str">
        <f>'00_SKU_Master'!J219</f>
        <v>RWA BSHB AC PET 3</v>
      </c>
      <c r="B127" s="138">
        <f>'00_SKU_Master'!B219</f>
        <v>7231</v>
      </c>
      <c r="C127" s="165">
        <f>_xlfn.XLOOKUP(B127,'02_TrayPack_Order'!$A$2:$A$265,'02_TrayPack_Order'!$C$2:$C$265)</f>
        <v>0</v>
      </c>
      <c r="D127" s="166">
        <f>_xlfn.XLOOKUP(B127,'02_TrayPack_Order'!$A$2:$A$265,'02_TrayPack_Order'!$L$2:$L$265,0)</f>
        <v>0</v>
      </c>
      <c r="E127" s="165">
        <f>SUMIF('13_Progress_Track'!$A$2:$A$108,B127,'13_Progress_Track'!$E$2:$E$108)</f>
        <v>0</v>
      </c>
      <c r="F127" s="165">
        <f t="shared" si="6"/>
        <v>0</v>
      </c>
      <c r="G127" s="167">
        <f t="shared" si="7"/>
        <v>0</v>
      </c>
      <c r="H127" s="138">
        <f>_xlfn.IFNA(_xlfn.XLOOKUP(B127,'00_SKU_Master'!$B$2:$B$378,'00_SKU_Master'!$C$2:$C$378),"")</f>
        <v>61051</v>
      </c>
      <c r="I127" s="138"/>
      <c r="J127" s="14" t="str">
        <f>_xlfn.IFNA(_xlfn.XLOOKUP(B127,'00_SKU_Master'!B$2:B$378,'00_SKU_Master'!H$2:H$378,0),"")</f>
        <v>PET 3</v>
      </c>
      <c r="K127" s="14" t="str">
        <f>_xlfn.IFNA(_xlfn.XLOOKUP(B127,'00_SKU_Master'!B$2:B$378,'00_SKU_Master'!K$2:K$378,0),"")</f>
        <v>Fast</v>
      </c>
      <c r="L127" s="138" t="str">
        <f>_xlfn.XLOOKUP(B127,'00_SKU_Master'!$B$2:$B$378,'00_SKU_Master'!$D$2:$D$378)</f>
        <v>RWA</v>
      </c>
      <c r="M127" s="138">
        <f t="shared" si="8"/>
        <v>0</v>
      </c>
      <c r="N127" t="str">
        <f>IFERROR(_xlfn.XLOOKUP(B127,'00_SKU_Master'!$B$2:$B$378,'00_SKU_Master'!$E$2:$E$378,""),"")</f>
        <v>BSB</v>
      </c>
      <c r="O127">
        <f>IFERROR(_xlfn.XLOOKUP(B127,'00_SKU_Master'!$B$2:$B$378,'00_SKU_Master'!$F$2:$F$378,0),0)</f>
        <v>6.5826365969930301</v>
      </c>
      <c r="P127">
        <f>IFERROR(_xlfn.XLOOKUP(N127,'00_Yield_Rates'!$B$2:$B$33,'00_Yield_Rates'!$E$2:$E$33,0)/100,0)</f>
        <v>0.31</v>
      </c>
      <c r="Q127">
        <f t="shared" si="9"/>
        <v>0</v>
      </c>
      <c r="R127">
        <f t="shared" si="10"/>
        <v>0</v>
      </c>
      <c r="S127">
        <f t="shared" si="11"/>
        <v>0</v>
      </c>
    </row>
    <row r="128" spans="1:19">
      <c r="A128" s="138" t="str">
        <f>'00_SKU_Master'!J220</f>
        <v>RWA MS MLF BSHB AC PET 3 CUTLET</v>
      </c>
      <c r="B128" s="138">
        <f>'00_SKU_Master'!B220</f>
        <v>7232</v>
      </c>
      <c r="C128" s="165">
        <f>_xlfn.XLOOKUP(B128,'02_TrayPack_Order'!$A$2:$A$265,'02_TrayPack_Order'!$C$2:$C$265)</f>
        <v>0</v>
      </c>
      <c r="D128" s="166">
        <f>_xlfn.XLOOKUP(B128,'02_TrayPack_Order'!$A$2:$A$265,'02_TrayPack_Order'!$L$2:$L$265,0)</f>
        <v>0</v>
      </c>
      <c r="E128" s="165">
        <f>SUMIF('13_Progress_Track'!$A$2:$A$108,B128,'13_Progress_Track'!$E$2:$E$108)</f>
        <v>0</v>
      </c>
      <c r="F128" s="165">
        <f t="shared" si="6"/>
        <v>0</v>
      </c>
      <c r="G128" s="167">
        <f t="shared" si="7"/>
        <v>0</v>
      </c>
      <c r="H128" s="138">
        <f>_xlfn.IFNA(_xlfn.XLOOKUP(B128,'00_SKU_Master'!$B$2:$B$378,'00_SKU_Master'!$C$2:$C$378),"")</f>
        <v>61069</v>
      </c>
      <c r="I128" s="138"/>
      <c r="J128" s="14" t="str">
        <f>_xlfn.IFNA(_xlfn.XLOOKUP(B128,'00_SKU_Master'!B$2:B$378,'00_SKU_Master'!H$2:H$378,0),"")</f>
        <v>PET 3</v>
      </c>
      <c r="K128" s="14" t="str">
        <f>_xlfn.IFNA(_xlfn.XLOOKUP(B128,'00_SKU_Master'!B$2:B$378,'00_SKU_Master'!K$2:K$378,0),"")</f>
        <v>Fast</v>
      </c>
      <c r="L128" s="138" t="str">
        <f>_xlfn.XLOOKUP(B128,'00_SKU_Master'!$B$2:$B$378,'00_SKU_Master'!$D$2:$D$378)</f>
        <v>RWA</v>
      </c>
      <c r="M128" s="138">
        <f t="shared" si="8"/>
        <v>0</v>
      </c>
      <c r="N128" t="str">
        <f>IFERROR(_xlfn.XLOOKUP(B128,'00_SKU_Master'!$B$2:$B$378,'00_SKU_Master'!$E$2:$E$378,""),"")</f>
        <v>BSB</v>
      </c>
      <c r="O128">
        <f>IFERROR(_xlfn.XLOOKUP(B128,'00_SKU_Master'!$B$2:$B$378,'00_SKU_Master'!$F$2:$F$378,0),0)</f>
        <v>4.3684388055082701</v>
      </c>
      <c r="P128">
        <f>IFERROR(_xlfn.XLOOKUP(N128,'00_Yield_Rates'!$B$2:$B$33,'00_Yield_Rates'!$E$2:$E$33,0)/100,0)</f>
        <v>0.31</v>
      </c>
      <c r="Q128">
        <f t="shared" si="9"/>
        <v>0</v>
      </c>
      <c r="R128">
        <f t="shared" si="10"/>
        <v>0</v>
      </c>
      <c r="S128">
        <f t="shared" si="11"/>
        <v>0</v>
      </c>
    </row>
    <row r="129" spans="1:19">
      <c r="A129" s="138" t="str">
        <f>'00_SKU_Master'!J221</f>
        <v>RWA MS MLF BSHB AC PET 3 PET 3RIPS</v>
      </c>
      <c r="B129" s="138">
        <f>'00_SKU_Master'!B221</f>
        <v>7233</v>
      </c>
      <c r="C129" s="165">
        <f>_xlfn.XLOOKUP(B129,'02_TrayPack_Order'!$A$2:$A$265,'02_TrayPack_Order'!$C$2:$C$265)</f>
        <v>0</v>
      </c>
      <c r="D129" s="166">
        <f>_xlfn.XLOOKUP(B129,'02_TrayPack_Order'!$A$2:$A$265,'02_TrayPack_Order'!$L$2:$L$265,0)</f>
        <v>0</v>
      </c>
      <c r="E129" s="165">
        <f>SUMIF('13_Progress_Track'!$A$2:$A$108,B129,'13_Progress_Track'!$E$2:$E$108)</f>
        <v>0</v>
      </c>
      <c r="F129" s="165">
        <f t="shared" si="6"/>
        <v>0</v>
      </c>
      <c r="G129" s="167">
        <f t="shared" si="7"/>
        <v>0</v>
      </c>
      <c r="H129" s="138">
        <f>_xlfn.IFNA(_xlfn.XLOOKUP(B129,'00_SKU_Master'!$B$2:$B$378,'00_SKU_Master'!$C$2:$C$378),"")</f>
        <v>61070</v>
      </c>
      <c r="I129" s="138"/>
      <c r="J129" s="14" t="str">
        <f>_xlfn.IFNA(_xlfn.XLOOKUP(B129,'00_SKU_Master'!B$2:B$378,'00_SKU_Master'!H$2:H$378,0),"")</f>
        <v>PET 3</v>
      </c>
      <c r="K129" s="14" t="str">
        <f>_xlfn.IFNA(_xlfn.XLOOKUP(B129,'00_SKU_Master'!B$2:B$378,'00_SKU_Master'!K$2:K$378,0),"")</f>
        <v>Fast</v>
      </c>
      <c r="L129" s="138" t="str">
        <f>_xlfn.XLOOKUP(B129,'00_SKU_Master'!$B$2:$B$378,'00_SKU_Master'!$D$2:$D$378)</f>
        <v>RWA</v>
      </c>
      <c r="M129" s="138">
        <f t="shared" si="8"/>
        <v>0</v>
      </c>
      <c r="N129" t="str">
        <f>IFERROR(_xlfn.XLOOKUP(B129,'00_SKU_Master'!$B$2:$B$378,'00_SKU_Master'!$E$2:$E$378,""),"")</f>
        <v>BSB</v>
      </c>
      <c r="O129">
        <f>IFERROR(_xlfn.XLOOKUP(B129,'00_SKU_Master'!$B$2:$B$378,'00_SKU_Master'!$F$2:$F$378,0),0)</f>
        <v>0</v>
      </c>
      <c r="P129">
        <f>IFERROR(_xlfn.XLOOKUP(N129,'00_Yield_Rates'!$B$2:$B$33,'00_Yield_Rates'!$E$2:$E$33,0)/100,0)</f>
        <v>0.31</v>
      </c>
      <c r="Q129">
        <f t="shared" si="9"/>
        <v>0</v>
      </c>
      <c r="R129">
        <f t="shared" si="10"/>
        <v>0</v>
      </c>
      <c r="S129">
        <f t="shared" si="11"/>
        <v>0</v>
      </c>
    </row>
    <row r="130" spans="1:19">
      <c r="A130" s="138" t="str">
        <f>'00_SKU_Master'!J222</f>
        <v>RWA THIGH AC PET 3</v>
      </c>
      <c r="B130" s="138">
        <f>'00_SKU_Master'!B222</f>
        <v>7234</v>
      </c>
      <c r="C130" s="165">
        <f>_xlfn.XLOOKUP(B130,'02_TrayPack_Order'!$A$2:$A$265,'02_TrayPack_Order'!$C$2:$C$265)</f>
        <v>0</v>
      </c>
      <c r="D130" s="166">
        <f>_xlfn.XLOOKUP(B130,'02_TrayPack_Order'!$A$2:$A$265,'02_TrayPack_Order'!$L$2:$L$265,0)</f>
        <v>0</v>
      </c>
      <c r="E130" s="165">
        <f>SUMIF('13_Progress_Track'!$A$2:$A$108,B130,'13_Progress_Track'!$E$2:$E$108)</f>
        <v>0</v>
      </c>
      <c r="F130" s="165">
        <f t="shared" ref="F130:F193" si="12">IF(E130&gt;(C130+D130),(E130-(C130+D130)),0)</f>
        <v>0</v>
      </c>
      <c r="G130" s="167">
        <f t="shared" ref="G130:G193" si="13">IF(F130&gt;0,0,C130+D130-E130)</f>
        <v>0</v>
      </c>
      <c r="H130" s="138">
        <f>_xlfn.IFNA(_xlfn.XLOOKUP(B130,'00_SKU_Master'!$B$2:$B$378,'00_SKU_Master'!$C$2:$C$378),"")</f>
        <v>61079</v>
      </c>
      <c r="I130" s="138"/>
      <c r="J130" s="14" t="str">
        <f>_xlfn.IFNA(_xlfn.XLOOKUP(B130,'00_SKU_Master'!B$2:B$378,'00_SKU_Master'!H$2:H$378,0),"")</f>
        <v>PET 3</v>
      </c>
      <c r="K130" s="14" t="str">
        <f>_xlfn.IFNA(_xlfn.XLOOKUP(B130,'00_SKU_Master'!B$2:B$378,'00_SKU_Master'!K$2:K$378,0),"")</f>
        <v>Fast</v>
      </c>
      <c r="L130" s="138" t="str">
        <f>_xlfn.XLOOKUP(B130,'00_SKU_Master'!$B$2:$B$378,'00_SKU_Master'!$D$2:$D$378)</f>
        <v>RWA</v>
      </c>
      <c r="M130" s="138">
        <f t="shared" ref="M130:M193" si="14">IF((C130-E130)&lt;0,0,C130-E130)</f>
        <v>0</v>
      </c>
      <c r="N130" t="str">
        <f>IFERROR(_xlfn.XLOOKUP(B130,'00_SKU_Master'!$B$2:$B$378,'00_SKU_Master'!$E$2:$E$378,""),"")</f>
        <v>Thigh</v>
      </c>
      <c r="O130">
        <f>IFERROR(_xlfn.XLOOKUP(B130,'00_SKU_Master'!$B$2:$B$378,'00_SKU_Master'!$F$2:$F$378,0),0)</f>
        <v>7.0179593134138498</v>
      </c>
      <c r="P130">
        <f>IFERROR(_xlfn.XLOOKUP(N130,'00_Yield_Rates'!$B$2:$B$33,'00_Yield_Rates'!$E$2:$E$33,0)/100,0)</f>
        <v>0.191</v>
      </c>
      <c r="Q130">
        <f t="shared" ref="Q130:Q193" si="15">IF(AND(ISNUMBER(M130),ISNUMBER(O130)),M130*O130,0)</f>
        <v>0</v>
      </c>
      <c r="R130">
        <f t="shared" ref="R130:R193" si="16">IF(AND(ISNUMBER(Q130),P130&gt;0),Q130/P130,0)</f>
        <v>0</v>
      </c>
      <c r="S130">
        <f t="shared" ref="S130:S193" si="17">IF(R130&gt;0,ROUNDUP(R130/680,1),0)</f>
        <v>0</v>
      </c>
    </row>
    <row r="131" spans="1:19">
      <c r="A131" s="138" t="str">
        <f>'00_SKU_Master'!J223</f>
        <v>RWA BPET 3HIGH AC PET 3</v>
      </c>
      <c r="B131" s="138">
        <f>'00_SKU_Master'!B223</f>
        <v>7235</v>
      </c>
      <c r="C131" s="165">
        <f>_xlfn.XLOOKUP(B131,'02_TrayPack_Order'!$A$2:$A$265,'02_TrayPack_Order'!$C$2:$C$265)</f>
        <v>0</v>
      </c>
      <c r="D131" s="166">
        <f>_xlfn.XLOOKUP(B131,'02_TrayPack_Order'!$A$2:$A$265,'02_TrayPack_Order'!$L$2:$L$265,0)</f>
        <v>0</v>
      </c>
      <c r="E131" s="165">
        <f>SUMIF('13_Progress_Track'!$A$2:$A$108,B131,'13_Progress_Track'!$E$2:$E$108)</f>
        <v>0</v>
      </c>
      <c r="F131" s="165">
        <f t="shared" si="12"/>
        <v>0</v>
      </c>
      <c r="G131" s="167">
        <f t="shared" si="13"/>
        <v>0</v>
      </c>
      <c r="H131" s="138">
        <f>_xlfn.IFNA(_xlfn.XLOOKUP(B131,'00_SKU_Master'!$B$2:$B$378,'00_SKU_Master'!$C$2:$C$378),"")</f>
        <v>61087</v>
      </c>
      <c r="I131" s="138"/>
      <c r="J131" s="14" t="str">
        <f>_xlfn.IFNA(_xlfn.XLOOKUP(B131,'00_SKU_Master'!B$2:B$378,'00_SKU_Master'!H$2:H$378,0),"")</f>
        <v>PET 3</v>
      </c>
      <c r="K131" s="14" t="str">
        <f>_xlfn.IFNA(_xlfn.XLOOKUP(B131,'00_SKU_Master'!B$2:B$378,'00_SKU_Master'!K$2:K$378,0),"")</f>
        <v>Slow</v>
      </c>
      <c r="L131" s="138" t="str">
        <f>_xlfn.XLOOKUP(B131,'00_SKU_Master'!$B$2:$B$378,'00_SKU_Master'!$D$2:$D$378)</f>
        <v>RWA</v>
      </c>
      <c r="M131" s="138">
        <f t="shared" si="14"/>
        <v>0</v>
      </c>
      <c r="N131" t="str">
        <f>IFERROR(_xlfn.XLOOKUP(B131,'00_SKU_Master'!$B$2:$B$378,'00_SKU_Master'!$E$2:$E$378,""),"")</f>
        <v>ThighMeat</v>
      </c>
      <c r="O131">
        <f>IFERROR(_xlfn.XLOOKUP(B131,'00_SKU_Master'!$B$2:$B$378,'00_SKU_Master'!$F$2:$F$378,0),0)</f>
        <v>6.3224613555291302</v>
      </c>
      <c r="P131">
        <f>IFERROR(_xlfn.XLOOKUP(N131,'00_Yield_Rates'!$B$2:$B$33,'00_Yield_Rates'!$E$2:$E$33,0)/100,0)</f>
        <v>0.105</v>
      </c>
      <c r="Q131">
        <f t="shared" si="15"/>
        <v>0</v>
      </c>
      <c r="R131">
        <f t="shared" si="16"/>
        <v>0</v>
      </c>
      <c r="S131">
        <f t="shared" si="17"/>
        <v>0</v>
      </c>
    </row>
    <row r="132" spans="1:19">
      <c r="A132" s="138" t="str">
        <f>'00_SKU_Master'!J224</f>
        <v>RWA DRUM AC PET 3</v>
      </c>
      <c r="B132" s="138">
        <f>'00_SKU_Master'!B224</f>
        <v>7236</v>
      </c>
      <c r="C132" s="165">
        <f>_xlfn.XLOOKUP(B132,'02_TrayPack_Order'!$A$2:$A$265,'02_TrayPack_Order'!$C$2:$C$265)</f>
        <v>0</v>
      </c>
      <c r="D132" s="166">
        <f>_xlfn.XLOOKUP(B132,'02_TrayPack_Order'!$A$2:$A$265,'02_TrayPack_Order'!$L$2:$L$265,0)</f>
        <v>0</v>
      </c>
      <c r="E132" s="165">
        <f>SUMIF('13_Progress_Track'!$A$2:$A$108,B132,'13_Progress_Track'!$E$2:$E$108)</f>
        <v>0</v>
      </c>
      <c r="F132" s="165">
        <f t="shared" si="12"/>
        <v>0</v>
      </c>
      <c r="G132" s="167">
        <f t="shared" si="13"/>
        <v>0</v>
      </c>
      <c r="H132" s="138">
        <f>_xlfn.IFNA(_xlfn.XLOOKUP(B132,'00_SKU_Master'!$B$2:$B$378,'00_SKU_Master'!$C$2:$C$378),"")</f>
        <v>61074</v>
      </c>
      <c r="I132" s="138"/>
      <c r="J132" s="14" t="str">
        <f>_xlfn.IFNA(_xlfn.XLOOKUP(B132,'00_SKU_Master'!B$2:B$378,'00_SKU_Master'!H$2:H$378,0),"")</f>
        <v>PET 3</v>
      </c>
      <c r="K132" s="14" t="str">
        <f>_xlfn.IFNA(_xlfn.XLOOKUP(B132,'00_SKU_Master'!B$2:B$378,'00_SKU_Master'!K$2:K$378,0),"")</f>
        <v>Fast</v>
      </c>
      <c r="L132" s="138" t="str">
        <f>_xlfn.XLOOKUP(B132,'00_SKU_Master'!$B$2:$B$378,'00_SKU_Master'!$D$2:$D$378)</f>
        <v>RWA</v>
      </c>
      <c r="M132" s="138">
        <f t="shared" si="14"/>
        <v>0</v>
      </c>
      <c r="N132" t="str">
        <f>IFERROR(_xlfn.XLOOKUP(B132,'00_SKU_Master'!$B$2:$B$378,'00_SKU_Master'!$E$2:$E$378,""),"")</f>
        <v>Drum</v>
      </c>
      <c r="O132">
        <f>IFERROR(_xlfn.XLOOKUP(B132,'00_SKU_Master'!$B$2:$B$378,'00_SKU_Master'!$F$2:$F$378,0),0)</f>
        <v>6.0213182811361898</v>
      </c>
      <c r="P132">
        <f>IFERROR(_xlfn.XLOOKUP(N132,'00_Yield_Rates'!$B$2:$B$33,'00_Yield_Rates'!$E$2:$E$33,0)/100,0)</f>
        <v>0.128</v>
      </c>
      <c r="Q132">
        <f t="shared" si="15"/>
        <v>0</v>
      </c>
      <c r="R132">
        <f t="shared" si="16"/>
        <v>0</v>
      </c>
      <c r="S132">
        <f t="shared" si="17"/>
        <v>0</v>
      </c>
    </row>
    <row r="133" spans="1:19">
      <c r="A133" s="138" t="str">
        <f>'00_SKU_Master'!J225</f>
        <v>RWA SKLS DRUM AC ST</v>
      </c>
      <c r="B133" s="138">
        <f>'00_SKU_Master'!B225</f>
        <v>7237</v>
      </c>
      <c r="C133" s="165">
        <f>_xlfn.XLOOKUP(B133,'02_TrayPack_Order'!$A$2:$A$265,'02_TrayPack_Order'!$C$2:$C$265)</f>
        <v>0</v>
      </c>
      <c r="D133" s="166">
        <f>_xlfn.XLOOKUP(B133,'02_TrayPack_Order'!$A$2:$A$265,'02_TrayPack_Order'!$L$2:$L$265,0)</f>
        <v>0</v>
      </c>
      <c r="E133" s="165">
        <f>SUMIF('13_Progress_Track'!$A$2:$A$108,B133,'13_Progress_Track'!$E$2:$E$108)</f>
        <v>0</v>
      </c>
      <c r="F133" s="165">
        <f t="shared" si="12"/>
        <v>0</v>
      </c>
      <c r="G133" s="167">
        <f t="shared" si="13"/>
        <v>0</v>
      </c>
      <c r="H133" s="138">
        <f>_xlfn.IFNA(_xlfn.XLOOKUP(B133,'00_SKU_Master'!$B$2:$B$378,'00_SKU_Master'!$C$2:$C$378),"")</f>
        <v>61071</v>
      </c>
      <c r="I133" s="138"/>
      <c r="J133" s="14" t="str">
        <f>_xlfn.IFNA(_xlfn.XLOOKUP(B133,'00_SKU_Master'!B$2:B$378,'00_SKU_Master'!H$2:H$378,0),"")</f>
        <v>ST 2HP</v>
      </c>
      <c r="K133" s="14" t="str">
        <f>_xlfn.IFNA(_xlfn.XLOOKUP(B133,'00_SKU_Master'!B$2:B$378,'00_SKU_Master'!K$2:K$378,0),"")</f>
        <v>Fast</v>
      </c>
      <c r="L133" s="138" t="str">
        <f>_xlfn.XLOOKUP(B133,'00_SKU_Master'!$B$2:$B$378,'00_SKU_Master'!$D$2:$D$378)</f>
        <v>RWA</v>
      </c>
      <c r="M133" s="138">
        <f t="shared" si="14"/>
        <v>0</v>
      </c>
      <c r="N133" t="str">
        <f>IFERROR(_xlfn.XLOOKUP(B133,'00_SKU_Master'!$B$2:$B$378,'00_SKU_Master'!$E$2:$E$378,""),"")</f>
        <v>Drum</v>
      </c>
      <c r="O133">
        <f>IFERROR(_xlfn.XLOOKUP(B133,'00_SKU_Master'!$B$2:$B$378,'00_SKU_Master'!$F$2:$F$378,0),0)</f>
        <v>0</v>
      </c>
      <c r="P133">
        <f>IFERROR(_xlfn.XLOOKUP(N133,'00_Yield_Rates'!$B$2:$B$33,'00_Yield_Rates'!$E$2:$E$33,0)/100,0)</f>
        <v>0.128</v>
      </c>
      <c r="Q133">
        <f t="shared" si="15"/>
        <v>0</v>
      </c>
      <c r="R133">
        <f t="shared" si="16"/>
        <v>0</v>
      </c>
      <c r="S133">
        <f t="shared" si="17"/>
        <v>0</v>
      </c>
    </row>
    <row r="134" spans="1:19">
      <c r="A134" s="138" t="str">
        <f>'00_SKU_Master'!J226</f>
        <v>RWA SPL WING AC PET 3</v>
      </c>
      <c r="B134" s="138">
        <f>'00_SKU_Master'!B226</f>
        <v>7238</v>
      </c>
      <c r="C134" s="165">
        <f>_xlfn.XLOOKUP(B134,'02_TrayPack_Order'!$A$2:$A$265,'02_TrayPack_Order'!$C$2:$C$265)</f>
        <v>0</v>
      </c>
      <c r="D134" s="166">
        <f>_xlfn.XLOOKUP(B134,'02_TrayPack_Order'!$A$2:$A$265,'02_TrayPack_Order'!$L$2:$L$265,0)</f>
        <v>0</v>
      </c>
      <c r="E134" s="165">
        <f>SUMIF('13_Progress_Track'!$A$2:$A$108,B134,'13_Progress_Track'!$E$2:$E$108)</f>
        <v>0</v>
      </c>
      <c r="F134" s="165">
        <f t="shared" si="12"/>
        <v>0</v>
      </c>
      <c r="G134" s="167">
        <f t="shared" si="13"/>
        <v>0</v>
      </c>
      <c r="H134" s="138">
        <f>_xlfn.IFNA(_xlfn.XLOOKUP(B134,'00_SKU_Master'!$B$2:$B$378,'00_SKU_Master'!$C$2:$C$378),"")</f>
        <v>61016</v>
      </c>
      <c r="I134" s="138"/>
      <c r="J134" s="14" t="str">
        <f>_xlfn.IFNA(_xlfn.XLOOKUP(B134,'00_SKU_Master'!B$2:B$378,'00_SKU_Master'!H$2:H$378,0),"")</f>
        <v>PET 3</v>
      </c>
      <c r="K134" s="14" t="str">
        <f>_xlfn.IFNA(_xlfn.XLOOKUP(B134,'00_SKU_Master'!B$2:B$378,'00_SKU_Master'!K$2:K$378,0),"")</f>
        <v>Slow</v>
      </c>
      <c r="L134" s="138" t="str">
        <f>_xlfn.XLOOKUP(B134,'00_SKU_Master'!$B$2:$B$378,'00_SKU_Master'!$D$2:$D$378)</f>
        <v>RWA</v>
      </c>
      <c r="M134" s="138">
        <f t="shared" si="14"/>
        <v>0</v>
      </c>
      <c r="N134" t="str">
        <f>IFERROR(_xlfn.XLOOKUP(B134,'00_SKU_Master'!$B$2:$B$378,'00_SKU_Master'!$E$2:$E$378,""),"")</f>
        <v>SplitWing</v>
      </c>
      <c r="O134">
        <f>IFERROR(_xlfn.XLOOKUP(B134,'00_SKU_Master'!$B$2:$B$378,'00_SKU_Master'!$F$2:$F$378,0),0)</f>
        <v>0</v>
      </c>
      <c r="P134">
        <f>IFERROR(_xlfn.XLOOKUP(N134,'00_Yield_Rates'!$B$2:$B$33,'00_Yield_Rates'!$E$2:$E$33,0)/100,0)</f>
        <v>9.6000000000000002E-2</v>
      </c>
      <c r="Q134">
        <f t="shared" si="15"/>
        <v>0</v>
      </c>
      <c r="R134">
        <f t="shared" si="16"/>
        <v>0</v>
      </c>
      <c r="S134">
        <f t="shared" si="17"/>
        <v>0</v>
      </c>
    </row>
    <row r="135" spans="1:19">
      <c r="A135" s="138" t="str">
        <f>'00_SKU_Master'!J227</f>
        <v>RWA FRY WOG AC TI PET</v>
      </c>
      <c r="B135" s="138">
        <f>'00_SKU_Master'!B227</f>
        <v>7239</v>
      </c>
      <c r="C135" s="165">
        <f>_xlfn.XLOOKUP(B135,'02_TrayPack_Order'!$A$2:$A$265,'02_TrayPack_Order'!$C$2:$C$265)</f>
        <v>0</v>
      </c>
      <c r="D135" s="166">
        <f>_xlfn.XLOOKUP(B135,'02_TrayPack_Order'!$A$2:$A$265,'02_TrayPack_Order'!$L$2:$L$265,0)</f>
        <v>0</v>
      </c>
      <c r="E135" s="165">
        <f>SUMIF('13_Progress_Track'!$A$2:$A$108,B135,'13_Progress_Track'!$E$2:$E$108)</f>
        <v>0</v>
      </c>
      <c r="F135" s="165">
        <f t="shared" si="12"/>
        <v>0</v>
      </c>
      <c r="G135" s="167">
        <f t="shared" si="13"/>
        <v>0</v>
      </c>
      <c r="H135" s="138">
        <f>_xlfn.IFNA(_xlfn.XLOOKUP(B135,'00_SKU_Master'!$B$2:$B$378,'00_SKU_Master'!$C$2:$C$378),"")</f>
        <v>203151</v>
      </c>
      <c r="I135" s="138"/>
      <c r="J135" s="14" t="str">
        <f>_xlfn.IFNA(_xlfn.XLOOKUP(B135,'00_SKU_Master'!B$2:B$378,'00_SKU_Master'!H$2:H$378,0),"")</f>
        <v>PET 3</v>
      </c>
      <c r="K135" s="14" t="str">
        <f>_xlfn.IFNA(_xlfn.XLOOKUP(B135,'00_SKU_Master'!B$2:B$378,'00_SKU_Master'!K$2:K$378,0),"")</f>
        <v>Fast</v>
      </c>
      <c r="L135" s="138" t="str">
        <f>_xlfn.XLOOKUP(B135,'00_SKU_Master'!$B$2:$B$378,'00_SKU_Master'!$D$2:$D$378)</f>
        <v>RWA</v>
      </c>
      <c r="M135" s="138">
        <f t="shared" si="14"/>
        <v>0</v>
      </c>
      <c r="N135" t="str">
        <f>IFERROR(_xlfn.XLOOKUP(B135,'00_SKU_Master'!$B$2:$B$378,'00_SKU_Master'!$E$2:$E$378,""),"")</f>
        <v>Whole Bird-Small</v>
      </c>
      <c r="O135">
        <f>IFERROR(_xlfn.XLOOKUP(B135,'00_SKU_Master'!$B$2:$B$378,'00_SKU_Master'!$F$2:$F$378,0),0)</f>
        <v>8.7825141015310209</v>
      </c>
      <c r="P135">
        <f>IFERROR(_xlfn.XLOOKUP(N135,'00_Yield_Rates'!$B$2:$B$33,'00_Yield_Rates'!$E$2:$E$33,0)/100,0)</f>
        <v>0</v>
      </c>
      <c r="Q135">
        <f t="shared" si="15"/>
        <v>0</v>
      </c>
      <c r="R135">
        <f t="shared" si="16"/>
        <v>0</v>
      </c>
      <c r="S135">
        <f t="shared" si="17"/>
        <v>0</v>
      </c>
    </row>
    <row r="136" spans="1:19">
      <c r="A136" s="138" t="str">
        <f>'00_SKU_Master'!J228</f>
        <v>RWA BSHB AC PET 8</v>
      </c>
      <c r="B136" s="138">
        <f>'00_SKU_Master'!B228</f>
        <v>7240</v>
      </c>
      <c r="C136" s="165">
        <f>_xlfn.XLOOKUP(B136,'02_TrayPack_Order'!$A$2:$A$265,'02_TrayPack_Order'!$C$2:$C$265)</f>
        <v>0</v>
      </c>
      <c r="D136" s="166">
        <f>_xlfn.XLOOKUP(B136,'02_TrayPack_Order'!$A$2:$A$265,'02_TrayPack_Order'!$L$2:$L$265,0)</f>
        <v>0</v>
      </c>
      <c r="E136" s="165">
        <f>SUMIF('13_Progress_Track'!$A$2:$A$108,B136,'13_Progress_Track'!$E$2:$E$108)</f>
        <v>0</v>
      </c>
      <c r="F136" s="165">
        <f t="shared" si="12"/>
        <v>0</v>
      </c>
      <c r="G136" s="167">
        <f t="shared" si="13"/>
        <v>0</v>
      </c>
      <c r="H136" s="138">
        <f>_xlfn.IFNA(_xlfn.XLOOKUP(B136,'00_SKU_Master'!$B$2:$B$378,'00_SKU_Master'!$C$2:$C$378),"")</f>
        <v>61051</v>
      </c>
      <c r="I136" s="138"/>
      <c r="J136" s="14" t="str">
        <f>_xlfn.IFNA(_xlfn.XLOOKUP(B136,'00_SKU_Master'!B$2:B$378,'00_SKU_Master'!H$2:H$378,0),"")</f>
        <v>PET 8</v>
      </c>
      <c r="K136" s="14" t="str">
        <f>_xlfn.IFNA(_xlfn.XLOOKUP(B136,'00_SKU_Master'!B$2:B$378,'00_SKU_Master'!K$2:K$378,0),"")</f>
        <v>Fast</v>
      </c>
      <c r="L136" s="138" t="str">
        <f>_xlfn.XLOOKUP(B136,'00_SKU_Master'!$B$2:$B$378,'00_SKU_Master'!$D$2:$D$378)</f>
        <v>RWA</v>
      </c>
      <c r="M136" s="138">
        <f t="shared" si="14"/>
        <v>0</v>
      </c>
      <c r="N136" t="str">
        <f>IFERROR(_xlfn.XLOOKUP(B136,'00_SKU_Master'!$B$2:$B$378,'00_SKU_Master'!$E$2:$E$378,""),"")</f>
        <v>BSB</v>
      </c>
      <c r="O136">
        <f>IFERROR(_xlfn.XLOOKUP(B136,'00_SKU_Master'!$B$2:$B$378,'00_SKU_Master'!$F$2:$F$378,0),0)</f>
        <v>8.5324096692111908</v>
      </c>
      <c r="P136">
        <f>IFERROR(_xlfn.XLOOKUP(N136,'00_Yield_Rates'!$B$2:$B$33,'00_Yield_Rates'!$E$2:$E$33,0)/100,0)</f>
        <v>0.31</v>
      </c>
      <c r="Q136">
        <f t="shared" si="15"/>
        <v>0</v>
      </c>
      <c r="R136">
        <f t="shared" si="16"/>
        <v>0</v>
      </c>
      <c r="S136">
        <f t="shared" si="17"/>
        <v>0</v>
      </c>
    </row>
    <row r="137" spans="1:19">
      <c r="A137" s="138" t="str">
        <f>'00_SKU_Master'!J229</f>
        <v>RWA BSTHIGH AC PET 8</v>
      </c>
      <c r="B137" s="138">
        <f>'00_SKU_Master'!B229</f>
        <v>7241</v>
      </c>
      <c r="C137" s="165">
        <f>_xlfn.XLOOKUP(B137,'02_TrayPack_Order'!$A$2:$A$265,'02_TrayPack_Order'!$C$2:$C$265)</f>
        <v>0</v>
      </c>
      <c r="D137" s="166">
        <f>_xlfn.XLOOKUP(B137,'02_TrayPack_Order'!$A$2:$A$265,'02_TrayPack_Order'!$L$2:$L$265,0)</f>
        <v>0</v>
      </c>
      <c r="E137" s="165">
        <f>SUMIF('13_Progress_Track'!$A$2:$A$108,B137,'13_Progress_Track'!$E$2:$E$108)</f>
        <v>0</v>
      </c>
      <c r="F137" s="165">
        <f t="shared" si="12"/>
        <v>0</v>
      </c>
      <c r="G137" s="167">
        <f t="shared" si="13"/>
        <v>0</v>
      </c>
      <c r="H137" s="138">
        <f>_xlfn.IFNA(_xlfn.XLOOKUP(B137,'00_SKU_Master'!$B$2:$B$378,'00_SKU_Master'!$C$2:$C$378),"")</f>
        <v>61087</v>
      </c>
      <c r="I137" s="138"/>
      <c r="J137" s="14" t="str">
        <f>_xlfn.IFNA(_xlfn.XLOOKUP(B137,'00_SKU_Master'!B$2:B$378,'00_SKU_Master'!H$2:H$378,0),"")</f>
        <v>PET 8</v>
      </c>
      <c r="K137" s="14" t="str">
        <f>_xlfn.IFNA(_xlfn.XLOOKUP(B137,'00_SKU_Master'!B$2:B$378,'00_SKU_Master'!K$2:K$378,0),"")</f>
        <v>Slow</v>
      </c>
      <c r="L137" s="138" t="str">
        <f>_xlfn.XLOOKUP(B137,'00_SKU_Master'!$B$2:$B$378,'00_SKU_Master'!$D$2:$D$378)</f>
        <v>RWA</v>
      </c>
      <c r="M137" s="138">
        <f t="shared" si="14"/>
        <v>0</v>
      </c>
      <c r="N137" t="str">
        <f>IFERROR(_xlfn.XLOOKUP(B137,'00_SKU_Master'!$B$2:$B$378,'00_SKU_Master'!$E$2:$E$378,""),"")</f>
        <v>ThighMeat</v>
      </c>
      <c r="O137">
        <f>IFERROR(_xlfn.XLOOKUP(B137,'00_SKU_Master'!$B$2:$B$378,'00_SKU_Master'!$F$2:$F$378,0),0)</f>
        <v>9.6722420115243501</v>
      </c>
      <c r="P137">
        <f>IFERROR(_xlfn.XLOOKUP(N137,'00_Yield_Rates'!$B$2:$B$33,'00_Yield_Rates'!$E$2:$E$33,0)/100,0)</f>
        <v>0.105</v>
      </c>
      <c r="Q137">
        <f t="shared" si="15"/>
        <v>0</v>
      </c>
      <c r="R137">
        <f t="shared" si="16"/>
        <v>0</v>
      </c>
      <c r="S137">
        <f t="shared" si="17"/>
        <v>0</v>
      </c>
    </row>
    <row r="138" spans="1:19">
      <c r="A138" s="138" t="str">
        <f>'00_SKU_Master'!J230</f>
        <v>RWA SPL WING AC PET 8</v>
      </c>
      <c r="B138" s="138">
        <f>'00_SKU_Master'!B230</f>
        <v>7242</v>
      </c>
      <c r="C138" s="165">
        <f>_xlfn.XLOOKUP(B138,'02_TrayPack_Order'!$A$2:$A$265,'02_TrayPack_Order'!$C$2:$C$265)</f>
        <v>0</v>
      </c>
      <c r="D138" s="166">
        <f>_xlfn.XLOOKUP(B138,'02_TrayPack_Order'!$A$2:$A$265,'02_TrayPack_Order'!$L$2:$L$265,0)</f>
        <v>0</v>
      </c>
      <c r="E138" s="165">
        <f>SUMIF('13_Progress_Track'!$A$2:$A$108,B138,'13_Progress_Track'!$E$2:$E$108)</f>
        <v>0</v>
      </c>
      <c r="F138" s="165">
        <f t="shared" si="12"/>
        <v>0</v>
      </c>
      <c r="G138" s="167">
        <f t="shared" si="13"/>
        <v>0</v>
      </c>
      <c r="H138" s="138">
        <f>_xlfn.IFNA(_xlfn.XLOOKUP(B138,'00_SKU_Master'!$B$2:$B$378,'00_SKU_Master'!$C$2:$C$378),"")</f>
        <v>61016</v>
      </c>
      <c r="I138" s="138"/>
      <c r="J138" s="14" t="str">
        <f>_xlfn.IFNA(_xlfn.XLOOKUP(B138,'00_SKU_Master'!B$2:B$378,'00_SKU_Master'!H$2:H$378,0),"")</f>
        <v>PET 8</v>
      </c>
      <c r="K138" s="14" t="str">
        <f>_xlfn.IFNA(_xlfn.XLOOKUP(B138,'00_SKU_Master'!B$2:B$378,'00_SKU_Master'!K$2:K$378,0),"")</f>
        <v>Slow</v>
      </c>
      <c r="L138" s="138" t="str">
        <f>_xlfn.XLOOKUP(B138,'00_SKU_Master'!$B$2:$B$378,'00_SKU_Master'!$D$2:$D$378)</f>
        <v>RWA</v>
      </c>
      <c r="M138" s="138">
        <f t="shared" si="14"/>
        <v>0</v>
      </c>
      <c r="N138" t="str">
        <f>IFERROR(_xlfn.XLOOKUP(B138,'00_SKU_Master'!$B$2:$B$378,'00_SKU_Master'!$E$2:$E$378,""),"")</f>
        <v>SplitWing</v>
      </c>
      <c r="O138">
        <f>IFERROR(_xlfn.XLOOKUP(B138,'00_SKU_Master'!$B$2:$B$378,'00_SKU_Master'!$F$2:$F$378,0),0)</f>
        <v>8.3301528551151804</v>
      </c>
      <c r="P138">
        <f>IFERROR(_xlfn.XLOOKUP(N138,'00_Yield_Rates'!$B$2:$B$33,'00_Yield_Rates'!$E$2:$E$33,0)/100,0)</f>
        <v>9.6000000000000002E-2</v>
      </c>
      <c r="Q138">
        <f t="shared" si="15"/>
        <v>0</v>
      </c>
      <c r="R138">
        <f t="shared" si="16"/>
        <v>0</v>
      </c>
      <c r="S138">
        <f t="shared" si="17"/>
        <v>0</v>
      </c>
    </row>
    <row r="139" spans="1:19">
      <c r="A139" s="138" t="str">
        <f>'00_SKU_Master'!J231</f>
        <v>RWA DRUM AC ST</v>
      </c>
      <c r="B139" s="138">
        <f>'00_SKU_Master'!B231</f>
        <v>7245</v>
      </c>
      <c r="C139" s="165">
        <f>_xlfn.XLOOKUP(B139,'02_TrayPack_Order'!$A$2:$A$265,'02_TrayPack_Order'!$C$2:$C$265)</f>
        <v>0</v>
      </c>
      <c r="D139" s="166">
        <f>_xlfn.XLOOKUP(B139,'02_TrayPack_Order'!$A$2:$A$265,'02_TrayPack_Order'!$L$2:$L$265,0)</f>
        <v>0</v>
      </c>
      <c r="E139" s="165">
        <f>SUMIF('13_Progress_Track'!$A$2:$A$108,B139,'13_Progress_Track'!$E$2:$E$108)</f>
        <v>0</v>
      </c>
      <c r="F139" s="165">
        <f t="shared" si="12"/>
        <v>0</v>
      </c>
      <c r="G139" s="167">
        <f t="shared" si="13"/>
        <v>0</v>
      </c>
      <c r="H139" s="138">
        <f>_xlfn.IFNA(_xlfn.XLOOKUP(B139,'00_SKU_Master'!$B$2:$B$378,'00_SKU_Master'!$C$2:$C$378),"")</f>
        <v>61074</v>
      </c>
      <c r="I139" s="138"/>
      <c r="J139" s="14" t="str">
        <f>_xlfn.IFNA(_xlfn.XLOOKUP(B139,'00_SKU_Master'!B$2:B$378,'00_SKU_Master'!H$2:H$378,0),"")</f>
        <v>ST 2HP</v>
      </c>
      <c r="K139" s="14" t="str">
        <f>_xlfn.IFNA(_xlfn.XLOOKUP(B139,'00_SKU_Master'!B$2:B$378,'00_SKU_Master'!K$2:K$378,0),"")</f>
        <v>Fast</v>
      </c>
      <c r="L139" s="138" t="str">
        <f>_xlfn.XLOOKUP(B139,'00_SKU_Master'!$B$2:$B$378,'00_SKU_Master'!$D$2:$D$378)</f>
        <v>RWA</v>
      </c>
      <c r="M139" s="138">
        <f t="shared" si="14"/>
        <v>0</v>
      </c>
      <c r="N139" t="str">
        <f>IFERROR(_xlfn.XLOOKUP(B139,'00_SKU_Master'!$B$2:$B$378,'00_SKU_Master'!$E$2:$E$378,""),"")</f>
        <v>Drum</v>
      </c>
      <c r="O139">
        <f>IFERROR(_xlfn.XLOOKUP(B139,'00_SKU_Master'!$B$2:$B$378,'00_SKU_Master'!$F$2:$F$378,0),0)</f>
        <v>0</v>
      </c>
      <c r="P139">
        <f>IFERROR(_xlfn.XLOOKUP(N139,'00_Yield_Rates'!$B$2:$B$33,'00_Yield_Rates'!$E$2:$E$33,0)/100,0)</f>
        <v>0.128</v>
      </c>
      <c r="Q139">
        <f t="shared" si="15"/>
        <v>0</v>
      </c>
      <c r="R139">
        <f t="shared" si="16"/>
        <v>0</v>
      </c>
      <c r="S139">
        <f t="shared" si="17"/>
        <v>0</v>
      </c>
    </row>
    <row r="140" spans="1:19">
      <c r="A140" s="138" t="str">
        <f>'00_SKU_Master'!J232</f>
        <v>RWA DRUM AC ST</v>
      </c>
      <c r="B140" s="138">
        <f>'00_SKU_Master'!B232</f>
        <v>7246</v>
      </c>
      <c r="C140" s="165">
        <f>_xlfn.XLOOKUP(B140,'02_TrayPack_Order'!$A$2:$A$265,'02_TrayPack_Order'!$C$2:$C$265)</f>
        <v>0</v>
      </c>
      <c r="D140" s="166">
        <f>_xlfn.XLOOKUP(B140,'02_TrayPack_Order'!$A$2:$A$265,'02_TrayPack_Order'!$L$2:$L$265,0)</f>
        <v>0</v>
      </c>
      <c r="E140" s="165">
        <f>SUMIF('13_Progress_Track'!$A$2:$A$108,B140,'13_Progress_Track'!$E$2:$E$108)</f>
        <v>0</v>
      </c>
      <c r="F140" s="165">
        <f t="shared" si="12"/>
        <v>0</v>
      </c>
      <c r="G140" s="167">
        <f t="shared" si="13"/>
        <v>0</v>
      </c>
      <c r="H140" s="138">
        <f>_xlfn.IFNA(_xlfn.XLOOKUP(B140,'00_SKU_Master'!$B$2:$B$378,'00_SKU_Master'!$C$2:$C$378),"")</f>
        <v>61051</v>
      </c>
      <c r="I140" s="138"/>
      <c r="J140" s="14" t="str">
        <f>_xlfn.IFNA(_xlfn.XLOOKUP(B140,'00_SKU_Master'!B$2:B$378,'00_SKU_Master'!H$2:H$378,0),"")</f>
        <v>ST 2HP</v>
      </c>
      <c r="K140" s="14" t="str">
        <f>_xlfn.IFNA(_xlfn.XLOOKUP(B140,'00_SKU_Master'!B$2:B$378,'00_SKU_Master'!K$2:K$378,0),"")</f>
        <v>Fast</v>
      </c>
      <c r="L140" s="138" t="str">
        <f>_xlfn.XLOOKUP(B140,'00_SKU_Master'!$B$2:$B$378,'00_SKU_Master'!$D$2:$D$378)</f>
        <v>RWA</v>
      </c>
      <c r="M140" s="138">
        <f t="shared" si="14"/>
        <v>0</v>
      </c>
      <c r="N140" t="str">
        <f>IFERROR(_xlfn.XLOOKUP(B140,'00_SKU_Master'!$B$2:$B$378,'00_SKU_Master'!$E$2:$E$378,""),"")</f>
        <v>Drum</v>
      </c>
      <c r="O140">
        <f>IFERROR(_xlfn.XLOOKUP(B140,'00_SKU_Master'!$B$2:$B$378,'00_SKU_Master'!$F$2:$F$378,0),0)</f>
        <v>0</v>
      </c>
      <c r="P140">
        <f>IFERROR(_xlfn.XLOOKUP(N140,'00_Yield_Rates'!$B$2:$B$33,'00_Yield_Rates'!$E$2:$E$33,0)/100,0)</f>
        <v>0.128</v>
      </c>
      <c r="Q140">
        <f t="shared" si="15"/>
        <v>0</v>
      </c>
      <c r="R140">
        <f t="shared" si="16"/>
        <v>0</v>
      </c>
      <c r="S140">
        <f t="shared" si="17"/>
        <v>0</v>
      </c>
    </row>
    <row r="141" spans="1:19">
      <c r="A141" s="138" t="str">
        <f>'00_SKU_Master'!J233</f>
        <v>RWA FRY WOG AC TI PET</v>
      </c>
      <c r="B141" s="138">
        <f>'00_SKU_Master'!B233</f>
        <v>7247</v>
      </c>
      <c r="C141" s="165">
        <f>_xlfn.XLOOKUP(B141,'02_TrayPack_Order'!$A$2:$A$265,'02_TrayPack_Order'!$C$2:$C$265)</f>
        <v>0</v>
      </c>
      <c r="D141" s="166">
        <f>_xlfn.XLOOKUP(B141,'02_TrayPack_Order'!$A$2:$A$265,'02_TrayPack_Order'!$L$2:$L$265,0)</f>
        <v>0</v>
      </c>
      <c r="E141" s="165">
        <f>SUMIF('13_Progress_Track'!$A$2:$A$108,B141,'13_Progress_Track'!$E$2:$E$108)</f>
        <v>0</v>
      </c>
      <c r="F141" s="165">
        <f t="shared" si="12"/>
        <v>0</v>
      </c>
      <c r="G141" s="167">
        <f t="shared" si="13"/>
        <v>0</v>
      </c>
      <c r="H141" s="138">
        <f>_xlfn.IFNA(_xlfn.XLOOKUP(B141,'00_SKU_Master'!$B$2:$B$378,'00_SKU_Master'!$C$2:$C$378),"")</f>
        <v>203151</v>
      </c>
      <c r="I141" s="138"/>
      <c r="J141" s="14" t="str">
        <f>_xlfn.IFNA(_xlfn.XLOOKUP(B141,'00_SKU_Master'!B$2:B$378,'00_SKU_Master'!H$2:H$378,0),"")</f>
        <v>ST 3XP</v>
      </c>
      <c r="K141" s="14" t="str">
        <f>_xlfn.IFNA(_xlfn.XLOOKUP(B141,'00_SKU_Master'!B$2:B$378,'00_SKU_Master'!K$2:K$378,0),"")</f>
        <v>Fast</v>
      </c>
      <c r="L141" s="138" t="str">
        <f>_xlfn.XLOOKUP(B141,'00_SKU_Master'!$B$2:$B$378,'00_SKU_Master'!$D$2:$D$378)</f>
        <v>RWA</v>
      </c>
      <c r="M141" s="138">
        <f t="shared" si="14"/>
        <v>0</v>
      </c>
      <c r="N141" t="str">
        <f>IFERROR(_xlfn.XLOOKUP(B141,'00_SKU_Master'!$B$2:$B$378,'00_SKU_Master'!$E$2:$E$378,""),"")</f>
        <v>Whole Bird-Small</v>
      </c>
      <c r="O141">
        <f>IFERROR(_xlfn.XLOOKUP(B141,'00_SKU_Master'!$B$2:$B$378,'00_SKU_Master'!$F$2:$F$378,0),0)</f>
        <v>0</v>
      </c>
      <c r="P141">
        <f>IFERROR(_xlfn.XLOOKUP(N141,'00_Yield_Rates'!$B$2:$B$33,'00_Yield_Rates'!$E$2:$E$33,0)/100,0)</f>
        <v>0</v>
      </c>
      <c r="Q141">
        <f t="shared" si="15"/>
        <v>0</v>
      </c>
      <c r="R141">
        <f t="shared" si="16"/>
        <v>0</v>
      </c>
      <c r="S141">
        <f t="shared" si="17"/>
        <v>0</v>
      </c>
    </row>
    <row r="142" spans="1:19">
      <c r="A142" s="138" t="str">
        <f>'00_SKU_Master'!J234</f>
        <v>RWA BSTHIGH AC CLUB</v>
      </c>
      <c r="B142" s="138">
        <f>'00_SKU_Master'!B234</f>
        <v>7248</v>
      </c>
      <c r="C142" s="165">
        <f>_xlfn.XLOOKUP(B142,'02_TrayPack_Order'!$A$2:$A$265,'02_TrayPack_Order'!$C$2:$C$265)</f>
        <v>0</v>
      </c>
      <c r="D142" s="166">
        <f>_xlfn.XLOOKUP(B142,'02_TrayPack_Order'!$A$2:$A$265,'02_TrayPack_Order'!$L$2:$L$265,0)</f>
        <v>0</v>
      </c>
      <c r="E142" s="165">
        <f>SUMIF('13_Progress_Track'!$A$2:$A$108,B142,'13_Progress_Track'!$E$2:$E$108)</f>
        <v>0</v>
      </c>
      <c r="F142" s="165">
        <f t="shared" si="12"/>
        <v>0</v>
      </c>
      <c r="G142" s="167">
        <f t="shared" si="13"/>
        <v>0</v>
      </c>
      <c r="H142" s="138">
        <f>_xlfn.IFNA(_xlfn.XLOOKUP(B142,'00_SKU_Master'!$B$2:$B$378,'00_SKU_Master'!$C$2:$C$378),"")</f>
        <v>61087</v>
      </c>
      <c r="I142" s="138"/>
      <c r="J142" s="14" t="str">
        <f>_xlfn.IFNA(_xlfn.XLOOKUP(B142,'00_SKU_Master'!B$2:B$378,'00_SKU_Master'!H$2:H$378,0),"")</f>
        <v>LT 8XP</v>
      </c>
      <c r="K142" s="14" t="str">
        <f>_xlfn.IFNA(_xlfn.XLOOKUP(B142,'00_SKU_Master'!B$2:B$378,'00_SKU_Master'!K$2:K$378,0),"")</f>
        <v>Slow</v>
      </c>
      <c r="L142" s="138" t="str">
        <f>_xlfn.XLOOKUP(B142,'00_SKU_Master'!$B$2:$B$378,'00_SKU_Master'!$D$2:$D$378)</f>
        <v>RWA</v>
      </c>
      <c r="M142" s="138">
        <f t="shared" si="14"/>
        <v>0</v>
      </c>
      <c r="N142" t="str">
        <f>IFERROR(_xlfn.XLOOKUP(B142,'00_SKU_Master'!$B$2:$B$378,'00_SKU_Master'!$E$2:$E$378,""),"")</f>
        <v>ThighMeat</v>
      </c>
      <c r="O142">
        <f>IFERROR(_xlfn.XLOOKUP(B142,'00_SKU_Master'!$B$2:$B$378,'00_SKU_Master'!$F$2:$F$378,0),0)</f>
        <v>0</v>
      </c>
      <c r="P142">
        <f>IFERROR(_xlfn.XLOOKUP(N142,'00_Yield_Rates'!$B$2:$B$33,'00_Yield_Rates'!$E$2:$E$33,0)/100,0)</f>
        <v>0.105</v>
      </c>
      <c r="Q142">
        <f t="shared" si="15"/>
        <v>0</v>
      </c>
      <c r="R142">
        <f t="shared" si="16"/>
        <v>0</v>
      </c>
      <c r="S142">
        <f t="shared" si="17"/>
        <v>0</v>
      </c>
    </row>
    <row r="143" spans="1:19">
      <c r="A143" s="138" t="str">
        <f>'00_SKU_Master'!J235</f>
        <v>RWA SPL WING AC CLUB</v>
      </c>
      <c r="B143" s="138">
        <f>'00_SKU_Master'!B235</f>
        <v>7249</v>
      </c>
      <c r="C143" s="165">
        <f>_xlfn.XLOOKUP(B143,'02_TrayPack_Order'!$A$2:$A$265,'02_TrayPack_Order'!$C$2:$C$265)</f>
        <v>0</v>
      </c>
      <c r="D143" s="166">
        <f>_xlfn.XLOOKUP(B143,'02_TrayPack_Order'!$A$2:$A$265,'02_TrayPack_Order'!$L$2:$L$265,0)</f>
        <v>0</v>
      </c>
      <c r="E143" s="165">
        <f>SUMIF('13_Progress_Track'!$A$2:$A$108,B143,'13_Progress_Track'!$E$2:$E$108)</f>
        <v>0</v>
      </c>
      <c r="F143" s="165">
        <f t="shared" si="12"/>
        <v>0</v>
      </c>
      <c r="G143" s="167">
        <f t="shared" si="13"/>
        <v>0</v>
      </c>
      <c r="H143" s="138">
        <f>_xlfn.IFNA(_xlfn.XLOOKUP(B143,'00_SKU_Master'!$B$2:$B$378,'00_SKU_Master'!$C$2:$C$378),"")</f>
        <v>61016</v>
      </c>
      <c r="I143" s="138"/>
      <c r="J143" s="14" t="str">
        <f>_xlfn.IFNA(_xlfn.XLOOKUP(B143,'00_SKU_Master'!B$2:B$378,'00_SKU_Master'!H$2:H$378,0),"")</f>
        <v>LT 8XP</v>
      </c>
      <c r="K143" s="14" t="str">
        <f>_xlfn.IFNA(_xlfn.XLOOKUP(B143,'00_SKU_Master'!B$2:B$378,'00_SKU_Master'!K$2:K$378,0),"")</f>
        <v>Slow</v>
      </c>
      <c r="L143" s="138" t="str">
        <f>_xlfn.XLOOKUP(B143,'00_SKU_Master'!$B$2:$B$378,'00_SKU_Master'!$D$2:$D$378)</f>
        <v>RWA</v>
      </c>
      <c r="M143" s="138">
        <f t="shared" si="14"/>
        <v>0</v>
      </c>
      <c r="N143" t="str">
        <f>IFERROR(_xlfn.XLOOKUP(B143,'00_SKU_Master'!$B$2:$B$378,'00_SKU_Master'!$E$2:$E$378,""),"")</f>
        <v>SplitWing</v>
      </c>
      <c r="O143">
        <f>IFERROR(_xlfn.XLOOKUP(B143,'00_SKU_Master'!$B$2:$B$378,'00_SKU_Master'!$F$2:$F$378,0),0)</f>
        <v>0</v>
      </c>
      <c r="P143">
        <f>IFERROR(_xlfn.XLOOKUP(N143,'00_Yield_Rates'!$B$2:$B$33,'00_Yield_Rates'!$E$2:$E$33,0)/100,0)</f>
        <v>9.6000000000000002E-2</v>
      </c>
      <c r="Q143">
        <f t="shared" si="15"/>
        <v>0</v>
      </c>
      <c r="R143">
        <f t="shared" si="16"/>
        <v>0</v>
      </c>
      <c r="S143">
        <f t="shared" si="17"/>
        <v>0</v>
      </c>
    </row>
    <row r="144" spans="1:19">
      <c r="A144" s="138" t="str">
        <f>'00_SKU_Master'!J236</f>
        <v>MS PC RWA DRUM AC PET 8 PP BSK</v>
      </c>
      <c r="B144" s="138">
        <f>'00_SKU_Master'!B236</f>
        <v>7250</v>
      </c>
      <c r="C144" s="165">
        <f>_xlfn.XLOOKUP(B144,'02_TrayPack_Order'!$A$2:$A$265,'02_TrayPack_Order'!$C$2:$C$265)</f>
        <v>0</v>
      </c>
      <c r="D144" s="166">
        <f>_xlfn.XLOOKUP(B144,'02_TrayPack_Order'!$A$2:$A$265,'02_TrayPack_Order'!$L$2:$L$265,0)</f>
        <v>0</v>
      </c>
      <c r="E144" s="165">
        <f>SUMIF('13_Progress_Track'!$A$2:$A$108,B144,'13_Progress_Track'!$E$2:$E$108)</f>
        <v>0</v>
      </c>
      <c r="F144" s="165">
        <f t="shared" si="12"/>
        <v>0</v>
      </c>
      <c r="G144" s="167">
        <f t="shared" si="13"/>
        <v>0</v>
      </c>
      <c r="H144" s="138">
        <f>_xlfn.IFNA(_xlfn.XLOOKUP(B144,'00_SKU_Master'!$B$2:$B$378,'00_SKU_Master'!$C$2:$C$378),"")</f>
        <v>61074</v>
      </c>
      <c r="I144" s="138"/>
      <c r="J144" s="14" t="str">
        <f>_xlfn.IFNA(_xlfn.XLOOKUP(B144,'00_SKU_Master'!B$2:B$378,'00_SKU_Master'!H$2:H$378,0),"")</f>
        <v>PET 8</v>
      </c>
      <c r="K144" s="14" t="str">
        <f>_xlfn.IFNA(_xlfn.XLOOKUP(B144,'00_SKU_Master'!B$2:B$378,'00_SKU_Master'!K$2:K$378,0),"")</f>
        <v>Fast</v>
      </c>
      <c r="L144" s="138" t="str">
        <f>_xlfn.XLOOKUP(B144,'00_SKU_Master'!$B$2:$B$378,'00_SKU_Master'!$D$2:$D$378)</f>
        <v>RWA</v>
      </c>
      <c r="M144" s="138">
        <f t="shared" si="14"/>
        <v>0</v>
      </c>
      <c r="N144" t="str">
        <f>IFERROR(_xlfn.XLOOKUP(B144,'00_SKU_Master'!$B$2:$B$378,'00_SKU_Master'!$E$2:$E$378,""),"")</f>
        <v>Drum</v>
      </c>
      <c r="O144">
        <f>IFERROR(_xlfn.XLOOKUP(B144,'00_SKU_Master'!$B$2:$B$378,'00_SKU_Master'!$F$2:$F$378,0),0)</f>
        <v>8.0602723735408492</v>
      </c>
      <c r="P144">
        <f>IFERROR(_xlfn.XLOOKUP(N144,'00_Yield_Rates'!$B$2:$B$33,'00_Yield_Rates'!$E$2:$E$33,0)/100,0)</f>
        <v>0.128</v>
      </c>
      <c r="Q144">
        <f t="shared" si="15"/>
        <v>0</v>
      </c>
      <c r="R144">
        <f t="shared" si="16"/>
        <v>0</v>
      </c>
      <c r="S144">
        <f t="shared" si="17"/>
        <v>0</v>
      </c>
    </row>
    <row r="145" spans="1:19">
      <c r="A145" s="138" t="str">
        <f>'00_SKU_Master'!J237</f>
        <v>MS PC RWA THIGH AC PET 8 PP BSK</v>
      </c>
      <c r="B145" s="138">
        <f>'00_SKU_Master'!B237</f>
        <v>7251</v>
      </c>
      <c r="C145" s="165">
        <f>_xlfn.XLOOKUP(B145,'02_TrayPack_Order'!$A$2:$A$265,'02_TrayPack_Order'!$C$2:$C$265)</f>
        <v>0</v>
      </c>
      <c r="D145" s="166">
        <f>_xlfn.XLOOKUP(B145,'02_TrayPack_Order'!$A$2:$A$265,'02_TrayPack_Order'!$L$2:$L$265,0)</f>
        <v>0</v>
      </c>
      <c r="E145" s="165">
        <f>SUMIF('13_Progress_Track'!$A$2:$A$108,B145,'13_Progress_Track'!$E$2:$E$108)</f>
        <v>0</v>
      </c>
      <c r="F145" s="165">
        <f t="shared" si="12"/>
        <v>0</v>
      </c>
      <c r="G145" s="167">
        <f t="shared" si="13"/>
        <v>0</v>
      </c>
      <c r="H145" s="138">
        <f>_xlfn.IFNA(_xlfn.XLOOKUP(B145,'00_SKU_Master'!$B$2:$B$378,'00_SKU_Master'!$C$2:$C$378),"")</f>
        <v>61079</v>
      </c>
      <c r="I145" s="138"/>
      <c r="J145" s="14" t="str">
        <f>_xlfn.IFNA(_xlfn.XLOOKUP(B145,'00_SKU_Master'!B$2:B$378,'00_SKU_Master'!H$2:H$378,0),"")</f>
        <v>PET 8</v>
      </c>
      <c r="K145" s="14" t="str">
        <f>_xlfn.IFNA(_xlfn.XLOOKUP(B145,'00_SKU_Master'!B$2:B$378,'00_SKU_Master'!K$2:K$378,0),"")</f>
        <v>Fast</v>
      </c>
      <c r="L145" s="138" t="str">
        <f>_xlfn.XLOOKUP(B145,'00_SKU_Master'!$B$2:$B$378,'00_SKU_Master'!$D$2:$D$378)</f>
        <v>RWA</v>
      </c>
      <c r="M145" s="138">
        <f t="shared" si="14"/>
        <v>0</v>
      </c>
      <c r="N145" t="str">
        <f>IFERROR(_xlfn.XLOOKUP(B145,'00_SKU_Master'!$B$2:$B$378,'00_SKU_Master'!$E$2:$E$378,""),"")</f>
        <v>Thigh</v>
      </c>
      <c r="O145">
        <f>IFERROR(_xlfn.XLOOKUP(B145,'00_SKU_Master'!$B$2:$B$378,'00_SKU_Master'!$F$2:$F$378,0),0)</f>
        <v>9.2566197882197194</v>
      </c>
      <c r="P145">
        <f>IFERROR(_xlfn.XLOOKUP(N145,'00_Yield_Rates'!$B$2:$B$33,'00_Yield_Rates'!$E$2:$E$33,0)/100,0)</f>
        <v>0.191</v>
      </c>
      <c r="Q145">
        <f t="shared" si="15"/>
        <v>0</v>
      </c>
      <c r="R145">
        <f t="shared" si="16"/>
        <v>0</v>
      </c>
      <c r="S145">
        <f t="shared" si="17"/>
        <v>0</v>
      </c>
    </row>
    <row r="146" spans="1:19">
      <c r="A146" s="138" t="str">
        <f>'00_SKU_Master'!J238</f>
        <v>RWA BSHB AC LT</v>
      </c>
      <c r="B146" s="138">
        <f>'00_SKU_Master'!B238</f>
        <v>7252</v>
      </c>
      <c r="C146" s="165">
        <f>_xlfn.XLOOKUP(B146,'02_TrayPack_Order'!$A$2:$A$265,'02_TrayPack_Order'!$C$2:$C$265)</f>
        <v>0</v>
      </c>
      <c r="D146" s="166">
        <f>_xlfn.XLOOKUP(B146,'02_TrayPack_Order'!$A$2:$A$265,'02_TrayPack_Order'!$L$2:$L$265,0)</f>
        <v>0</v>
      </c>
      <c r="E146" s="165">
        <f>SUMIF('13_Progress_Track'!$A$2:$A$108,B146,'13_Progress_Track'!$E$2:$E$108)</f>
        <v>0</v>
      </c>
      <c r="F146" s="165">
        <f t="shared" si="12"/>
        <v>0</v>
      </c>
      <c r="G146" s="167">
        <f t="shared" si="13"/>
        <v>0</v>
      </c>
      <c r="H146" s="138">
        <f>_xlfn.IFNA(_xlfn.XLOOKUP(B146,'00_SKU_Master'!$B$2:$B$378,'00_SKU_Master'!$C$2:$C$378),"")</f>
        <v>61051</v>
      </c>
      <c r="I146" s="138"/>
      <c r="J146" s="14" t="str">
        <f>_xlfn.IFNA(_xlfn.XLOOKUP(B146,'00_SKU_Master'!B$2:B$378,'00_SKU_Master'!H$2:H$378,0),"")</f>
        <v>LT 8XP</v>
      </c>
      <c r="K146" s="14" t="str">
        <f>_xlfn.IFNA(_xlfn.XLOOKUP(B146,'00_SKU_Master'!B$2:B$378,'00_SKU_Master'!K$2:K$378,0),"")</f>
        <v>Fast</v>
      </c>
      <c r="L146" s="138" t="str">
        <f>_xlfn.XLOOKUP(B146,'00_SKU_Master'!$B$2:$B$378,'00_SKU_Master'!$D$2:$D$378)</f>
        <v>RWA</v>
      </c>
      <c r="M146" s="138">
        <f t="shared" si="14"/>
        <v>0</v>
      </c>
      <c r="N146" t="str">
        <f>IFERROR(_xlfn.XLOOKUP(B146,'00_SKU_Master'!$B$2:$B$378,'00_SKU_Master'!$E$2:$E$378,""),"")</f>
        <v>BSB</v>
      </c>
      <c r="O146">
        <f>IFERROR(_xlfn.XLOOKUP(B146,'00_SKU_Master'!$B$2:$B$378,'00_SKU_Master'!$F$2:$F$378,0),0)</f>
        <v>0</v>
      </c>
      <c r="P146">
        <f>IFERROR(_xlfn.XLOOKUP(N146,'00_Yield_Rates'!$B$2:$B$33,'00_Yield_Rates'!$E$2:$E$33,0)/100,0)</f>
        <v>0.31</v>
      </c>
      <c r="Q146">
        <f t="shared" si="15"/>
        <v>0</v>
      </c>
      <c r="R146">
        <f t="shared" si="16"/>
        <v>0</v>
      </c>
      <c r="S146">
        <f t="shared" si="17"/>
        <v>0</v>
      </c>
    </row>
    <row r="147" spans="1:19">
      <c r="A147" s="138" t="str">
        <f>'00_SKU_Master'!J239</f>
        <v>MS PC RWA THIGH AC LT PP BSK</v>
      </c>
      <c r="B147" s="138">
        <f>'00_SKU_Master'!B239</f>
        <v>7253</v>
      </c>
      <c r="C147" s="165">
        <f>_xlfn.XLOOKUP(B147,'02_TrayPack_Order'!$A$2:$A$265,'02_TrayPack_Order'!$C$2:$C$265)</f>
        <v>0</v>
      </c>
      <c r="D147" s="166">
        <f>_xlfn.XLOOKUP(B147,'02_TrayPack_Order'!$A$2:$A$265,'02_TrayPack_Order'!$L$2:$L$265,0)</f>
        <v>0</v>
      </c>
      <c r="E147" s="165">
        <f>SUMIF('13_Progress_Track'!$A$2:$A$108,B147,'13_Progress_Track'!$E$2:$E$108)</f>
        <v>0</v>
      </c>
      <c r="F147" s="165">
        <f t="shared" si="12"/>
        <v>0</v>
      </c>
      <c r="G147" s="167">
        <f t="shared" si="13"/>
        <v>0</v>
      </c>
      <c r="H147" s="138">
        <f>_xlfn.IFNA(_xlfn.XLOOKUP(B147,'00_SKU_Master'!$B$2:$B$378,'00_SKU_Master'!$C$2:$C$378),"")</f>
        <v>61079</v>
      </c>
      <c r="I147" s="138"/>
      <c r="J147" s="14" t="str">
        <f>_xlfn.IFNA(_xlfn.XLOOKUP(B147,'00_SKU_Master'!B$2:B$378,'00_SKU_Master'!H$2:H$378,0),"")</f>
        <v>LT 8XP</v>
      </c>
      <c r="K147" s="14" t="str">
        <f>_xlfn.IFNA(_xlfn.XLOOKUP(B147,'00_SKU_Master'!B$2:B$378,'00_SKU_Master'!K$2:K$378,0),"")</f>
        <v>Fast</v>
      </c>
      <c r="L147" s="138" t="str">
        <f>_xlfn.XLOOKUP(B147,'00_SKU_Master'!$B$2:$B$378,'00_SKU_Master'!$D$2:$D$378)</f>
        <v>RWA</v>
      </c>
      <c r="M147" s="138">
        <f t="shared" si="14"/>
        <v>0</v>
      </c>
      <c r="N147" t="str">
        <f>IFERROR(_xlfn.XLOOKUP(B147,'00_SKU_Master'!$B$2:$B$378,'00_SKU_Master'!$E$2:$E$378,""),"")</f>
        <v>Thigh</v>
      </c>
      <c r="O147">
        <f>IFERROR(_xlfn.XLOOKUP(B147,'00_SKU_Master'!$B$2:$B$378,'00_SKU_Master'!$F$2:$F$378,0),0)</f>
        <v>0</v>
      </c>
      <c r="P147">
        <f>IFERROR(_xlfn.XLOOKUP(N147,'00_Yield_Rates'!$B$2:$B$33,'00_Yield_Rates'!$E$2:$E$33,0)/100,0)</f>
        <v>0.191</v>
      </c>
      <c r="Q147">
        <f t="shared" si="15"/>
        <v>0</v>
      </c>
      <c r="R147">
        <f t="shared" si="16"/>
        <v>0</v>
      </c>
      <c r="S147">
        <f t="shared" si="17"/>
        <v>0</v>
      </c>
    </row>
    <row r="148" spans="1:19">
      <c r="A148" s="138" t="str">
        <f>'00_SKU_Master'!J240</f>
        <v>MS PC RWA DRUM AC LT PP BSK</v>
      </c>
      <c r="B148" s="138">
        <f>'00_SKU_Master'!B240</f>
        <v>7254</v>
      </c>
      <c r="C148" s="165">
        <f>_xlfn.XLOOKUP(B148,'02_TrayPack_Order'!$A$2:$A$265,'02_TrayPack_Order'!$C$2:$C$265)</f>
        <v>0</v>
      </c>
      <c r="D148" s="166">
        <f>_xlfn.XLOOKUP(B148,'02_TrayPack_Order'!$A$2:$A$265,'02_TrayPack_Order'!$L$2:$L$265,0)</f>
        <v>0</v>
      </c>
      <c r="E148" s="165">
        <f>SUMIF('13_Progress_Track'!$A$2:$A$108,B148,'13_Progress_Track'!$E$2:$E$108)</f>
        <v>0</v>
      </c>
      <c r="F148" s="165">
        <f t="shared" si="12"/>
        <v>0</v>
      </c>
      <c r="G148" s="167">
        <f t="shared" si="13"/>
        <v>0</v>
      </c>
      <c r="H148" s="138">
        <f>_xlfn.IFNA(_xlfn.XLOOKUP(B148,'00_SKU_Master'!$B$2:$B$378,'00_SKU_Master'!$C$2:$C$378),"")</f>
        <v>61074</v>
      </c>
      <c r="I148" s="138"/>
      <c r="J148" s="14" t="str">
        <f>_xlfn.IFNA(_xlfn.XLOOKUP(B148,'00_SKU_Master'!B$2:B$378,'00_SKU_Master'!H$2:H$378,0),"")</f>
        <v>LT 8XP</v>
      </c>
      <c r="K148" s="14" t="str">
        <f>_xlfn.IFNA(_xlfn.XLOOKUP(B148,'00_SKU_Master'!B$2:B$378,'00_SKU_Master'!K$2:K$378,0),"")</f>
        <v>Fast</v>
      </c>
      <c r="L148" s="138" t="str">
        <f>_xlfn.XLOOKUP(B148,'00_SKU_Master'!$B$2:$B$378,'00_SKU_Master'!$D$2:$D$378)</f>
        <v>RWA</v>
      </c>
      <c r="M148" s="138">
        <f t="shared" si="14"/>
        <v>0</v>
      </c>
      <c r="N148" t="str">
        <f>IFERROR(_xlfn.XLOOKUP(B148,'00_SKU_Master'!$B$2:$B$378,'00_SKU_Master'!$E$2:$E$378,""),"")</f>
        <v>Drum</v>
      </c>
      <c r="O148">
        <f>IFERROR(_xlfn.XLOOKUP(B148,'00_SKU_Master'!$B$2:$B$378,'00_SKU_Master'!$F$2:$F$378,0),0)</f>
        <v>0</v>
      </c>
      <c r="P148">
        <f>IFERROR(_xlfn.XLOOKUP(N148,'00_Yield_Rates'!$B$2:$B$33,'00_Yield_Rates'!$E$2:$E$33,0)/100,0)</f>
        <v>0.128</v>
      </c>
      <c r="Q148">
        <f t="shared" si="15"/>
        <v>0</v>
      </c>
      <c r="R148">
        <f t="shared" si="16"/>
        <v>0</v>
      </c>
      <c r="S148">
        <f t="shared" si="17"/>
        <v>0</v>
      </c>
    </row>
    <row r="149" spans="1:19">
      <c r="A149" s="138" t="str">
        <f>'00_SKU_Master'!J241</f>
        <v>MS LCL BSHB PET8 PP BSK</v>
      </c>
      <c r="B149" s="138">
        <f>'00_SKU_Master'!B241</f>
        <v>7260</v>
      </c>
      <c r="C149" s="165">
        <f>_xlfn.XLOOKUP(B149,'02_TrayPack_Order'!$A$2:$A$265,'02_TrayPack_Order'!$C$2:$C$265)</f>
        <v>0</v>
      </c>
      <c r="D149" s="166">
        <f>_xlfn.XLOOKUP(B149,'02_TrayPack_Order'!$A$2:$A$265,'02_TrayPack_Order'!$L$2:$L$265,0)</f>
        <v>0</v>
      </c>
      <c r="E149" s="165">
        <f>SUMIF('13_Progress_Track'!$A$2:$A$108,B149,'13_Progress_Track'!$E$2:$E$108)</f>
        <v>0</v>
      </c>
      <c r="F149" s="165">
        <f t="shared" si="12"/>
        <v>0</v>
      </c>
      <c r="G149" s="167">
        <f t="shared" si="13"/>
        <v>0</v>
      </c>
      <c r="H149" s="138" t="str">
        <f>_xlfn.IFNA(_xlfn.XLOOKUP(B149,'00_SKU_Master'!$B$2:$B$378,'00_SKU_Master'!$C$2:$C$378),"")</f>
        <v>61050#2</v>
      </c>
      <c r="I149" s="138"/>
      <c r="J149" s="14" t="str">
        <f>_xlfn.IFNA(_xlfn.XLOOKUP(B149,'00_SKU_Master'!B$2:B$378,'00_SKU_Master'!H$2:H$378,0),"")</f>
        <v>PET 8</v>
      </c>
      <c r="K149" s="14" t="str">
        <f>_xlfn.IFNA(_xlfn.XLOOKUP(B149,'00_SKU_Master'!B$2:B$378,'00_SKU_Master'!K$2:K$378,0),"")</f>
        <v>Fast</v>
      </c>
      <c r="L149" s="138" t="str">
        <f>_xlfn.XLOOKUP(B149,'00_SKU_Master'!$B$2:$B$378,'00_SKU_Master'!$D$2:$D$378)</f>
        <v>LCL</v>
      </c>
      <c r="M149" s="138">
        <f t="shared" si="14"/>
        <v>0</v>
      </c>
      <c r="N149" t="str">
        <f>IFERROR(_xlfn.XLOOKUP(B149,'00_SKU_Master'!$B$2:$B$378,'00_SKU_Master'!$E$2:$E$378,""),"")</f>
        <v>BSB</v>
      </c>
      <c r="O149">
        <f>IFERROR(_xlfn.XLOOKUP(B149,'00_SKU_Master'!$B$2:$B$378,'00_SKU_Master'!$F$2:$F$378,0),0)</f>
        <v>0</v>
      </c>
      <c r="P149">
        <f>IFERROR(_xlfn.XLOOKUP(N149,'00_Yield_Rates'!$B$2:$B$33,'00_Yield_Rates'!$E$2:$E$33,0)/100,0)</f>
        <v>0.31</v>
      </c>
      <c r="Q149">
        <f t="shared" si="15"/>
        <v>0</v>
      </c>
      <c r="R149">
        <f t="shared" si="16"/>
        <v>0</v>
      </c>
      <c r="S149">
        <f t="shared" si="17"/>
        <v>0</v>
      </c>
    </row>
    <row r="150" spans="1:19">
      <c r="A150" s="138" t="str">
        <f>'00_SKU_Master'!J242</f>
        <v>PB PC FRY WOG AC TI ST</v>
      </c>
      <c r="B150" s="138">
        <f>'00_SKU_Master'!B242</f>
        <v>7268</v>
      </c>
      <c r="C150" s="165">
        <f>_xlfn.XLOOKUP(B150,'02_TrayPack_Order'!$A$2:$A$265,'02_TrayPack_Order'!$C$2:$C$265)</f>
        <v>0</v>
      </c>
      <c r="D150" s="166">
        <f>_xlfn.XLOOKUP(B150,'02_TrayPack_Order'!$A$2:$A$265,'02_TrayPack_Order'!$L$2:$L$265,0)</f>
        <v>0</v>
      </c>
      <c r="E150" s="165">
        <f>SUMIF('13_Progress_Track'!$A$2:$A$108,B150,'13_Progress_Track'!$E$2:$E$108)</f>
        <v>0</v>
      </c>
      <c r="F150" s="165">
        <f t="shared" si="12"/>
        <v>0</v>
      </c>
      <c r="G150" s="167">
        <f t="shared" si="13"/>
        <v>0</v>
      </c>
      <c r="H150" s="138">
        <f>_xlfn.IFNA(_xlfn.XLOOKUP(B150,'00_SKU_Master'!$B$2:$B$378,'00_SKU_Master'!$C$2:$C$378),"")</f>
        <v>203136</v>
      </c>
      <c r="I150" s="138"/>
      <c r="J150" s="14" t="str">
        <f>_xlfn.IFNA(_xlfn.XLOOKUP(B150,'00_SKU_Master'!B$2:B$378,'00_SKU_Master'!H$2:H$378,0),"")</f>
        <v>ST 3XP</v>
      </c>
      <c r="K150" s="14" t="str">
        <f>_xlfn.IFNA(_xlfn.XLOOKUP(B150,'00_SKU_Master'!B$2:B$378,'00_SKU_Master'!K$2:K$378,0),"")</f>
        <v>Fast</v>
      </c>
      <c r="L150" s="138" t="str">
        <f>_xlfn.XLOOKUP(B150,'00_SKU_Master'!$B$2:$B$378,'00_SKU_Master'!$D$2:$D$378)</f>
        <v>LCL</v>
      </c>
      <c r="M150" s="138">
        <f t="shared" si="14"/>
        <v>0</v>
      </c>
      <c r="N150" t="str">
        <f>IFERROR(_xlfn.XLOOKUP(B150,'00_SKU_Master'!$B$2:$B$378,'00_SKU_Master'!$E$2:$E$378,""),"")</f>
        <v>Whole Bird-Small</v>
      </c>
      <c r="O150">
        <f>IFERROR(_xlfn.XLOOKUP(B150,'00_SKU_Master'!$B$2:$B$378,'00_SKU_Master'!$F$2:$F$378,0),0)</f>
        <v>0</v>
      </c>
      <c r="P150">
        <f>IFERROR(_xlfn.XLOOKUP(N150,'00_Yield_Rates'!$B$2:$B$33,'00_Yield_Rates'!$E$2:$E$33,0)/100,0)</f>
        <v>0</v>
      </c>
      <c r="Q150">
        <f t="shared" si="15"/>
        <v>0</v>
      </c>
      <c r="R150">
        <f t="shared" si="16"/>
        <v>0</v>
      </c>
      <c r="S150">
        <f t="shared" si="17"/>
        <v>0</v>
      </c>
    </row>
    <row r="151" spans="1:19">
      <c r="A151" s="138" t="str">
        <f>'00_SKU_Master'!J243</f>
        <v>PB PC SPLIT WING AC PET 3</v>
      </c>
      <c r="B151" s="138">
        <f>'00_SKU_Master'!B243</f>
        <v>7269</v>
      </c>
      <c r="C151" s="165">
        <f>_xlfn.XLOOKUP(B151,'02_TrayPack_Order'!$A$2:$A$265,'02_TrayPack_Order'!$C$2:$C$265)</f>
        <v>0</v>
      </c>
      <c r="D151" s="166">
        <f>_xlfn.XLOOKUP(B151,'02_TrayPack_Order'!$A$2:$A$265,'02_TrayPack_Order'!$L$2:$L$265,0)</f>
        <v>0</v>
      </c>
      <c r="E151" s="165">
        <f>SUMIF('13_Progress_Track'!$A$2:$A$108,B151,'13_Progress_Track'!$E$2:$E$108)</f>
        <v>0</v>
      </c>
      <c r="F151" s="165">
        <f t="shared" si="12"/>
        <v>0</v>
      </c>
      <c r="G151" s="167">
        <f t="shared" si="13"/>
        <v>0</v>
      </c>
      <c r="H151" s="138">
        <f>_xlfn.IFNA(_xlfn.XLOOKUP(B151,'00_SKU_Master'!$B$2:$B$378,'00_SKU_Master'!$C$2:$C$378),"")</f>
        <v>61014</v>
      </c>
      <c r="I151" s="138"/>
      <c r="J151" s="14" t="str">
        <f>_xlfn.IFNA(_xlfn.XLOOKUP(B151,'00_SKU_Master'!B$2:B$378,'00_SKU_Master'!H$2:H$378,0),"")</f>
        <v>PET 3</v>
      </c>
      <c r="K151" s="14" t="str">
        <f>_xlfn.IFNA(_xlfn.XLOOKUP(B151,'00_SKU_Master'!B$2:B$378,'00_SKU_Master'!K$2:K$378,0),"")</f>
        <v>Slow</v>
      </c>
      <c r="L151" s="138" t="str">
        <f>_xlfn.XLOOKUP(B151,'00_SKU_Master'!$B$2:$B$378,'00_SKU_Master'!$D$2:$D$378)</f>
        <v>LCL</v>
      </c>
      <c r="M151" s="138">
        <f t="shared" si="14"/>
        <v>0</v>
      </c>
      <c r="N151" t="str">
        <f>IFERROR(_xlfn.XLOOKUP(B151,'00_SKU_Master'!$B$2:$B$378,'00_SKU_Master'!$E$2:$E$378,""),"")</f>
        <v>SplitWing</v>
      </c>
      <c r="O151">
        <f>IFERROR(_xlfn.XLOOKUP(B151,'00_SKU_Master'!$B$2:$B$378,'00_SKU_Master'!$F$2:$F$378,0),0)</f>
        <v>0</v>
      </c>
      <c r="P151">
        <f>IFERROR(_xlfn.XLOOKUP(N151,'00_Yield_Rates'!$B$2:$B$33,'00_Yield_Rates'!$E$2:$E$33,0)/100,0)</f>
        <v>9.6000000000000002E-2</v>
      </c>
      <c r="Q151">
        <f t="shared" si="15"/>
        <v>0</v>
      </c>
      <c r="R151">
        <f t="shared" si="16"/>
        <v>0</v>
      </c>
      <c r="S151">
        <f t="shared" si="17"/>
        <v>0</v>
      </c>
    </row>
    <row r="152" spans="1:19">
      <c r="A152" s="138" t="str">
        <f>'00_SKU_Master'!J244</f>
        <v>MS PC BM SKLS HB AC PET 8 BSK</v>
      </c>
      <c r="B152" s="138">
        <f>'00_SKU_Master'!B244</f>
        <v>7275</v>
      </c>
      <c r="C152" s="165">
        <f>_xlfn.XLOOKUP(B152,'02_TrayPack_Order'!$A$2:$A$265,'02_TrayPack_Order'!$C$2:$C$265)</f>
        <v>0</v>
      </c>
      <c r="D152" s="166">
        <f>_xlfn.XLOOKUP(B152,'02_TrayPack_Order'!$A$2:$A$265,'02_TrayPack_Order'!$L$2:$L$265,0)</f>
        <v>0</v>
      </c>
      <c r="E152" s="165">
        <f>SUMIF('13_Progress_Track'!$A$2:$A$108,B152,'13_Progress_Track'!$E$2:$E$108)</f>
        <v>0</v>
      </c>
      <c r="F152" s="165">
        <f t="shared" si="12"/>
        <v>0</v>
      </c>
      <c r="G152" s="167">
        <f t="shared" si="13"/>
        <v>0</v>
      </c>
      <c r="H152" s="138">
        <f>_xlfn.IFNA(_xlfn.XLOOKUP(B152,'00_SKU_Master'!$B$2:$B$378,'00_SKU_Master'!$C$2:$C$378),"")</f>
        <v>61048</v>
      </c>
      <c r="I152" s="138"/>
      <c r="J152" s="14" t="str">
        <f>_xlfn.IFNA(_xlfn.XLOOKUP(B152,'00_SKU_Master'!B$2:B$378,'00_SKU_Master'!H$2:H$378,0),"")</f>
        <v>PET 8</v>
      </c>
      <c r="K152" s="14" t="str">
        <f>_xlfn.IFNA(_xlfn.XLOOKUP(B152,'00_SKU_Master'!B$2:B$378,'00_SKU_Master'!K$2:K$378,0),"")</f>
        <v>Fast</v>
      </c>
      <c r="L152" s="138" t="str">
        <f>_xlfn.XLOOKUP(B152,'00_SKU_Master'!$B$2:$B$378,'00_SKU_Master'!$D$2:$D$378)</f>
        <v>LCL</v>
      </c>
      <c r="M152" s="138">
        <f t="shared" si="14"/>
        <v>0</v>
      </c>
      <c r="N152" t="str">
        <f>IFERROR(_xlfn.XLOOKUP(B152,'00_SKU_Master'!$B$2:$B$378,'00_SKU_Master'!$E$2:$E$378,""),"")</f>
        <v>SplitBreast</v>
      </c>
      <c r="O152">
        <f>IFERROR(_xlfn.XLOOKUP(B152,'00_SKU_Master'!$B$2:$B$378,'00_SKU_Master'!$F$2:$F$378,0),0)</f>
        <v>0</v>
      </c>
      <c r="P152">
        <f>IFERROR(_xlfn.XLOOKUP(N152,'00_Yield_Rates'!$B$2:$B$33,'00_Yield_Rates'!$E$2:$E$33,0)/100,0)</f>
        <v>0.43</v>
      </c>
      <c r="Q152">
        <f t="shared" si="15"/>
        <v>0</v>
      </c>
      <c r="R152">
        <f t="shared" si="16"/>
        <v>0</v>
      </c>
      <c r="S152">
        <f t="shared" si="17"/>
        <v>0</v>
      </c>
    </row>
    <row r="153" spans="1:19">
      <c r="A153" s="138" t="str">
        <f>'00_SKU_Master'!J245</f>
        <v>PB BSTHIGH LT</v>
      </c>
      <c r="B153" s="138">
        <f>'00_SKU_Master'!B245</f>
        <v>7278</v>
      </c>
      <c r="C153" s="165">
        <f>_xlfn.XLOOKUP(B153,'02_TrayPack_Order'!$A$2:$A$265,'02_TrayPack_Order'!$C$2:$C$265)</f>
        <v>0</v>
      </c>
      <c r="D153" s="166">
        <f>_xlfn.XLOOKUP(B153,'02_TrayPack_Order'!$A$2:$A$265,'02_TrayPack_Order'!$L$2:$L$265,0)</f>
        <v>0</v>
      </c>
      <c r="E153" s="165">
        <f>SUMIF('13_Progress_Track'!$A$2:$A$108,B153,'13_Progress_Track'!$E$2:$E$108)</f>
        <v>0</v>
      </c>
      <c r="F153" s="165">
        <f t="shared" si="12"/>
        <v>0</v>
      </c>
      <c r="G153" s="167">
        <f t="shared" si="13"/>
        <v>0</v>
      </c>
      <c r="H153" s="138" t="str">
        <f>_xlfn.IFNA(_xlfn.XLOOKUP(B153,'00_SKU_Master'!$B$2:$B$378,'00_SKU_Master'!$C$2:$C$378),"")</f>
        <v>61086#2</v>
      </c>
      <c r="I153" s="138"/>
      <c r="J153" s="14" t="str">
        <f>_xlfn.IFNA(_xlfn.XLOOKUP(B153,'00_SKU_Master'!B$2:B$378,'00_SKU_Master'!H$2:H$378,0),"")</f>
        <v>PET 8</v>
      </c>
      <c r="K153" s="14" t="str">
        <f>_xlfn.IFNA(_xlfn.XLOOKUP(B153,'00_SKU_Master'!B$2:B$378,'00_SKU_Master'!K$2:K$378,0),"")</f>
        <v>Slow</v>
      </c>
      <c r="L153" s="138" t="str">
        <f>_xlfn.XLOOKUP(B153,'00_SKU_Master'!$B$2:$B$378,'00_SKU_Master'!$D$2:$D$378)</f>
        <v>LCL</v>
      </c>
      <c r="M153" s="138">
        <f t="shared" si="14"/>
        <v>0</v>
      </c>
      <c r="N153" t="str">
        <f>IFERROR(_xlfn.XLOOKUP(B153,'00_SKU_Master'!$B$2:$B$378,'00_SKU_Master'!$E$2:$E$378,""),"")</f>
        <v>ThighMeat</v>
      </c>
      <c r="O153">
        <f>IFERROR(_xlfn.XLOOKUP(B153,'00_SKU_Master'!$B$2:$B$378,'00_SKU_Master'!$F$2:$F$378,0),0)</f>
        <v>7.70174545454545</v>
      </c>
      <c r="P153">
        <f>IFERROR(_xlfn.XLOOKUP(N153,'00_Yield_Rates'!$B$2:$B$33,'00_Yield_Rates'!$E$2:$E$33,0)/100,0)</f>
        <v>0.105</v>
      </c>
      <c r="Q153">
        <f t="shared" si="15"/>
        <v>0</v>
      </c>
      <c r="R153">
        <f t="shared" si="16"/>
        <v>0</v>
      </c>
      <c r="S153">
        <f t="shared" si="17"/>
        <v>0</v>
      </c>
    </row>
    <row r="154" spans="1:19">
      <c r="A154" s="138" t="str">
        <f>'00_SKU_Master'!J246</f>
        <v>MS SPL WING PET8 BSK</v>
      </c>
      <c r="B154" s="138">
        <f>'00_SKU_Master'!B246</f>
        <v>7287</v>
      </c>
      <c r="C154" s="165">
        <f>_xlfn.XLOOKUP(B154,'02_TrayPack_Order'!$A$2:$A$265,'02_TrayPack_Order'!$C$2:$C$265)</f>
        <v>0</v>
      </c>
      <c r="D154" s="166">
        <f>_xlfn.XLOOKUP(B154,'02_TrayPack_Order'!$A$2:$A$265,'02_TrayPack_Order'!$L$2:$L$265,0)</f>
        <v>0</v>
      </c>
      <c r="E154" s="165">
        <f>SUMIF('13_Progress_Track'!$A$2:$A$108,B154,'13_Progress_Track'!$E$2:$E$108)</f>
        <v>0</v>
      </c>
      <c r="F154" s="165">
        <f t="shared" si="12"/>
        <v>0</v>
      </c>
      <c r="G154" s="167">
        <f t="shared" si="13"/>
        <v>0</v>
      </c>
      <c r="H154" s="138" t="str">
        <f>_xlfn.IFNA(_xlfn.XLOOKUP(B154,'00_SKU_Master'!$B$2:$B$378,'00_SKU_Master'!$C$2:$C$378),"")</f>
        <v>61014#2</v>
      </c>
      <c r="I154" s="138"/>
      <c r="J154" s="14" t="str">
        <f>_xlfn.IFNA(_xlfn.XLOOKUP(B154,'00_SKU_Master'!B$2:B$378,'00_SKU_Master'!H$2:H$378,0),"")</f>
        <v>PET 8</v>
      </c>
      <c r="K154" s="14" t="str">
        <f>_xlfn.IFNA(_xlfn.XLOOKUP(B154,'00_SKU_Master'!B$2:B$378,'00_SKU_Master'!K$2:K$378,0),"")</f>
        <v>Slow</v>
      </c>
      <c r="L154" s="138" t="str">
        <f>_xlfn.XLOOKUP(B154,'00_SKU_Master'!$B$2:$B$378,'00_SKU_Master'!$D$2:$D$378)</f>
        <v>LCL</v>
      </c>
      <c r="M154" s="138">
        <f t="shared" si="14"/>
        <v>0</v>
      </c>
      <c r="N154" t="str">
        <f>IFERROR(_xlfn.XLOOKUP(B154,'00_SKU_Master'!$B$2:$B$378,'00_SKU_Master'!$E$2:$E$378,""),"")</f>
        <v>SplitWing</v>
      </c>
      <c r="O154">
        <f>IFERROR(_xlfn.XLOOKUP(B154,'00_SKU_Master'!$B$2:$B$378,'00_SKU_Master'!$F$2:$F$378,0),0)</f>
        <v>8.4242865349772398</v>
      </c>
      <c r="P154">
        <f>IFERROR(_xlfn.XLOOKUP(N154,'00_Yield_Rates'!$B$2:$B$33,'00_Yield_Rates'!$E$2:$E$33,0)/100,0)</f>
        <v>9.6000000000000002E-2</v>
      </c>
      <c r="Q154">
        <f t="shared" si="15"/>
        <v>0</v>
      </c>
      <c r="R154">
        <f t="shared" si="16"/>
        <v>0</v>
      </c>
      <c r="S154">
        <f t="shared" si="17"/>
        <v>0</v>
      </c>
    </row>
    <row r="155" spans="1:19">
      <c r="A155" s="138" t="str">
        <f>'00_SKU_Master'!J247</f>
        <v>PB PC SPL WING AC PET 8</v>
      </c>
      <c r="B155" s="138">
        <f>'00_SKU_Master'!B247</f>
        <v>7289</v>
      </c>
      <c r="C155" s="165">
        <f>_xlfn.XLOOKUP(B155,'02_TrayPack_Order'!$A$2:$A$265,'02_TrayPack_Order'!$C$2:$C$265)</f>
        <v>0</v>
      </c>
      <c r="D155" s="166">
        <f>_xlfn.XLOOKUP(B155,'02_TrayPack_Order'!$A$2:$A$265,'02_TrayPack_Order'!$L$2:$L$265,0)</f>
        <v>0</v>
      </c>
      <c r="E155" s="165">
        <f>SUMIF('13_Progress_Track'!$A$2:$A$108,B155,'13_Progress_Track'!$E$2:$E$108)</f>
        <v>0</v>
      </c>
      <c r="F155" s="165">
        <f t="shared" si="12"/>
        <v>0</v>
      </c>
      <c r="G155" s="167">
        <f t="shared" si="13"/>
        <v>0</v>
      </c>
      <c r="H155" s="138">
        <f>_xlfn.IFNA(_xlfn.XLOOKUP(B155,'00_SKU_Master'!$B$2:$B$378,'00_SKU_Master'!$C$2:$C$378),"")</f>
        <v>61014</v>
      </c>
      <c r="I155" s="138"/>
      <c r="J155" s="14" t="str">
        <f>_xlfn.IFNA(_xlfn.XLOOKUP(B155,'00_SKU_Master'!B$2:B$378,'00_SKU_Master'!H$2:H$378,0),"")</f>
        <v>PET 8</v>
      </c>
      <c r="K155" s="14" t="str">
        <f>_xlfn.IFNA(_xlfn.XLOOKUP(B155,'00_SKU_Master'!B$2:B$378,'00_SKU_Master'!K$2:K$378,0),"")</f>
        <v>Slow</v>
      </c>
      <c r="L155" s="138" t="str">
        <f>_xlfn.XLOOKUP(B155,'00_SKU_Master'!$B$2:$B$378,'00_SKU_Master'!$D$2:$D$378)</f>
        <v>LCL</v>
      </c>
      <c r="M155" s="138">
        <f t="shared" si="14"/>
        <v>0</v>
      </c>
      <c r="N155" t="str">
        <f>IFERROR(_xlfn.XLOOKUP(B155,'00_SKU_Master'!$B$2:$B$378,'00_SKU_Master'!$E$2:$E$378,""),"")</f>
        <v>SplitWing</v>
      </c>
      <c r="O155">
        <f>IFERROR(_xlfn.XLOOKUP(B155,'00_SKU_Master'!$B$2:$B$378,'00_SKU_Master'!$F$2:$F$378,0),0)</f>
        <v>0</v>
      </c>
      <c r="P155">
        <f>IFERROR(_xlfn.XLOOKUP(N155,'00_Yield_Rates'!$B$2:$B$33,'00_Yield_Rates'!$E$2:$E$33,0)/100,0)</f>
        <v>9.6000000000000002E-2</v>
      </c>
      <c r="Q155">
        <f t="shared" si="15"/>
        <v>0</v>
      </c>
      <c r="R155">
        <f t="shared" si="16"/>
        <v>0</v>
      </c>
      <c r="S155">
        <f t="shared" si="17"/>
        <v>0</v>
      </c>
    </row>
    <row r="156" spans="1:19">
      <c r="A156" s="138" t="str">
        <f>'00_SKU_Master'!J248</f>
        <v>PB FILLET ST BSK</v>
      </c>
      <c r="B156" s="138">
        <f>'00_SKU_Master'!B248</f>
        <v>7300</v>
      </c>
      <c r="C156" s="165">
        <f>_xlfn.XLOOKUP(B156,'02_TrayPack_Order'!$A$2:$A$265,'02_TrayPack_Order'!$C$2:$C$265)</f>
        <v>0</v>
      </c>
      <c r="D156" s="166">
        <f>_xlfn.XLOOKUP(B156,'02_TrayPack_Order'!$A$2:$A$265,'02_TrayPack_Order'!$L$2:$L$265,0)</f>
        <v>0</v>
      </c>
      <c r="E156" s="165">
        <f>SUMIF('13_Progress_Track'!$A$2:$A$108,B156,'13_Progress_Track'!$E$2:$E$108)</f>
        <v>0</v>
      </c>
      <c r="F156" s="165">
        <f t="shared" si="12"/>
        <v>0</v>
      </c>
      <c r="G156" s="167">
        <f t="shared" si="13"/>
        <v>0</v>
      </c>
      <c r="H156" s="138">
        <f>_xlfn.IFNA(_xlfn.XLOOKUP(B156,'00_SKU_Master'!$B$2:$B$378,'00_SKU_Master'!$C$2:$C$378),"")</f>
        <v>61054</v>
      </c>
      <c r="I156" s="138"/>
      <c r="J156" s="14" t="str">
        <f>_xlfn.IFNA(_xlfn.XLOOKUP(B156,'00_SKU_Master'!B$2:B$378,'00_SKU_Master'!H$2:H$378,0),"")</f>
        <v>ST 3XP</v>
      </c>
      <c r="K156" s="14" t="str">
        <f>_xlfn.IFNA(_xlfn.XLOOKUP(B156,'00_SKU_Master'!B$2:B$378,'00_SKU_Master'!K$2:K$378,0),"")</f>
        <v>Slow</v>
      </c>
      <c r="L156" s="138" t="str">
        <f>_xlfn.XLOOKUP(B156,'00_SKU_Master'!$B$2:$B$378,'00_SKU_Master'!$D$2:$D$378)</f>
        <v>LCL</v>
      </c>
      <c r="M156" s="138">
        <f t="shared" si="14"/>
        <v>0</v>
      </c>
      <c r="N156" t="str">
        <f>IFERROR(_xlfn.XLOOKUP(B156,'00_SKU_Master'!$B$2:$B$378,'00_SKU_Master'!$E$2:$E$378,""),"")</f>
        <v>Fillet</v>
      </c>
      <c r="O156">
        <f>IFERROR(_xlfn.XLOOKUP(B156,'00_SKU_Master'!$B$2:$B$378,'00_SKU_Master'!$F$2:$F$378,0),0)</f>
        <v>0</v>
      </c>
      <c r="P156">
        <f>IFERROR(_xlfn.XLOOKUP(N156,'00_Yield_Rates'!$B$2:$B$33,'00_Yield_Rates'!$E$2:$E$33,0)/100,0)</f>
        <v>4.1200000000000001E-2</v>
      </c>
      <c r="Q156">
        <f t="shared" si="15"/>
        <v>0</v>
      </c>
      <c r="R156">
        <f t="shared" si="16"/>
        <v>0</v>
      </c>
      <c r="S156">
        <f t="shared" si="17"/>
        <v>0</v>
      </c>
    </row>
    <row r="157" spans="1:19">
      <c r="A157" s="138" t="str">
        <f>'00_SKU_Master'!J249</f>
        <v>PB FILLET LT PP</v>
      </c>
      <c r="B157" s="138">
        <f>'00_SKU_Master'!B249</f>
        <v>7303</v>
      </c>
      <c r="C157" s="165">
        <f>_xlfn.XLOOKUP(B157,'02_TrayPack_Order'!$A$2:$A$265,'02_TrayPack_Order'!$C$2:$C$265)</f>
        <v>0</v>
      </c>
      <c r="D157" s="166">
        <f>_xlfn.XLOOKUP(B157,'02_TrayPack_Order'!$A$2:$A$265,'02_TrayPack_Order'!$L$2:$L$265,0)</f>
        <v>0</v>
      </c>
      <c r="E157" s="165">
        <f>SUMIF('13_Progress_Track'!$A$2:$A$108,B157,'13_Progress_Track'!$E$2:$E$108)</f>
        <v>0</v>
      </c>
      <c r="F157" s="165">
        <f t="shared" si="12"/>
        <v>0</v>
      </c>
      <c r="G157" s="167">
        <f t="shared" si="13"/>
        <v>0</v>
      </c>
      <c r="H157" s="138">
        <f>_xlfn.IFNA(_xlfn.XLOOKUP(B157,'00_SKU_Master'!$B$2:$B$378,'00_SKU_Master'!$C$2:$C$378),"")</f>
        <v>61054</v>
      </c>
      <c r="I157" s="138"/>
      <c r="J157" s="14" t="str">
        <f>_xlfn.IFNA(_xlfn.XLOOKUP(B157,'00_SKU_Master'!B$2:B$378,'00_SKU_Master'!H$2:H$378,0),"")</f>
        <v>PET 8</v>
      </c>
      <c r="K157" s="14" t="str">
        <f>_xlfn.IFNA(_xlfn.XLOOKUP(B157,'00_SKU_Master'!B$2:B$378,'00_SKU_Master'!K$2:K$378,0),"")</f>
        <v>Slow</v>
      </c>
      <c r="L157" s="138" t="str">
        <f>_xlfn.XLOOKUP(B157,'00_SKU_Master'!$B$2:$B$378,'00_SKU_Master'!$D$2:$D$378)</f>
        <v>LCL</v>
      </c>
      <c r="M157" s="138">
        <f t="shared" si="14"/>
        <v>0</v>
      </c>
      <c r="N157" t="str">
        <f>IFERROR(_xlfn.XLOOKUP(B157,'00_SKU_Master'!$B$2:$B$378,'00_SKU_Master'!$E$2:$E$378,""),"")</f>
        <v>Fillet</v>
      </c>
      <c r="O157">
        <f>IFERROR(_xlfn.XLOOKUP(B157,'00_SKU_Master'!$B$2:$B$378,'00_SKU_Master'!$F$2:$F$378,0),0)</f>
        <v>0</v>
      </c>
      <c r="P157">
        <f>IFERROR(_xlfn.XLOOKUP(N157,'00_Yield_Rates'!$B$2:$B$33,'00_Yield_Rates'!$E$2:$E$33,0)/100,0)</f>
        <v>4.1200000000000001E-2</v>
      </c>
      <c r="Q157">
        <f t="shared" si="15"/>
        <v>0</v>
      </c>
      <c r="R157">
        <f t="shared" si="16"/>
        <v>0</v>
      </c>
      <c r="S157">
        <f t="shared" si="17"/>
        <v>0</v>
      </c>
    </row>
    <row r="158" spans="1:19">
      <c r="A158" s="138" t="str">
        <f>'00_SKU_Master'!J250</f>
        <v>PB FILLET LT PP</v>
      </c>
      <c r="B158" s="138">
        <f>'00_SKU_Master'!B250</f>
        <v>7304</v>
      </c>
      <c r="C158" s="165">
        <f>_xlfn.XLOOKUP(B158,'02_TrayPack_Order'!$A$2:$A$265,'02_TrayPack_Order'!$C$2:$C$265)</f>
        <v>0</v>
      </c>
      <c r="D158" s="166">
        <f>_xlfn.XLOOKUP(B158,'02_TrayPack_Order'!$A$2:$A$265,'02_TrayPack_Order'!$L$2:$L$265,0)</f>
        <v>0</v>
      </c>
      <c r="E158" s="165">
        <f>SUMIF('13_Progress_Track'!$A$2:$A$108,B158,'13_Progress_Track'!$E$2:$E$108)</f>
        <v>0</v>
      </c>
      <c r="F158" s="165">
        <f t="shared" si="12"/>
        <v>0</v>
      </c>
      <c r="G158" s="167">
        <f t="shared" si="13"/>
        <v>0</v>
      </c>
      <c r="H158" s="138">
        <f>_xlfn.IFNA(_xlfn.XLOOKUP(B158,'00_SKU_Master'!$B$2:$B$378,'00_SKU_Master'!$C$2:$C$378),"")</f>
        <v>61054</v>
      </c>
      <c r="I158" s="138"/>
      <c r="J158" s="14" t="str">
        <f>_xlfn.IFNA(_xlfn.XLOOKUP(B158,'00_SKU_Master'!B$2:B$378,'00_SKU_Master'!H$2:H$378,0),"")</f>
        <v>PET 8</v>
      </c>
      <c r="K158" s="14" t="str">
        <f>_xlfn.IFNA(_xlfn.XLOOKUP(B158,'00_SKU_Master'!B$2:B$378,'00_SKU_Master'!K$2:K$378,0),"")</f>
        <v>Slow</v>
      </c>
      <c r="L158" s="138" t="str">
        <f>_xlfn.XLOOKUP(B158,'00_SKU_Master'!$B$2:$B$378,'00_SKU_Master'!$D$2:$D$378)</f>
        <v>LCL</v>
      </c>
      <c r="M158" s="138">
        <f t="shared" si="14"/>
        <v>0</v>
      </c>
      <c r="N158" t="str">
        <f>IFERROR(_xlfn.XLOOKUP(B158,'00_SKU_Master'!$B$2:$B$378,'00_SKU_Master'!$E$2:$E$378,""),"")</f>
        <v>Fillet</v>
      </c>
      <c r="O158">
        <f>IFERROR(_xlfn.XLOOKUP(B158,'00_SKU_Master'!$B$2:$B$378,'00_SKU_Master'!$F$2:$F$378,0),0)</f>
        <v>0</v>
      </c>
      <c r="P158">
        <f>IFERROR(_xlfn.XLOOKUP(N158,'00_Yield_Rates'!$B$2:$B$33,'00_Yield_Rates'!$E$2:$E$33,0)/100,0)</f>
        <v>4.1200000000000001E-2</v>
      </c>
      <c r="Q158">
        <f t="shared" si="15"/>
        <v>0</v>
      </c>
      <c r="R158">
        <f t="shared" si="16"/>
        <v>0</v>
      </c>
      <c r="S158">
        <f t="shared" si="17"/>
        <v>0</v>
      </c>
    </row>
    <row r="159" spans="1:19">
      <c r="A159" s="138" t="str">
        <f>'00_SKU_Master'!J251</f>
        <v>MS BSHB CHUNK LT BSK</v>
      </c>
      <c r="B159" s="138">
        <f>'00_SKU_Master'!B251</f>
        <v>7310</v>
      </c>
      <c r="C159" s="165">
        <f>_xlfn.XLOOKUP(B159,'02_TrayPack_Order'!$A$2:$A$265,'02_TrayPack_Order'!$C$2:$C$265)</f>
        <v>0</v>
      </c>
      <c r="D159" s="166">
        <f>_xlfn.XLOOKUP(B159,'02_TrayPack_Order'!$A$2:$A$265,'02_TrayPack_Order'!$L$2:$L$265,0)</f>
        <v>0</v>
      </c>
      <c r="E159" s="165">
        <f>SUMIF('13_Progress_Track'!$A$2:$A$108,B159,'13_Progress_Track'!$E$2:$E$108)</f>
        <v>0</v>
      </c>
      <c r="F159" s="165">
        <f t="shared" si="12"/>
        <v>0</v>
      </c>
      <c r="G159" s="167">
        <f t="shared" si="13"/>
        <v>0</v>
      </c>
      <c r="H159" s="138">
        <f>_xlfn.IFNA(_xlfn.XLOOKUP(B159,'00_SKU_Master'!$B$2:$B$378,'00_SKU_Master'!$C$2:$C$378),"")</f>
        <v>61104</v>
      </c>
      <c r="I159" s="138"/>
      <c r="J159" s="14" t="str">
        <f>_xlfn.IFNA(_xlfn.XLOOKUP(B159,'00_SKU_Master'!B$2:B$378,'00_SKU_Master'!H$2:H$378,0),"")</f>
        <v>LT 8XP</v>
      </c>
      <c r="K159" s="14" t="str">
        <f>_xlfn.IFNA(_xlfn.XLOOKUP(B159,'00_SKU_Master'!B$2:B$378,'00_SKU_Master'!K$2:K$378,0),"")</f>
        <v>Fast</v>
      </c>
      <c r="L159" s="138" t="str">
        <f>_xlfn.XLOOKUP(B159,'00_SKU_Master'!$B$2:$B$378,'00_SKU_Master'!$D$2:$D$378)</f>
        <v>LCL</v>
      </c>
      <c r="M159" s="138">
        <f t="shared" si="14"/>
        <v>0</v>
      </c>
      <c r="N159" t="str">
        <f>IFERROR(_xlfn.XLOOKUP(B159,'00_SKU_Master'!$B$2:$B$378,'00_SKU_Master'!$E$2:$E$378,""),"")</f>
        <v>BSB</v>
      </c>
      <c r="O159">
        <f>IFERROR(_xlfn.XLOOKUP(B159,'00_SKU_Master'!$B$2:$B$378,'00_SKU_Master'!$F$2:$F$378,0),0)</f>
        <v>0</v>
      </c>
      <c r="P159">
        <f>IFERROR(_xlfn.XLOOKUP(N159,'00_Yield_Rates'!$B$2:$B$33,'00_Yield_Rates'!$E$2:$E$33,0)/100,0)</f>
        <v>0.31</v>
      </c>
      <c r="Q159">
        <f t="shared" si="15"/>
        <v>0</v>
      </c>
      <c r="R159">
        <f t="shared" si="16"/>
        <v>0</v>
      </c>
      <c r="S159">
        <f t="shared" si="17"/>
        <v>0</v>
      </c>
    </row>
    <row r="160" spans="1:19">
      <c r="A160" s="138" t="str">
        <f>'00_SKU_Master'!J252</f>
        <v>MS FRY WOG TI PET3 BSK</v>
      </c>
      <c r="B160" s="138">
        <f>'00_SKU_Master'!B252</f>
        <v>7340</v>
      </c>
      <c r="C160" s="165">
        <f>_xlfn.XLOOKUP(B160,'02_TrayPack_Order'!$A$2:$A$265,'02_TrayPack_Order'!$C$2:$C$265)</f>
        <v>0</v>
      </c>
      <c r="D160" s="166">
        <f>_xlfn.XLOOKUP(B160,'02_TrayPack_Order'!$A$2:$A$265,'02_TrayPack_Order'!$L$2:$L$265,0)</f>
        <v>0</v>
      </c>
      <c r="E160" s="165">
        <f>SUMIF('13_Progress_Track'!$A$2:$A$108,B160,'13_Progress_Track'!$E$2:$E$108)</f>
        <v>0</v>
      </c>
      <c r="F160" s="165">
        <f t="shared" si="12"/>
        <v>0</v>
      </c>
      <c r="G160" s="167">
        <f t="shared" si="13"/>
        <v>0</v>
      </c>
      <c r="H160" s="138">
        <f>_xlfn.IFNA(_xlfn.XLOOKUP(B160,'00_SKU_Master'!$B$2:$B$378,'00_SKU_Master'!$C$2:$C$378),"")</f>
        <v>203891</v>
      </c>
      <c r="I160" s="138"/>
      <c r="J160" s="14" t="str">
        <f>_xlfn.IFNA(_xlfn.XLOOKUP(B160,'00_SKU_Master'!B$2:B$378,'00_SKU_Master'!H$2:H$378,0),"")</f>
        <v>PET 3</v>
      </c>
      <c r="K160" s="14" t="str">
        <f>_xlfn.IFNA(_xlfn.XLOOKUP(B160,'00_SKU_Master'!B$2:B$378,'00_SKU_Master'!K$2:K$378,0),"")</f>
        <v>Fast</v>
      </c>
      <c r="L160" s="138" t="str">
        <f>_xlfn.XLOOKUP(B160,'00_SKU_Master'!$B$2:$B$378,'00_SKU_Master'!$D$2:$D$378)</f>
        <v>LCL</v>
      </c>
      <c r="M160" s="138">
        <f t="shared" si="14"/>
        <v>0</v>
      </c>
      <c r="N160" t="str">
        <f>IFERROR(_xlfn.XLOOKUP(B160,'00_SKU_Master'!$B$2:$B$378,'00_SKU_Master'!$E$2:$E$378,""),"")</f>
        <v>Whole Bird-Small</v>
      </c>
      <c r="O160">
        <f>IFERROR(_xlfn.XLOOKUP(B160,'00_SKU_Master'!$B$2:$B$378,'00_SKU_Master'!$F$2:$F$378,0),0)</f>
        <v>8.8899999999999899</v>
      </c>
      <c r="P160">
        <f>IFERROR(_xlfn.XLOOKUP(N160,'00_Yield_Rates'!$B$2:$B$33,'00_Yield_Rates'!$E$2:$E$33,0)/100,0)</f>
        <v>0</v>
      </c>
      <c r="Q160">
        <f t="shared" si="15"/>
        <v>0</v>
      </c>
      <c r="R160">
        <f t="shared" si="16"/>
        <v>0</v>
      </c>
      <c r="S160">
        <f t="shared" si="17"/>
        <v>0</v>
      </c>
    </row>
    <row r="161" spans="1:19">
      <c r="A161" s="138" t="str">
        <f>'00_SKU_Master'!J253</f>
        <v>MS FRY WOG TI PET3 PP BSK</v>
      </c>
      <c r="B161" s="138">
        <f>'00_SKU_Master'!B253</f>
        <v>7341</v>
      </c>
      <c r="C161" s="165">
        <f>_xlfn.XLOOKUP(B161,'02_TrayPack_Order'!$A$2:$A$265,'02_TrayPack_Order'!$C$2:$C$265)</f>
        <v>0</v>
      </c>
      <c r="D161" s="166">
        <f>_xlfn.XLOOKUP(B161,'02_TrayPack_Order'!$A$2:$A$265,'02_TrayPack_Order'!$L$2:$L$265,0)</f>
        <v>0</v>
      </c>
      <c r="E161" s="165">
        <f>SUMIF('13_Progress_Track'!$A$2:$A$108,B161,'13_Progress_Track'!$E$2:$E$108)</f>
        <v>0</v>
      </c>
      <c r="F161" s="165">
        <f t="shared" si="12"/>
        <v>0</v>
      </c>
      <c r="G161" s="167">
        <f t="shared" si="13"/>
        <v>0</v>
      </c>
      <c r="H161" s="138">
        <f>_xlfn.IFNA(_xlfn.XLOOKUP(B161,'00_SKU_Master'!$B$2:$B$378,'00_SKU_Master'!$C$2:$C$378),"")</f>
        <v>203891</v>
      </c>
      <c r="I161" s="138"/>
      <c r="J161" s="14" t="str">
        <f>_xlfn.IFNA(_xlfn.XLOOKUP(B161,'00_SKU_Master'!B$2:B$378,'00_SKU_Master'!H$2:H$378,0),"")</f>
        <v>PET 3</v>
      </c>
      <c r="K161" s="14" t="str">
        <f>_xlfn.IFNA(_xlfn.XLOOKUP(B161,'00_SKU_Master'!B$2:B$378,'00_SKU_Master'!K$2:K$378,0),"")</f>
        <v>Fast</v>
      </c>
      <c r="L161" s="138" t="str">
        <f>_xlfn.XLOOKUP(B161,'00_SKU_Master'!$B$2:$B$378,'00_SKU_Master'!$D$2:$D$378)</f>
        <v>LCL</v>
      </c>
      <c r="M161" s="138">
        <f t="shared" si="14"/>
        <v>0</v>
      </c>
      <c r="N161" t="str">
        <f>IFERROR(_xlfn.XLOOKUP(B161,'00_SKU_Master'!$B$2:$B$378,'00_SKU_Master'!$E$2:$E$378,""),"")</f>
        <v>Whole Bird-Small</v>
      </c>
      <c r="O161">
        <f>IFERROR(_xlfn.XLOOKUP(B161,'00_SKU_Master'!$B$2:$B$378,'00_SKU_Master'!$F$2:$F$378,0),0)</f>
        <v>0</v>
      </c>
      <c r="P161">
        <f>IFERROR(_xlfn.XLOOKUP(N161,'00_Yield_Rates'!$B$2:$B$33,'00_Yield_Rates'!$E$2:$E$33,0)/100,0)</f>
        <v>0</v>
      </c>
      <c r="Q161">
        <f t="shared" si="15"/>
        <v>0</v>
      </c>
      <c r="R161">
        <f t="shared" si="16"/>
        <v>0</v>
      </c>
      <c r="S161">
        <f t="shared" si="17"/>
        <v>0</v>
      </c>
    </row>
    <row r="162" spans="1:19">
      <c r="A162" s="138" t="str">
        <f>'00_SKU_Master'!J254</f>
        <v>MS LCL LEG BA PET8 PP BSK</v>
      </c>
      <c r="B162" s="138">
        <f>'00_SKU_Master'!B254</f>
        <v>7342</v>
      </c>
      <c r="C162" s="165">
        <f>_xlfn.XLOOKUP(B162,'02_TrayPack_Order'!$A$2:$A$265,'02_TrayPack_Order'!$C$2:$C$265)</f>
        <v>0</v>
      </c>
      <c r="D162" s="166">
        <f>_xlfn.XLOOKUP(B162,'02_TrayPack_Order'!$A$2:$A$265,'02_TrayPack_Order'!$L$2:$L$265,0)</f>
        <v>0</v>
      </c>
      <c r="E162" s="165">
        <f>SUMIF('13_Progress_Track'!$A$2:$A$108,B162,'13_Progress_Track'!$E$2:$E$108)</f>
        <v>0</v>
      </c>
      <c r="F162" s="165">
        <f t="shared" si="12"/>
        <v>0</v>
      </c>
      <c r="G162" s="167">
        <f t="shared" si="13"/>
        <v>0</v>
      </c>
      <c r="H162" s="138">
        <f>_xlfn.IFNA(_xlfn.XLOOKUP(B162,'00_SKU_Master'!$B$2:$B$378,'00_SKU_Master'!$C$2:$C$378),"")</f>
        <v>61061</v>
      </c>
      <c r="I162" s="138"/>
      <c r="J162" s="14" t="str">
        <f>_xlfn.IFNA(_xlfn.XLOOKUP(B162,'00_SKU_Master'!B$2:B$378,'00_SKU_Master'!H$2:H$378,0),"")</f>
        <v>PET 8</v>
      </c>
      <c r="K162" s="14" t="str">
        <f>_xlfn.IFNA(_xlfn.XLOOKUP(B162,'00_SKU_Master'!B$2:B$378,'00_SKU_Master'!K$2:K$378,0),"")</f>
        <v>Fast</v>
      </c>
      <c r="L162" s="138" t="str">
        <f>_xlfn.XLOOKUP(B162,'00_SKU_Master'!$B$2:$B$378,'00_SKU_Master'!$D$2:$D$378)</f>
        <v>LCL</v>
      </c>
      <c r="M162" s="138">
        <f t="shared" si="14"/>
        <v>0</v>
      </c>
      <c r="N162" t="str">
        <f>IFERROR(_xlfn.XLOOKUP(B162,'00_SKU_Master'!$B$2:$B$378,'00_SKU_Master'!$E$2:$E$378,""),"")</f>
        <v>BA</v>
      </c>
      <c r="O162">
        <f>IFERROR(_xlfn.XLOOKUP(B162,'00_SKU_Master'!$B$2:$B$378,'00_SKU_Master'!$F$2:$F$378,0),0)</f>
        <v>0</v>
      </c>
      <c r="P162">
        <f>IFERROR(_xlfn.XLOOKUP(N162,'00_Yield_Rates'!$B$2:$B$33,'00_Yield_Rates'!$E$2:$E$33,0)/100,0)</f>
        <v>0.42</v>
      </c>
      <c r="Q162">
        <f t="shared" si="15"/>
        <v>0</v>
      </c>
      <c r="R162">
        <f t="shared" si="16"/>
        <v>0</v>
      </c>
      <c r="S162">
        <f t="shared" si="17"/>
        <v>0</v>
      </c>
    </row>
    <row r="163" spans="1:19">
      <c r="A163" s="138" t="str">
        <f>'00_SKU_Master'!J255</f>
        <v>MS LCL BSHB PET6 PP BSK</v>
      </c>
      <c r="B163" s="138">
        <f>'00_SKU_Master'!B255</f>
        <v>7343</v>
      </c>
      <c r="C163" s="165">
        <f>_xlfn.XLOOKUP(B163,'02_TrayPack_Order'!$A$2:$A$265,'02_TrayPack_Order'!$C$2:$C$265)</f>
        <v>0</v>
      </c>
      <c r="D163" s="166">
        <f>_xlfn.XLOOKUP(B163,'02_TrayPack_Order'!$A$2:$A$265,'02_TrayPack_Order'!$L$2:$L$265,0)</f>
        <v>0</v>
      </c>
      <c r="E163" s="165">
        <f>SUMIF('13_Progress_Track'!$A$2:$A$108,B163,'13_Progress_Track'!$E$2:$E$108)</f>
        <v>0</v>
      </c>
      <c r="F163" s="165">
        <f t="shared" si="12"/>
        <v>0</v>
      </c>
      <c r="G163" s="167">
        <f t="shared" si="13"/>
        <v>0</v>
      </c>
      <c r="H163" s="138" t="str">
        <f>_xlfn.IFNA(_xlfn.XLOOKUP(B163,'00_SKU_Master'!$B$2:$B$378,'00_SKU_Master'!$C$2:$C$378),"")</f>
        <v>61050#2</v>
      </c>
      <c r="I163" s="138"/>
      <c r="J163" s="14" t="str">
        <f>_xlfn.IFNA(_xlfn.XLOOKUP(B163,'00_SKU_Master'!B$2:B$378,'00_SKU_Master'!H$2:H$378,0),"")</f>
        <v>PET 6</v>
      </c>
      <c r="K163" s="14" t="str">
        <f>_xlfn.IFNA(_xlfn.XLOOKUP(B163,'00_SKU_Master'!B$2:B$378,'00_SKU_Master'!K$2:K$378,0),"")</f>
        <v>Fast</v>
      </c>
      <c r="L163" s="138" t="str">
        <f>_xlfn.XLOOKUP(B163,'00_SKU_Master'!$B$2:$B$378,'00_SKU_Master'!$D$2:$D$378)</f>
        <v>LCL</v>
      </c>
      <c r="M163" s="138">
        <f t="shared" si="14"/>
        <v>0</v>
      </c>
      <c r="N163" t="str">
        <f>IFERROR(_xlfn.XLOOKUP(B163,'00_SKU_Master'!$B$2:$B$378,'00_SKU_Master'!$E$2:$E$378,""),"")</f>
        <v>BSB</v>
      </c>
      <c r="O163">
        <f>IFERROR(_xlfn.XLOOKUP(B163,'00_SKU_Master'!$B$2:$B$378,'00_SKU_Master'!$F$2:$F$378,0),0)</f>
        <v>0</v>
      </c>
      <c r="P163">
        <f>IFERROR(_xlfn.XLOOKUP(N163,'00_Yield_Rates'!$B$2:$B$33,'00_Yield_Rates'!$E$2:$E$33,0)/100,0)</f>
        <v>0.31</v>
      </c>
      <c r="Q163">
        <f t="shared" si="15"/>
        <v>0</v>
      </c>
      <c r="R163">
        <f t="shared" si="16"/>
        <v>0</v>
      </c>
      <c r="S163">
        <f t="shared" si="17"/>
        <v>0</v>
      </c>
    </row>
    <row r="164" spans="1:19">
      <c r="A164" s="138" t="str">
        <f>'00_SKU_Master'!J256</f>
        <v>PB LEG BA LT</v>
      </c>
      <c r="B164" s="138">
        <f>'00_SKU_Master'!B256</f>
        <v>7378</v>
      </c>
      <c r="C164" s="165">
        <f>_xlfn.XLOOKUP(B164,'02_TrayPack_Order'!$A$2:$A$265,'02_TrayPack_Order'!$C$2:$C$265)</f>
        <v>0</v>
      </c>
      <c r="D164" s="166">
        <f>_xlfn.XLOOKUP(B164,'02_TrayPack_Order'!$A$2:$A$265,'02_TrayPack_Order'!$L$2:$L$265,0)</f>
        <v>0</v>
      </c>
      <c r="E164" s="165">
        <f>SUMIF('13_Progress_Track'!$A$2:$A$108,B164,'13_Progress_Track'!$E$2:$E$108)</f>
        <v>0</v>
      </c>
      <c r="F164" s="165">
        <f t="shared" si="12"/>
        <v>0</v>
      </c>
      <c r="G164" s="167">
        <f t="shared" si="13"/>
        <v>0</v>
      </c>
      <c r="H164" s="138">
        <f>_xlfn.IFNA(_xlfn.XLOOKUP(B164,'00_SKU_Master'!$B$2:$B$378,'00_SKU_Master'!$C$2:$C$378),"")</f>
        <v>61061</v>
      </c>
      <c r="I164" s="138"/>
      <c r="J164" s="14" t="str">
        <f>_xlfn.IFNA(_xlfn.XLOOKUP(B164,'00_SKU_Master'!B$2:B$378,'00_SKU_Master'!H$2:H$378,0),"")</f>
        <v>PET 8</v>
      </c>
      <c r="K164" s="14" t="str">
        <f>_xlfn.IFNA(_xlfn.XLOOKUP(B164,'00_SKU_Master'!B$2:B$378,'00_SKU_Master'!K$2:K$378,0),"")</f>
        <v>Fast</v>
      </c>
      <c r="L164" s="138" t="str">
        <f>_xlfn.XLOOKUP(B164,'00_SKU_Master'!$B$2:$B$378,'00_SKU_Master'!$D$2:$D$378)</f>
        <v>LCL</v>
      </c>
      <c r="M164" s="138">
        <f t="shared" si="14"/>
        <v>0</v>
      </c>
      <c r="N164" t="str">
        <f>IFERROR(_xlfn.XLOOKUP(B164,'00_SKU_Master'!$B$2:$B$378,'00_SKU_Master'!$E$2:$E$378,""),"")</f>
        <v>BA</v>
      </c>
      <c r="O164">
        <f>IFERROR(_xlfn.XLOOKUP(B164,'00_SKU_Master'!$B$2:$B$378,'00_SKU_Master'!$F$2:$F$378,0),0)</f>
        <v>0</v>
      </c>
      <c r="P164">
        <f>IFERROR(_xlfn.XLOOKUP(N164,'00_Yield_Rates'!$B$2:$B$33,'00_Yield_Rates'!$E$2:$E$33,0)/100,0)</f>
        <v>0.42</v>
      </c>
      <c r="Q164">
        <f t="shared" si="15"/>
        <v>0</v>
      </c>
      <c r="R164">
        <f t="shared" si="16"/>
        <v>0</v>
      </c>
      <c r="S164">
        <f t="shared" si="17"/>
        <v>0</v>
      </c>
    </row>
    <row r="165" spans="1:19">
      <c r="A165" s="138" t="str">
        <f>'00_SKU_Master'!J257</f>
        <v>PB BSC DRUM ST PP BSK</v>
      </c>
      <c r="B165" s="138">
        <f>'00_SKU_Master'!B257</f>
        <v>7396</v>
      </c>
      <c r="C165" s="165">
        <f>_xlfn.XLOOKUP(B165,'02_TrayPack_Order'!$A$2:$A$265,'02_TrayPack_Order'!$C$2:$C$265)</f>
        <v>0</v>
      </c>
      <c r="D165" s="166">
        <f>_xlfn.XLOOKUP(B165,'02_TrayPack_Order'!$A$2:$A$265,'02_TrayPack_Order'!$L$2:$L$265,0)</f>
        <v>0</v>
      </c>
      <c r="E165" s="165">
        <f>SUMIF('13_Progress_Track'!$A$2:$A$108,B165,'13_Progress_Track'!$E$2:$E$108)</f>
        <v>0</v>
      </c>
      <c r="F165" s="165">
        <f t="shared" si="12"/>
        <v>0</v>
      </c>
      <c r="G165" s="167">
        <f t="shared" si="13"/>
        <v>0</v>
      </c>
      <c r="H165" s="138" t="str">
        <f>_xlfn.IFNA(_xlfn.XLOOKUP(B165,'00_SKU_Master'!$B$2:$B$378,'00_SKU_Master'!$C$2:$C$378),"")</f>
        <v>61072#2</v>
      </c>
      <c r="I165" s="138"/>
      <c r="J165" s="14" t="str">
        <f>_xlfn.IFNA(_xlfn.XLOOKUP(B165,'00_SKU_Master'!B$2:B$378,'00_SKU_Master'!H$2:H$378,0),"")</f>
        <v>ST 3XP</v>
      </c>
      <c r="K165" s="14" t="str">
        <f>_xlfn.IFNA(_xlfn.XLOOKUP(B165,'00_SKU_Master'!B$2:B$378,'00_SKU_Master'!K$2:K$378,0),"")</f>
        <v>Fast</v>
      </c>
      <c r="L165" s="138" t="str">
        <f>_xlfn.XLOOKUP(B165,'00_SKU_Master'!$B$2:$B$378,'00_SKU_Master'!$D$2:$D$378)</f>
        <v>FB</v>
      </c>
      <c r="M165" s="138">
        <f t="shared" si="14"/>
        <v>0</v>
      </c>
      <c r="N165" t="str">
        <f>IFERROR(_xlfn.XLOOKUP(B165,'00_SKU_Master'!$B$2:$B$378,'00_SKU_Master'!$E$2:$E$378,""),"")</f>
        <v>Drum</v>
      </c>
      <c r="O165">
        <f>IFERROR(_xlfn.XLOOKUP(B165,'00_SKU_Master'!$B$2:$B$378,'00_SKU_Master'!$F$2:$F$378,0),0)</f>
        <v>0</v>
      </c>
      <c r="P165">
        <f>IFERROR(_xlfn.XLOOKUP(N165,'00_Yield_Rates'!$B$2:$B$33,'00_Yield_Rates'!$E$2:$E$33,0)/100,0)</f>
        <v>0.128</v>
      </c>
      <c r="Q165">
        <f t="shared" si="15"/>
        <v>0</v>
      </c>
      <c r="R165">
        <f t="shared" si="16"/>
        <v>0</v>
      </c>
      <c r="S165">
        <f t="shared" si="17"/>
        <v>0</v>
      </c>
    </row>
    <row r="166" spans="1:19">
      <c r="A166" s="138" t="str">
        <f>'00_SKU_Master'!J258</f>
        <v>PB BSC THIGH ST PP BSK</v>
      </c>
      <c r="B166" s="138">
        <f>'00_SKU_Master'!B258</f>
        <v>7397</v>
      </c>
      <c r="C166" s="165">
        <f>_xlfn.XLOOKUP(B166,'02_TrayPack_Order'!$A$2:$A$265,'02_TrayPack_Order'!$C$2:$C$265)</f>
        <v>0</v>
      </c>
      <c r="D166" s="166">
        <f>_xlfn.XLOOKUP(B166,'02_TrayPack_Order'!$A$2:$A$265,'02_TrayPack_Order'!$L$2:$L$265,0)</f>
        <v>0</v>
      </c>
      <c r="E166" s="165">
        <f>SUMIF('13_Progress_Track'!$A$2:$A$108,B166,'13_Progress_Track'!$E$2:$E$108)</f>
        <v>0</v>
      </c>
      <c r="F166" s="165">
        <f t="shared" si="12"/>
        <v>0</v>
      </c>
      <c r="G166" s="167">
        <f t="shared" si="13"/>
        <v>0</v>
      </c>
      <c r="H166" s="138">
        <f>_xlfn.IFNA(_xlfn.XLOOKUP(B166,'00_SKU_Master'!$B$2:$B$378,'00_SKU_Master'!$C$2:$C$378),"")</f>
        <v>61082</v>
      </c>
      <c r="I166" s="138"/>
      <c r="J166" s="14" t="str">
        <f>_xlfn.IFNA(_xlfn.XLOOKUP(B166,'00_SKU_Master'!B$2:B$378,'00_SKU_Master'!H$2:H$378,0),"")</f>
        <v>ST 3XP</v>
      </c>
      <c r="K166" s="14" t="str">
        <f>_xlfn.IFNA(_xlfn.XLOOKUP(B166,'00_SKU_Master'!B$2:B$378,'00_SKU_Master'!K$2:K$378,0),"")</f>
        <v>Fast</v>
      </c>
      <c r="L166" s="138" t="str">
        <f>_xlfn.XLOOKUP(B166,'00_SKU_Master'!$B$2:$B$378,'00_SKU_Master'!$D$2:$D$378)</f>
        <v>FB</v>
      </c>
      <c r="M166" s="138">
        <f t="shared" si="14"/>
        <v>0</v>
      </c>
      <c r="N166" t="str">
        <f>IFERROR(_xlfn.XLOOKUP(B166,'00_SKU_Master'!$B$2:$B$378,'00_SKU_Master'!$E$2:$E$378,""),"")</f>
        <v>Thigh</v>
      </c>
      <c r="O166">
        <f>IFERROR(_xlfn.XLOOKUP(B166,'00_SKU_Master'!$B$2:$B$378,'00_SKU_Master'!$F$2:$F$378,0),0)</f>
        <v>0</v>
      </c>
      <c r="P166">
        <f>IFERROR(_xlfn.XLOOKUP(N166,'00_Yield_Rates'!$B$2:$B$33,'00_Yield_Rates'!$E$2:$E$33,0)/100,0)</f>
        <v>0.191</v>
      </c>
      <c r="Q166">
        <f t="shared" si="15"/>
        <v>0</v>
      </c>
      <c r="R166">
        <f t="shared" si="16"/>
        <v>0</v>
      </c>
      <c r="S166">
        <f t="shared" si="17"/>
        <v>0</v>
      </c>
    </row>
    <row r="167" spans="1:19">
      <c r="A167" s="138" t="str">
        <f>'00_SKU_Master'!J259</f>
        <v>MS BSC BSHB LT PP BSK</v>
      </c>
      <c r="B167" s="138">
        <f>'00_SKU_Master'!B259</f>
        <v>7398</v>
      </c>
      <c r="C167" s="165">
        <f>_xlfn.XLOOKUP(B167,'02_TrayPack_Order'!$A$2:$A$265,'02_TrayPack_Order'!$C$2:$C$265)</f>
        <v>0</v>
      </c>
      <c r="D167" s="166">
        <f>_xlfn.XLOOKUP(B167,'02_TrayPack_Order'!$A$2:$A$265,'02_TrayPack_Order'!$L$2:$L$265,0)</f>
        <v>0</v>
      </c>
      <c r="E167" s="165">
        <f>SUMIF('13_Progress_Track'!$A$2:$A$108,B167,'13_Progress_Track'!$E$2:$E$108)</f>
        <v>0</v>
      </c>
      <c r="F167" s="165">
        <f t="shared" si="12"/>
        <v>0</v>
      </c>
      <c r="G167" s="167">
        <f t="shared" si="13"/>
        <v>0</v>
      </c>
      <c r="H167" s="138" t="str">
        <f>_xlfn.IFNA(_xlfn.XLOOKUP(B167,'00_SKU_Master'!$B$2:$B$378,'00_SKU_Master'!$C$2:$C$378),"")</f>
        <v>61050#2</v>
      </c>
      <c r="I167" s="138"/>
      <c r="J167" s="14" t="str">
        <f>_xlfn.IFNA(_xlfn.XLOOKUP(B167,'00_SKU_Master'!B$2:B$378,'00_SKU_Master'!H$2:H$378,0),"")</f>
        <v>LT 8XP</v>
      </c>
      <c r="K167" s="14" t="str">
        <f>_xlfn.IFNA(_xlfn.XLOOKUP(B167,'00_SKU_Master'!B$2:B$378,'00_SKU_Master'!K$2:K$378,0),"")</f>
        <v>Fast</v>
      </c>
      <c r="L167" s="138" t="str">
        <f>_xlfn.XLOOKUP(B167,'00_SKU_Master'!$B$2:$B$378,'00_SKU_Master'!$D$2:$D$378)</f>
        <v>FB</v>
      </c>
      <c r="M167" s="138">
        <f t="shared" si="14"/>
        <v>0</v>
      </c>
      <c r="N167" t="str">
        <f>IFERROR(_xlfn.XLOOKUP(B167,'00_SKU_Master'!$B$2:$B$378,'00_SKU_Master'!$E$2:$E$378,""),"")</f>
        <v>BSB</v>
      </c>
      <c r="O167">
        <f>IFERROR(_xlfn.XLOOKUP(B167,'00_SKU_Master'!$B$2:$B$378,'00_SKU_Master'!$F$2:$F$378,0),0)</f>
        <v>0</v>
      </c>
      <c r="P167">
        <f>IFERROR(_xlfn.XLOOKUP(N167,'00_Yield_Rates'!$B$2:$B$33,'00_Yield_Rates'!$E$2:$E$33,0)/100,0)</f>
        <v>0.31</v>
      </c>
      <c r="Q167">
        <f t="shared" si="15"/>
        <v>0</v>
      </c>
      <c r="R167">
        <f t="shared" si="16"/>
        <v>0</v>
      </c>
      <c r="S167">
        <f t="shared" si="17"/>
        <v>0</v>
      </c>
    </row>
    <row r="168" spans="1:19">
      <c r="A168" s="138" t="str">
        <f>'00_SKU_Master'!J260</f>
        <v>MS BSC 1.1-1.31KG FRY WOG TI PP BSK</v>
      </c>
      <c r="B168" s="138">
        <f>'00_SKU_Master'!B260</f>
        <v>7416</v>
      </c>
      <c r="C168" s="165">
        <f>_xlfn.XLOOKUP(B168,'02_TrayPack_Order'!$A$2:$A$265,'02_TrayPack_Order'!$C$2:$C$265)</f>
        <v>0</v>
      </c>
      <c r="D168" s="166">
        <f>_xlfn.XLOOKUP(B168,'02_TrayPack_Order'!$A$2:$A$265,'02_TrayPack_Order'!$L$2:$L$265,0)</f>
        <v>0</v>
      </c>
      <c r="E168" s="165">
        <f>SUMIF('13_Progress_Track'!$A$2:$A$108,B168,'13_Progress_Track'!$E$2:$E$108)</f>
        <v>0</v>
      </c>
      <c r="F168" s="165">
        <f t="shared" si="12"/>
        <v>0</v>
      </c>
      <c r="G168" s="167">
        <f t="shared" si="13"/>
        <v>0</v>
      </c>
      <c r="H168" s="138">
        <f>_xlfn.IFNA(_xlfn.XLOOKUP(B168,'00_SKU_Master'!$B$2:$B$378,'00_SKU_Master'!$C$2:$C$378),"")</f>
        <v>203891</v>
      </c>
      <c r="I168" s="138"/>
      <c r="J168" s="14" t="str">
        <f>_xlfn.IFNA(_xlfn.XLOOKUP(B168,'00_SKU_Master'!B$2:B$378,'00_SKU_Master'!H$2:H$378,0),"")</f>
        <v>ST 3XP</v>
      </c>
      <c r="K168" s="14" t="str">
        <f>_xlfn.IFNA(_xlfn.XLOOKUP(B168,'00_SKU_Master'!B$2:B$378,'00_SKU_Master'!K$2:K$378,0),"")</f>
        <v>Fast</v>
      </c>
      <c r="L168" s="138" t="str">
        <f>_xlfn.XLOOKUP(B168,'00_SKU_Master'!$B$2:$B$378,'00_SKU_Master'!$D$2:$D$378)</f>
        <v>FB</v>
      </c>
      <c r="M168" s="138">
        <f t="shared" si="14"/>
        <v>0</v>
      </c>
      <c r="N168" t="str">
        <f>IFERROR(_xlfn.XLOOKUP(B168,'00_SKU_Master'!$B$2:$B$378,'00_SKU_Master'!$E$2:$E$378,""),"")</f>
        <v>Whole Bird-Small</v>
      </c>
      <c r="O168">
        <f>IFERROR(_xlfn.XLOOKUP(B168,'00_SKU_Master'!$B$2:$B$378,'00_SKU_Master'!$F$2:$F$378,0),0)</f>
        <v>0</v>
      </c>
      <c r="P168">
        <f>IFERROR(_xlfn.XLOOKUP(N168,'00_Yield_Rates'!$B$2:$B$33,'00_Yield_Rates'!$E$2:$E$33,0)/100,0)</f>
        <v>0</v>
      </c>
      <c r="Q168">
        <f t="shared" si="15"/>
        <v>0</v>
      </c>
      <c r="R168">
        <f t="shared" si="16"/>
        <v>0</v>
      </c>
      <c r="S168">
        <f t="shared" si="17"/>
        <v>0</v>
      </c>
    </row>
    <row r="169" spans="1:19">
      <c r="A169" s="138" t="str">
        <f>'00_SKU_Master'!J261</f>
        <v>PB BSC BSTHIGH ST PP BSK</v>
      </c>
      <c r="B169" s="138">
        <f>'00_SKU_Master'!B261</f>
        <v>7522</v>
      </c>
      <c r="C169" s="165">
        <f>_xlfn.XLOOKUP(B169,'02_TrayPack_Order'!$A$2:$A$265,'02_TrayPack_Order'!$C$2:$C$265)</f>
        <v>0</v>
      </c>
      <c r="D169" s="166">
        <f>_xlfn.XLOOKUP(B169,'02_TrayPack_Order'!$A$2:$A$265,'02_TrayPack_Order'!$L$2:$L$265,0)</f>
        <v>0</v>
      </c>
      <c r="E169" s="165">
        <f>SUMIF('13_Progress_Track'!$A$2:$A$108,B169,'13_Progress_Track'!$E$2:$E$108)</f>
        <v>0</v>
      </c>
      <c r="F169" s="165">
        <f t="shared" si="12"/>
        <v>0</v>
      </c>
      <c r="G169" s="167">
        <f t="shared" si="13"/>
        <v>0</v>
      </c>
      <c r="H169" s="138" t="str">
        <f>_xlfn.IFNA(_xlfn.XLOOKUP(B169,'00_SKU_Master'!$B$2:$B$378,'00_SKU_Master'!$C$2:$C$378),"")</f>
        <v>61086#2</v>
      </c>
      <c r="I169" s="138"/>
      <c r="J169" s="14" t="str">
        <f>_xlfn.IFNA(_xlfn.XLOOKUP(B169,'00_SKU_Master'!B$2:B$378,'00_SKU_Master'!H$2:H$378,0),"")</f>
        <v>ST 3XP</v>
      </c>
      <c r="K169" s="14" t="str">
        <f>_xlfn.IFNA(_xlfn.XLOOKUP(B169,'00_SKU_Master'!B$2:B$378,'00_SKU_Master'!K$2:K$378,0),"")</f>
        <v>Slow</v>
      </c>
      <c r="L169" s="138" t="str">
        <f>_xlfn.XLOOKUP(B169,'00_SKU_Master'!$B$2:$B$378,'00_SKU_Master'!$D$2:$D$378)</f>
        <v>FB</v>
      </c>
      <c r="M169" s="138">
        <f t="shared" si="14"/>
        <v>0</v>
      </c>
      <c r="N169" t="str">
        <f>IFERROR(_xlfn.XLOOKUP(B169,'00_SKU_Master'!$B$2:$B$378,'00_SKU_Master'!$E$2:$E$378,""),"")</f>
        <v>ThighMeat</v>
      </c>
      <c r="O169">
        <f>IFERROR(_xlfn.XLOOKUP(B169,'00_SKU_Master'!$B$2:$B$378,'00_SKU_Master'!$F$2:$F$378,0),0)</f>
        <v>0</v>
      </c>
      <c r="P169">
        <f>IFERROR(_xlfn.XLOOKUP(N169,'00_Yield_Rates'!$B$2:$B$33,'00_Yield_Rates'!$E$2:$E$33,0)/100,0)</f>
        <v>0.105</v>
      </c>
      <c r="Q169">
        <f t="shared" si="15"/>
        <v>0</v>
      </c>
      <c r="R169">
        <f t="shared" si="16"/>
        <v>0</v>
      </c>
      <c r="S169">
        <f t="shared" si="17"/>
        <v>0</v>
      </c>
    </row>
    <row r="170" spans="1:19">
      <c r="A170" s="138" t="str">
        <f>'00_SKU_Master'!J262</f>
        <v>PB BSC HB ST PP BSK</v>
      </c>
      <c r="B170" s="138">
        <f>'00_SKU_Master'!B262</f>
        <v>7553</v>
      </c>
      <c r="C170" s="165">
        <f>_xlfn.XLOOKUP(B170,'02_TrayPack_Order'!$A$2:$A$265,'02_TrayPack_Order'!$C$2:$C$265)</f>
        <v>0</v>
      </c>
      <c r="D170" s="166">
        <f>_xlfn.XLOOKUP(B170,'02_TrayPack_Order'!$A$2:$A$265,'02_TrayPack_Order'!$L$2:$L$265,0)</f>
        <v>0</v>
      </c>
      <c r="E170" s="165">
        <f>SUMIF('13_Progress_Track'!$A$2:$A$108,B170,'13_Progress_Track'!$E$2:$E$108)</f>
        <v>0</v>
      </c>
      <c r="F170" s="165">
        <f t="shared" si="12"/>
        <v>0</v>
      </c>
      <c r="G170" s="167">
        <f t="shared" si="13"/>
        <v>0</v>
      </c>
      <c r="H170" s="138" t="str">
        <f>_xlfn.IFNA(_xlfn.XLOOKUP(B170,'00_SKU_Master'!$B$2:$B$378,'00_SKU_Master'!$C$2:$C$378),"")</f>
        <v>61040#2</v>
      </c>
      <c r="I170" s="138"/>
      <c r="J170" s="14" t="str">
        <f>_xlfn.IFNA(_xlfn.XLOOKUP(B170,'00_SKU_Master'!B$2:B$378,'00_SKU_Master'!H$2:H$378,0),"")</f>
        <v>ST 3XP</v>
      </c>
      <c r="K170" s="14" t="str">
        <f>_xlfn.IFNA(_xlfn.XLOOKUP(B170,'00_SKU_Master'!B$2:B$378,'00_SKU_Master'!K$2:K$378,0),"")</f>
        <v>Fast</v>
      </c>
      <c r="L170" s="138" t="str">
        <f>_xlfn.XLOOKUP(B170,'00_SKU_Master'!$B$2:$B$378,'00_SKU_Master'!$D$2:$D$378)</f>
        <v>FB</v>
      </c>
      <c r="M170" s="138">
        <f t="shared" si="14"/>
        <v>0</v>
      </c>
      <c r="N170" t="str">
        <f>IFERROR(_xlfn.XLOOKUP(B170,'00_SKU_Master'!$B$2:$B$378,'00_SKU_Master'!$E$2:$E$378,""),"")</f>
        <v>SplitBreast</v>
      </c>
      <c r="O170">
        <f>IFERROR(_xlfn.XLOOKUP(B170,'00_SKU_Master'!$B$2:$B$378,'00_SKU_Master'!$F$2:$F$378,0),0)</f>
        <v>0</v>
      </c>
      <c r="P170">
        <f>IFERROR(_xlfn.XLOOKUP(N170,'00_Yield_Rates'!$B$2:$B$33,'00_Yield_Rates'!$E$2:$E$33,0)/100,0)</f>
        <v>0.43</v>
      </c>
      <c r="Q170">
        <f t="shared" si="15"/>
        <v>0</v>
      </c>
      <c r="R170">
        <f t="shared" si="16"/>
        <v>0</v>
      </c>
      <c r="S170">
        <f t="shared" si="17"/>
        <v>0</v>
      </c>
    </row>
    <row r="171" spans="1:19">
      <c r="A171" s="138" t="str">
        <f>'00_SKU_Master'!J263</f>
        <v>PB BSC SKLS HB ST PP BSK</v>
      </c>
      <c r="B171" s="138">
        <f>'00_SKU_Master'!B263</f>
        <v>7554</v>
      </c>
      <c r="C171" s="165">
        <f>_xlfn.XLOOKUP(B171,'02_TrayPack_Order'!$A$2:$A$265,'02_TrayPack_Order'!$C$2:$C$265)</f>
        <v>0</v>
      </c>
      <c r="D171" s="166">
        <f>_xlfn.XLOOKUP(B171,'02_TrayPack_Order'!$A$2:$A$265,'02_TrayPack_Order'!$L$2:$L$265,0)</f>
        <v>0</v>
      </c>
      <c r="E171" s="165">
        <f>SUMIF('13_Progress_Track'!$A$2:$A$108,B171,'13_Progress_Track'!$E$2:$E$108)</f>
        <v>0</v>
      </c>
      <c r="F171" s="165">
        <f t="shared" si="12"/>
        <v>0</v>
      </c>
      <c r="G171" s="167">
        <f t="shared" si="13"/>
        <v>0</v>
      </c>
      <c r="H171" s="138" t="str">
        <f>_xlfn.IFNA(_xlfn.XLOOKUP(B171,'00_SKU_Master'!$B$2:$B$378,'00_SKU_Master'!$C$2:$C$378),"")</f>
        <v>61048#2</v>
      </c>
      <c r="I171" s="138"/>
      <c r="J171" s="14" t="str">
        <f>_xlfn.IFNA(_xlfn.XLOOKUP(B171,'00_SKU_Master'!B$2:B$378,'00_SKU_Master'!H$2:H$378,0),"")</f>
        <v>ST 3XP</v>
      </c>
      <c r="K171" s="14" t="str">
        <f>_xlfn.IFNA(_xlfn.XLOOKUP(B171,'00_SKU_Master'!B$2:B$378,'00_SKU_Master'!K$2:K$378,0),"")</f>
        <v>Fast</v>
      </c>
      <c r="L171" s="138" t="str">
        <f>_xlfn.XLOOKUP(B171,'00_SKU_Master'!$B$2:$B$378,'00_SKU_Master'!$D$2:$D$378)</f>
        <v>FB</v>
      </c>
      <c r="M171" s="138">
        <f t="shared" si="14"/>
        <v>0</v>
      </c>
      <c r="N171" t="str">
        <f>IFERROR(_xlfn.XLOOKUP(B171,'00_SKU_Master'!$B$2:$B$378,'00_SKU_Master'!$E$2:$E$378,""),"")</f>
        <v>SplitBreast</v>
      </c>
      <c r="O171">
        <f>IFERROR(_xlfn.XLOOKUP(B171,'00_SKU_Master'!$B$2:$B$378,'00_SKU_Master'!$F$2:$F$378,0),0)</f>
        <v>0</v>
      </c>
      <c r="P171">
        <f>IFERROR(_xlfn.XLOOKUP(N171,'00_Yield_Rates'!$B$2:$B$33,'00_Yield_Rates'!$E$2:$E$33,0)/100,0)</f>
        <v>0.43</v>
      </c>
      <c r="Q171">
        <f t="shared" si="15"/>
        <v>0</v>
      </c>
      <c r="R171">
        <f t="shared" si="16"/>
        <v>0</v>
      </c>
      <c r="S171">
        <f t="shared" si="17"/>
        <v>0</v>
      </c>
    </row>
    <row r="172" spans="1:19">
      <c r="A172" s="138" t="str">
        <f>'00_SKU_Master'!J264</f>
        <v>PB BSC SKLS HB LT PP BSK</v>
      </c>
      <c r="B172" s="138">
        <f>'00_SKU_Master'!B264</f>
        <v>7557</v>
      </c>
      <c r="C172" s="165">
        <f>_xlfn.XLOOKUP(B172,'02_TrayPack_Order'!$A$2:$A$265,'02_TrayPack_Order'!$C$2:$C$265)</f>
        <v>0</v>
      </c>
      <c r="D172" s="166">
        <f>_xlfn.XLOOKUP(B172,'02_TrayPack_Order'!$A$2:$A$265,'02_TrayPack_Order'!$L$2:$L$265,0)</f>
        <v>0</v>
      </c>
      <c r="E172" s="165">
        <f>SUMIF('13_Progress_Track'!$A$2:$A$108,B172,'13_Progress_Track'!$E$2:$E$108)</f>
        <v>0</v>
      </c>
      <c r="F172" s="165">
        <f t="shared" si="12"/>
        <v>0</v>
      </c>
      <c r="G172" s="167">
        <f t="shared" si="13"/>
        <v>0</v>
      </c>
      <c r="H172" s="138" t="str">
        <f>_xlfn.IFNA(_xlfn.XLOOKUP(B172,'00_SKU_Master'!$B$2:$B$378,'00_SKU_Master'!$C$2:$C$378),"")</f>
        <v>61048#2</v>
      </c>
      <c r="I172" s="138"/>
      <c r="J172" s="14" t="str">
        <f>_xlfn.IFNA(_xlfn.XLOOKUP(B172,'00_SKU_Master'!B$2:B$378,'00_SKU_Master'!H$2:H$378,0),"")</f>
        <v>LT 8XP</v>
      </c>
      <c r="K172" s="14" t="str">
        <f>_xlfn.IFNA(_xlfn.XLOOKUP(B172,'00_SKU_Master'!B$2:B$378,'00_SKU_Master'!K$2:K$378,0),"")</f>
        <v>Fast</v>
      </c>
      <c r="L172" s="138" t="str">
        <f>_xlfn.XLOOKUP(B172,'00_SKU_Master'!$B$2:$B$378,'00_SKU_Master'!$D$2:$D$378)</f>
        <v>FB</v>
      </c>
      <c r="M172" s="138">
        <f t="shared" si="14"/>
        <v>0</v>
      </c>
      <c r="N172" t="str">
        <f>IFERROR(_xlfn.XLOOKUP(B172,'00_SKU_Master'!$B$2:$B$378,'00_SKU_Master'!$E$2:$E$378,""),"")</f>
        <v>SplitBreast</v>
      </c>
      <c r="O172">
        <f>IFERROR(_xlfn.XLOOKUP(B172,'00_SKU_Master'!$B$2:$B$378,'00_SKU_Master'!$F$2:$F$378,0),0)</f>
        <v>0</v>
      </c>
      <c r="P172">
        <f>IFERROR(_xlfn.XLOOKUP(N172,'00_Yield_Rates'!$B$2:$B$33,'00_Yield_Rates'!$E$2:$E$33,0)/100,0)</f>
        <v>0.43</v>
      </c>
      <c r="Q172">
        <f t="shared" si="15"/>
        <v>0</v>
      </c>
      <c r="R172">
        <f t="shared" si="16"/>
        <v>0</v>
      </c>
      <c r="S172">
        <f t="shared" si="17"/>
        <v>0</v>
      </c>
    </row>
    <row r="173" spans="1:19">
      <c r="A173" s="138" t="str">
        <f>'00_SKU_Master'!J265</f>
        <v>MS BSHB WOF PET8 BSK</v>
      </c>
      <c r="B173" s="138">
        <f>'00_SKU_Master'!B265</f>
        <v>7605</v>
      </c>
      <c r="C173" s="165">
        <f>_xlfn.XLOOKUP(B173,'02_TrayPack_Order'!$A$2:$A$265,'02_TrayPack_Order'!$C$2:$C$265)</f>
        <v>0</v>
      </c>
      <c r="D173" s="166">
        <f>_xlfn.XLOOKUP(B173,'02_TrayPack_Order'!$A$2:$A$265,'02_TrayPack_Order'!$L$2:$L$265,0)</f>
        <v>0</v>
      </c>
      <c r="E173" s="165">
        <f>SUMIF('13_Progress_Track'!$A$2:$A$108,B173,'13_Progress_Track'!$E$2:$E$108)</f>
        <v>0</v>
      </c>
      <c r="F173" s="165">
        <f t="shared" si="12"/>
        <v>0</v>
      </c>
      <c r="G173" s="167">
        <f t="shared" si="13"/>
        <v>0</v>
      </c>
      <c r="H173" s="138">
        <f>_xlfn.IFNA(_xlfn.XLOOKUP(B173,'00_SKU_Master'!$B$2:$B$378,'00_SKU_Master'!$C$2:$C$378),"")</f>
        <v>61055</v>
      </c>
      <c r="I173" s="138"/>
      <c r="J173" s="14" t="str">
        <f>_xlfn.IFNA(_xlfn.XLOOKUP(B173,'00_SKU_Master'!B$2:B$378,'00_SKU_Master'!H$2:H$378,0),"")</f>
        <v>PET 8</v>
      </c>
      <c r="K173" s="14" t="str">
        <f>_xlfn.IFNA(_xlfn.XLOOKUP(B173,'00_SKU_Master'!B$2:B$378,'00_SKU_Master'!K$2:K$378,0),"")</f>
        <v>Fast</v>
      </c>
      <c r="L173" s="138" t="str">
        <f>_xlfn.XLOOKUP(B173,'00_SKU_Master'!$B$2:$B$378,'00_SKU_Master'!$D$2:$D$378)</f>
        <v>LCL</v>
      </c>
      <c r="M173" s="138">
        <f t="shared" si="14"/>
        <v>0</v>
      </c>
      <c r="N173" t="str">
        <f>IFERROR(_xlfn.XLOOKUP(B173,'00_SKU_Master'!$B$2:$B$378,'00_SKU_Master'!$E$2:$E$378,""),"")</f>
        <v>BSB</v>
      </c>
      <c r="O173">
        <f>IFERROR(_xlfn.XLOOKUP(B173,'00_SKU_Master'!$B$2:$B$378,'00_SKU_Master'!$F$2:$F$378,0),0)</f>
        <v>9.2949999999999999</v>
      </c>
      <c r="P173">
        <f>IFERROR(_xlfn.XLOOKUP(N173,'00_Yield_Rates'!$B$2:$B$33,'00_Yield_Rates'!$E$2:$E$33,0)/100,0)</f>
        <v>0.31</v>
      </c>
      <c r="Q173">
        <f t="shared" si="15"/>
        <v>0</v>
      </c>
      <c r="R173">
        <f t="shared" si="16"/>
        <v>0</v>
      </c>
      <c r="S173">
        <f t="shared" si="17"/>
        <v>0</v>
      </c>
    </row>
    <row r="174" spans="1:19">
      <c r="A174" s="138" t="str">
        <f>'00_SKU_Master'!J266</f>
        <v>MS BSHB WOF PET8 PP BSK</v>
      </c>
      <c r="B174" s="138">
        <f>'00_SKU_Master'!B266</f>
        <v>7606</v>
      </c>
      <c r="C174" s="165">
        <f>_xlfn.XLOOKUP(B174,'02_TrayPack_Order'!$A$2:$A$265,'02_TrayPack_Order'!$C$2:$C$265)</f>
        <v>0</v>
      </c>
      <c r="D174" s="166">
        <f>_xlfn.XLOOKUP(B174,'02_TrayPack_Order'!$A$2:$A$265,'02_TrayPack_Order'!$L$2:$L$265,0)</f>
        <v>0</v>
      </c>
      <c r="E174" s="165">
        <f>SUMIF('13_Progress_Track'!$A$2:$A$108,B174,'13_Progress_Track'!$E$2:$E$108)</f>
        <v>0</v>
      </c>
      <c r="F174" s="165">
        <f t="shared" si="12"/>
        <v>0</v>
      </c>
      <c r="G174" s="167">
        <f t="shared" si="13"/>
        <v>0</v>
      </c>
      <c r="H174" s="138">
        <f>_xlfn.IFNA(_xlfn.XLOOKUP(B174,'00_SKU_Master'!$B$2:$B$378,'00_SKU_Master'!$C$2:$C$378),"")</f>
        <v>61055</v>
      </c>
      <c r="I174" s="138"/>
      <c r="J174" s="14" t="str">
        <f>_xlfn.IFNA(_xlfn.XLOOKUP(B174,'00_SKU_Master'!B$2:B$378,'00_SKU_Master'!H$2:H$378,0),"")</f>
        <v>PET 8</v>
      </c>
      <c r="K174" s="14" t="str">
        <f>_xlfn.IFNA(_xlfn.XLOOKUP(B174,'00_SKU_Master'!B$2:B$378,'00_SKU_Master'!K$2:K$378,0),"")</f>
        <v>Fast</v>
      </c>
      <c r="L174" s="138" t="str">
        <f>_xlfn.XLOOKUP(B174,'00_SKU_Master'!$B$2:$B$378,'00_SKU_Master'!$D$2:$D$378)</f>
        <v>LCL</v>
      </c>
      <c r="M174" s="138">
        <f t="shared" si="14"/>
        <v>0</v>
      </c>
      <c r="N174" t="str">
        <f>IFERROR(_xlfn.XLOOKUP(B174,'00_SKU_Master'!$B$2:$B$378,'00_SKU_Master'!$E$2:$E$378,""),"")</f>
        <v>BSB</v>
      </c>
      <c r="O174">
        <f>IFERROR(_xlfn.XLOOKUP(B174,'00_SKU_Master'!$B$2:$B$378,'00_SKU_Master'!$F$2:$F$378,0),0)</f>
        <v>9.2949999999999999</v>
      </c>
      <c r="P174">
        <f>IFERROR(_xlfn.XLOOKUP(N174,'00_Yield_Rates'!$B$2:$B$33,'00_Yield_Rates'!$E$2:$E$33,0)/100,0)</f>
        <v>0.31</v>
      </c>
      <c r="Q174">
        <f t="shared" si="15"/>
        <v>0</v>
      </c>
      <c r="R174">
        <f t="shared" si="16"/>
        <v>0</v>
      </c>
      <c r="S174">
        <f t="shared" si="17"/>
        <v>0</v>
      </c>
    </row>
    <row r="175" spans="1:19">
      <c r="A175" s="138" t="str">
        <f>'00_SKU_Master'!J267</f>
        <v>MS BSHB WOF PET8 PP BSK</v>
      </c>
      <c r="B175" s="138">
        <f>'00_SKU_Master'!B267</f>
        <v>7607</v>
      </c>
      <c r="C175" s="165">
        <f>_xlfn.XLOOKUP(B175,'02_TrayPack_Order'!$A$2:$A$265,'02_TrayPack_Order'!$C$2:$C$265)</f>
        <v>0</v>
      </c>
      <c r="D175" s="166">
        <f>_xlfn.XLOOKUP(B175,'02_TrayPack_Order'!$A$2:$A$265,'02_TrayPack_Order'!$L$2:$L$265,0)</f>
        <v>0</v>
      </c>
      <c r="E175" s="165">
        <f>SUMIF('13_Progress_Track'!$A$2:$A$108,B175,'13_Progress_Track'!$E$2:$E$108)</f>
        <v>0</v>
      </c>
      <c r="F175" s="165">
        <f t="shared" si="12"/>
        <v>0</v>
      </c>
      <c r="G175" s="167">
        <f t="shared" si="13"/>
        <v>0</v>
      </c>
      <c r="H175" s="138">
        <f>_xlfn.IFNA(_xlfn.XLOOKUP(B175,'00_SKU_Master'!$B$2:$B$378,'00_SKU_Master'!$C$2:$C$378),"")</f>
        <v>61055</v>
      </c>
      <c r="I175" s="138"/>
      <c r="J175" s="14" t="str">
        <f>_xlfn.IFNA(_xlfn.XLOOKUP(B175,'00_SKU_Master'!B$2:B$378,'00_SKU_Master'!H$2:H$378,0),"")</f>
        <v>PET 8</v>
      </c>
      <c r="K175" s="14" t="str">
        <f>_xlfn.IFNA(_xlfn.XLOOKUP(B175,'00_SKU_Master'!B$2:B$378,'00_SKU_Master'!K$2:K$378,0),"")</f>
        <v>Fast</v>
      </c>
      <c r="L175" s="138" t="str">
        <f>_xlfn.XLOOKUP(B175,'00_SKU_Master'!$B$2:$B$378,'00_SKU_Master'!$D$2:$D$378)</f>
        <v>LCL</v>
      </c>
      <c r="M175" s="138">
        <f t="shared" si="14"/>
        <v>0</v>
      </c>
      <c r="N175" t="str">
        <f>IFERROR(_xlfn.XLOOKUP(B175,'00_SKU_Master'!$B$2:$B$378,'00_SKU_Master'!$E$2:$E$378,""),"")</f>
        <v>BSB</v>
      </c>
      <c r="O175">
        <f>IFERROR(_xlfn.XLOOKUP(B175,'00_SKU_Master'!$B$2:$B$378,'00_SKU_Master'!$F$2:$F$378,0),0)</f>
        <v>9.2949999999999999</v>
      </c>
      <c r="P175">
        <f>IFERROR(_xlfn.XLOOKUP(N175,'00_Yield_Rates'!$B$2:$B$33,'00_Yield_Rates'!$E$2:$E$33,0)/100,0)</f>
        <v>0.31</v>
      </c>
      <c r="Q175">
        <f t="shared" si="15"/>
        <v>0</v>
      </c>
      <c r="R175">
        <f t="shared" si="16"/>
        <v>0</v>
      </c>
      <c r="S175">
        <f t="shared" si="17"/>
        <v>0</v>
      </c>
    </row>
    <row r="176" spans="1:19">
      <c r="A176" s="138" t="str">
        <f>'00_SKU_Master'!J268</f>
        <v>MS LCL BSHB WOF PET8 PP BSK</v>
      </c>
      <c r="B176" s="138">
        <f>'00_SKU_Master'!B268</f>
        <v>7608</v>
      </c>
      <c r="C176" s="165">
        <f>_xlfn.XLOOKUP(B176,'02_TrayPack_Order'!$A$2:$A$265,'02_TrayPack_Order'!$C$2:$C$265)</f>
        <v>0</v>
      </c>
      <c r="D176" s="166">
        <f>_xlfn.XLOOKUP(B176,'02_TrayPack_Order'!$A$2:$A$265,'02_TrayPack_Order'!$L$2:$L$265,0)</f>
        <v>0</v>
      </c>
      <c r="E176" s="165">
        <f>SUMIF('13_Progress_Track'!$A$2:$A$108,B176,'13_Progress_Track'!$E$2:$E$108)</f>
        <v>0</v>
      </c>
      <c r="F176" s="165">
        <f t="shared" si="12"/>
        <v>0</v>
      </c>
      <c r="G176" s="167">
        <f t="shared" si="13"/>
        <v>0</v>
      </c>
      <c r="H176" s="138">
        <f>_xlfn.IFNA(_xlfn.XLOOKUP(B176,'00_SKU_Master'!$B$2:$B$378,'00_SKU_Master'!$C$2:$C$378),"")</f>
        <v>61055</v>
      </c>
      <c r="I176" s="138"/>
      <c r="J176" s="14" t="str">
        <f>_xlfn.IFNA(_xlfn.XLOOKUP(B176,'00_SKU_Master'!B$2:B$378,'00_SKU_Master'!H$2:H$378,0),"")</f>
        <v>PET 8</v>
      </c>
      <c r="K176" s="14" t="str">
        <f>_xlfn.IFNA(_xlfn.XLOOKUP(B176,'00_SKU_Master'!B$2:B$378,'00_SKU_Master'!K$2:K$378,0),"")</f>
        <v>Fast</v>
      </c>
      <c r="L176" s="138" t="str">
        <f>_xlfn.XLOOKUP(B176,'00_SKU_Master'!$B$2:$B$378,'00_SKU_Master'!$D$2:$D$378)</f>
        <v>LCL</v>
      </c>
      <c r="M176" s="138">
        <f t="shared" si="14"/>
        <v>0</v>
      </c>
      <c r="N176" t="str">
        <f>IFERROR(_xlfn.XLOOKUP(B176,'00_SKU_Master'!$B$2:$B$378,'00_SKU_Master'!$E$2:$E$378,""),"")</f>
        <v>BSB</v>
      </c>
      <c r="O176">
        <f>IFERROR(_xlfn.XLOOKUP(B176,'00_SKU_Master'!$B$2:$B$378,'00_SKU_Master'!$F$2:$F$378,0),0)</f>
        <v>9.2949999999999999</v>
      </c>
      <c r="P176">
        <f>IFERROR(_xlfn.XLOOKUP(N176,'00_Yield_Rates'!$B$2:$B$33,'00_Yield_Rates'!$E$2:$E$33,0)/100,0)</f>
        <v>0.31</v>
      </c>
      <c r="Q176">
        <f t="shared" si="15"/>
        <v>0</v>
      </c>
      <c r="R176">
        <f t="shared" si="16"/>
        <v>0</v>
      </c>
      <c r="S176">
        <f t="shared" si="17"/>
        <v>0</v>
      </c>
    </row>
    <row r="177" spans="1:19">
      <c r="A177" s="138" t="str">
        <f>'00_SKU_Master'!J269</f>
        <v>MS LCL BSHB AC 3D PP BSK</v>
      </c>
      <c r="B177" s="138">
        <f>'00_SKU_Master'!B269</f>
        <v>7811</v>
      </c>
      <c r="C177" s="165">
        <f>_xlfn.XLOOKUP(B177,'02_TrayPack_Order'!$A$2:$A$265,'02_TrayPack_Order'!$C$2:$C$265)</f>
        <v>0</v>
      </c>
      <c r="D177" s="166">
        <f>_xlfn.XLOOKUP(B177,'02_TrayPack_Order'!$A$2:$A$265,'02_TrayPack_Order'!$L$2:$L$265,0)</f>
        <v>0</v>
      </c>
      <c r="E177" s="165">
        <f>SUMIF('13_Progress_Track'!$A$2:$A$108,B177,'13_Progress_Track'!$E$2:$E$108)</f>
        <v>0</v>
      </c>
      <c r="F177" s="165">
        <f t="shared" si="12"/>
        <v>0</v>
      </c>
      <c r="G177" s="167">
        <f t="shared" si="13"/>
        <v>0</v>
      </c>
      <c r="H177" s="138">
        <f>_xlfn.IFNA(_xlfn.XLOOKUP(B177,'00_SKU_Master'!$B$2:$B$378,'00_SKU_Master'!$C$2:$C$378),"")</f>
        <v>61050</v>
      </c>
      <c r="I177" s="138"/>
      <c r="J177" s="14" t="str">
        <f>_xlfn.IFNA(_xlfn.XLOOKUP(B177,'00_SKU_Master'!B$2:B$378,'00_SKU_Master'!H$2:H$378,0),"")</f>
        <v>ST 3D</v>
      </c>
      <c r="K177" s="14" t="str">
        <f>_xlfn.IFNA(_xlfn.XLOOKUP(B177,'00_SKU_Master'!B$2:B$378,'00_SKU_Master'!K$2:K$378,0),"")</f>
        <v>Fast</v>
      </c>
      <c r="L177" s="138" t="str">
        <f>_xlfn.XLOOKUP(B177,'00_SKU_Master'!$B$2:$B$378,'00_SKU_Master'!$D$2:$D$378)</f>
        <v>LCL</v>
      </c>
      <c r="M177" s="138">
        <f t="shared" si="14"/>
        <v>0</v>
      </c>
      <c r="N177" t="str">
        <f>IFERROR(_xlfn.XLOOKUP(B177,'00_SKU_Master'!$B$2:$B$378,'00_SKU_Master'!$E$2:$E$378,""),"")</f>
        <v>BSB</v>
      </c>
      <c r="O177">
        <f>IFERROR(_xlfn.XLOOKUP(B177,'00_SKU_Master'!$B$2:$B$378,'00_SKU_Master'!$F$2:$F$378,0),0)</f>
        <v>0</v>
      </c>
      <c r="P177">
        <f>IFERROR(_xlfn.XLOOKUP(N177,'00_Yield_Rates'!$B$2:$B$33,'00_Yield_Rates'!$E$2:$E$33,0)/100,0)</f>
        <v>0.31</v>
      </c>
      <c r="Q177">
        <f t="shared" si="15"/>
        <v>0</v>
      </c>
      <c r="R177">
        <f t="shared" si="16"/>
        <v>0</v>
      </c>
      <c r="S177">
        <f t="shared" si="17"/>
        <v>0</v>
      </c>
    </row>
    <row r="178" spans="1:19">
      <c r="A178" s="138" t="str">
        <f>'00_SKU_Master'!J270</f>
        <v>MS LCL BSHB AC 6D PP BSK</v>
      </c>
      <c r="B178" s="138">
        <f>'00_SKU_Master'!B270</f>
        <v>7812</v>
      </c>
      <c r="C178" s="165">
        <f>_xlfn.XLOOKUP(B178,'02_TrayPack_Order'!$A$2:$A$265,'02_TrayPack_Order'!$C$2:$C$265)</f>
        <v>0</v>
      </c>
      <c r="D178" s="166">
        <f>_xlfn.XLOOKUP(B178,'02_TrayPack_Order'!$A$2:$A$265,'02_TrayPack_Order'!$L$2:$L$265,0)</f>
        <v>0</v>
      </c>
      <c r="E178" s="165">
        <f>SUMIF('13_Progress_Track'!$A$2:$A$108,B178,'13_Progress_Track'!$E$2:$E$108)</f>
        <v>0</v>
      </c>
      <c r="F178" s="165">
        <f t="shared" si="12"/>
        <v>0</v>
      </c>
      <c r="G178" s="167">
        <f t="shared" si="13"/>
        <v>0</v>
      </c>
      <c r="H178" s="138">
        <f>_xlfn.IFNA(_xlfn.XLOOKUP(B178,'00_SKU_Master'!$B$2:$B$378,'00_SKU_Master'!$C$2:$C$378),"")</f>
        <v>61050</v>
      </c>
      <c r="I178" s="138"/>
      <c r="J178" s="14" t="str">
        <f>_xlfn.IFNA(_xlfn.XLOOKUP(B178,'00_SKU_Master'!B$2:B$378,'00_SKU_Master'!H$2:H$378,0),"")</f>
        <v>LT 6D</v>
      </c>
      <c r="K178" s="14" t="str">
        <f>_xlfn.IFNA(_xlfn.XLOOKUP(B178,'00_SKU_Master'!B$2:B$378,'00_SKU_Master'!K$2:K$378,0),"")</f>
        <v>Fast</v>
      </c>
      <c r="L178" s="138" t="str">
        <f>_xlfn.XLOOKUP(B178,'00_SKU_Master'!$B$2:$B$378,'00_SKU_Master'!$D$2:$D$378)</f>
        <v>LCL</v>
      </c>
      <c r="M178" s="138">
        <f t="shared" si="14"/>
        <v>0</v>
      </c>
      <c r="N178" t="str">
        <f>IFERROR(_xlfn.XLOOKUP(B178,'00_SKU_Master'!$B$2:$B$378,'00_SKU_Master'!$E$2:$E$378,""),"")</f>
        <v>BSB</v>
      </c>
      <c r="O178">
        <f>IFERROR(_xlfn.XLOOKUP(B178,'00_SKU_Master'!$B$2:$B$378,'00_SKU_Master'!$F$2:$F$378,0),0)</f>
        <v>0</v>
      </c>
      <c r="P178">
        <f>IFERROR(_xlfn.XLOOKUP(N178,'00_Yield_Rates'!$B$2:$B$33,'00_Yield_Rates'!$E$2:$E$33,0)/100,0)</f>
        <v>0.31</v>
      </c>
      <c r="Q178">
        <f t="shared" si="15"/>
        <v>0</v>
      </c>
      <c r="R178">
        <f t="shared" si="16"/>
        <v>0</v>
      </c>
      <c r="S178">
        <f t="shared" si="17"/>
        <v>0</v>
      </c>
    </row>
    <row r="179" spans="1:19">
      <c r="A179" s="138" t="str">
        <f>'00_SKU_Master'!J271</f>
        <v>MS LCL BSHB AC 8D PP BSK</v>
      </c>
      <c r="B179" s="138">
        <f>'00_SKU_Master'!B271</f>
        <v>7813</v>
      </c>
      <c r="C179" s="165">
        <f>_xlfn.XLOOKUP(B179,'02_TrayPack_Order'!$A$2:$A$265,'02_TrayPack_Order'!$C$2:$C$265)</f>
        <v>0</v>
      </c>
      <c r="D179" s="166">
        <f>_xlfn.XLOOKUP(B179,'02_TrayPack_Order'!$A$2:$A$265,'02_TrayPack_Order'!$L$2:$L$265,0)</f>
        <v>0</v>
      </c>
      <c r="E179" s="165">
        <f>SUMIF('13_Progress_Track'!$A$2:$A$108,B179,'13_Progress_Track'!$E$2:$E$108)</f>
        <v>0</v>
      </c>
      <c r="F179" s="165">
        <f t="shared" si="12"/>
        <v>0</v>
      </c>
      <c r="G179" s="167">
        <f t="shared" si="13"/>
        <v>0</v>
      </c>
      <c r="H179" s="138">
        <f>_xlfn.IFNA(_xlfn.XLOOKUP(B179,'00_SKU_Master'!$B$2:$B$378,'00_SKU_Master'!$C$2:$C$378),"")</f>
        <v>61050</v>
      </c>
      <c r="I179" s="138"/>
      <c r="J179" s="14" t="str">
        <f>_xlfn.IFNA(_xlfn.XLOOKUP(B179,'00_SKU_Master'!B$2:B$378,'00_SKU_Master'!H$2:H$378,0),"")</f>
        <v>PET 8</v>
      </c>
      <c r="K179" s="14" t="str">
        <f>_xlfn.IFNA(_xlfn.XLOOKUP(B179,'00_SKU_Master'!B$2:B$378,'00_SKU_Master'!K$2:K$378,0),"")</f>
        <v>Fast</v>
      </c>
      <c r="L179" s="138" t="str">
        <f>_xlfn.XLOOKUP(B179,'00_SKU_Master'!$B$2:$B$378,'00_SKU_Master'!$D$2:$D$378)</f>
        <v>LCL</v>
      </c>
      <c r="M179" s="138">
        <f t="shared" si="14"/>
        <v>0</v>
      </c>
      <c r="N179" t="str">
        <f>IFERROR(_xlfn.XLOOKUP(B179,'00_SKU_Master'!$B$2:$B$378,'00_SKU_Master'!$E$2:$E$378,""),"")</f>
        <v>BSB</v>
      </c>
      <c r="O179">
        <f>IFERROR(_xlfn.XLOOKUP(B179,'00_SKU_Master'!$B$2:$B$378,'00_SKU_Master'!$F$2:$F$378,0),0)</f>
        <v>0</v>
      </c>
      <c r="P179">
        <f>IFERROR(_xlfn.XLOOKUP(N179,'00_Yield_Rates'!$B$2:$B$33,'00_Yield_Rates'!$E$2:$E$33,0)/100,0)</f>
        <v>0.31</v>
      </c>
      <c r="Q179">
        <f t="shared" si="15"/>
        <v>0</v>
      </c>
      <c r="R179">
        <f t="shared" si="16"/>
        <v>0</v>
      </c>
      <c r="S179">
        <f t="shared" si="17"/>
        <v>0</v>
      </c>
    </row>
    <row r="180" spans="1:19">
      <c r="A180" s="138" t="str">
        <f>'00_SKU_Master'!J272</f>
        <v>MS LCL BTFLYB WOF AC 3XP PP BSK</v>
      </c>
      <c r="B180" s="138">
        <f>'00_SKU_Master'!B272</f>
        <v>7814</v>
      </c>
      <c r="C180" s="165">
        <f>_xlfn.XLOOKUP(B180,'02_TrayPack_Order'!$A$2:$A$265,'02_TrayPack_Order'!$C$2:$C$265)</f>
        <v>0</v>
      </c>
      <c r="D180" s="166">
        <f>_xlfn.XLOOKUP(B180,'02_TrayPack_Order'!$A$2:$A$265,'02_TrayPack_Order'!$L$2:$L$265,0)</f>
        <v>0</v>
      </c>
      <c r="E180" s="165">
        <f>SUMIF('13_Progress_Track'!$A$2:$A$108,B180,'13_Progress_Track'!$E$2:$E$108)</f>
        <v>0</v>
      </c>
      <c r="F180" s="165">
        <f t="shared" si="12"/>
        <v>0</v>
      </c>
      <c r="G180" s="167">
        <f t="shared" si="13"/>
        <v>0</v>
      </c>
      <c r="H180" s="138">
        <f>_xlfn.IFNA(_xlfn.XLOOKUP(B180,'00_SKU_Master'!$B$2:$B$378,'00_SKU_Master'!$C$2:$C$378),"")</f>
        <v>61069</v>
      </c>
      <c r="I180" s="138"/>
      <c r="J180" s="14" t="str">
        <f>_xlfn.IFNA(_xlfn.XLOOKUP(B180,'00_SKU_Master'!B$2:B$378,'00_SKU_Master'!H$2:H$378,0),"")</f>
        <v>ST 3XP</v>
      </c>
      <c r="K180" s="14" t="str">
        <f>_xlfn.IFNA(_xlfn.XLOOKUP(B180,'00_SKU_Master'!B$2:B$378,'00_SKU_Master'!K$2:K$378,0),"")</f>
        <v>Fast</v>
      </c>
      <c r="L180" s="138" t="str">
        <f>_xlfn.XLOOKUP(B180,'00_SKU_Master'!$B$2:$B$378,'00_SKU_Master'!$D$2:$D$378)</f>
        <v>LCL</v>
      </c>
      <c r="M180" s="138">
        <f t="shared" si="14"/>
        <v>0</v>
      </c>
      <c r="N180" t="str">
        <f>IFERROR(_xlfn.XLOOKUP(B180,'00_SKU_Master'!$B$2:$B$378,'00_SKU_Master'!$E$2:$E$378,""),"")</f>
        <v>BSB</v>
      </c>
      <c r="O180">
        <f>IFERROR(_xlfn.XLOOKUP(B180,'00_SKU_Master'!$B$2:$B$378,'00_SKU_Master'!$F$2:$F$378,0),0)</f>
        <v>0</v>
      </c>
      <c r="P180">
        <f>IFERROR(_xlfn.XLOOKUP(N180,'00_Yield_Rates'!$B$2:$B$33,'00_Yield_Rates'!$E$2:$E$33,0)/100,0)</f>
        <v>0.31</v>
      </c>
      <c r="Q180">
        <f t="shared" si="15"/>
        <v>0</v>
      </c>
      <c r="R180">
        <f t="shared" si="16"/>
        <v>0</v>
      </c>
      <c r="S180">
        <f t="shared" si="17"/>
        <v>0</v>
      </c>
    </row>
    <row r="181" spans="1:19">
      <c r="A181" s="138" t="str">
        <f>'00_SKU_Master'!J273</f>
        <v>MS LCL FILLET AC 3XP PP BSK</v>
      </c>
      <c r="B181" s="138">
        <f>'00_SKU_Master'!B273</f>
        <v>7815</v>
      </c>
      <c r="C181" s="165">
        <f>_xlfn.XLOOKUP(B181,'02_TrayPack_Order'!$A$2:$A$265,'02_TrayPack_Order'!$C$2:$C$265)</f>
        <v>0</v>
      </c>
      <c r="D181" s="166">
        <f>_xlfn.XLOOKUP(B181,'02_TrayPack_Order'!$A$2:$A$265,'02_TrayPack_Order'!$L$2:$L$265,0)</f>
        <v>0</v>
      </c>
      <c r="E181" s="165">
        <f>SUMIF('13_Progress_Track'!$A$2:$A$108,B181,'13_Progress_Track'!$E$2:$E$108)</f>
        <v>0</v>
      </c>
      <c r="F181" s="165">
        <f t="shared" si="12"/>
        <v>0</v>
      </c>
      <c r="G181" s="167">
        <f t="shared" si="13"/>
        <v>0</v>
      </c>
      <c r="H181" s="138">
        <f>_xlfn.IFNA(_xlfn.XLOOKUP(B181,'00_SKU_Master'!$B$2:$B$378,'00_SKU_Master'!$C$2:$C$378),"")</f>
        <v>61054</v>
      </c>
      <c r="I181" s="138"/>
      <c r="J181" s="14" t="str">
        <f>_xlfn.IFNA(_xlfn.XLOOKUP(B181,'00_SKU_Master'!B$2:B$378,'00_SKU_Master'!H$2:H$378,0),"")</f>
        <v>ST 3XP</v>
      </c>
      <c r="K181" s="14" t="str">
        <f>_xlfn.IFNA(_xlfn.XLOOKUP(B181,'00_SKU_Master'!B$2:B$378,'00_SKU_Master'!K$2:K$378,0),"")</f>
        <v>Slow</v>
      </c>
      <c r="L181" s="138" t="str">
        <f>_xlfn.XLOOKUP(B181,'00_SKU_Master'!$B$2:$B$378,'00_SKU_Master'!$D$2:$D$378)</f>
        <v>LCL</v>
      </c>
      <c r="M181" s="138">
        <f t="shared" si="14"/>
        <v>0</v>
      </c>
      <c r="N181" t="str">
        <f>IFERROR(_xlfn.XLOOKUP(B181,'00_SKU_Master'!$B$2:$B$378,'00_SKU_Master'!$E$2:$E$378,""),"")</f>
        <v>Fillet</v>
      </c>
      <c r="O181">
        <f>IFERROR(_xlfn.XLOOKUP(B181,'00_SKU_Master'!$B$2:$B$378,'00_SKU_Master'!$F$2:$F$378,0),0)</f>
        <v>0</v>
      </c>
      <c r="P181">
        <f>IFERROR(_xlfn.XLOOKUP(N181,'00_Yield_Rates'!$B$2:$B$33,'00_Yield_Rates'!$E$2:$E$33,0)/100,0)</f>
        <v>4.1200000000000001E-2</v>
      </c>
      <c r="Q181">
        <f t="shared" si="15"/>
        <v>0</v>
      </c>
      <c r="R181">
        <f t="shared" si="16"/>
        <v>0</v>
      </c>
      <c r="S181">
        <f t="shared" si="17"/>
        <v>0</v>
      </c>
    </row>
    <row r="182" spans="1:19">
      <c r="A182" s="138" t="str">
        <f>'00_SKU_Master'!J274</f>
        <v>MS LCL BSTHIGH AC 6D PP BSK</v>
      </c>
      <c r="B182" s="138">
        <f>'00_SKU_Master'!B274</f>
        <v>7816</v>
      </c>
      <c r="C182" s="165">
        <f>_xlfn.XLOOKUP(B182,'02_TrayPack_Order'!$A$2:$A$265,'02_TrayPack_Order'!$C$2:$C$265)</f>
        <v>0</v>
      </c>
      <c r="D182" s="166">
        <f>_xlfn.XLOOKUP(B182,'02_TrayPack_Order'!$A$2:$A$265,'02_TrayPack_Order'!$L$2:$L$265,0)</f>
        <v>0</v>
      </c>
      <c r="E182" s="165">
        <f>SUMIF('13_Progress_Track'!$A$2:$A$108,B182,'13_Progress_Track'!$E$2:$E$108)</f>
        <v>0</v>
      </c>
      <c r="F182" s="165">
        <f t="shared" si="12"/>
        <v>0</v>
      </c>
      <c r="G182" s="167">
        <f t="shared" si="13"/>
        <v>0</v>
      </c>
      <c r="H182" s="138">
        <f>_xlfn.IFNA(_xlfn.XLOOKUP(B182,'00_SKU_Master'!$B$2:$B$378,'00_SKU_Master'!$C$2:$C$378),"")</f>
        <v>61086</v>
      </c>
      <c r="I182" s="138"/>
      <c r="J182" s="14" t="str">
        <f>_xlfn.IFNA(_xlfn.XLOOKUP(B182,'00_SKU_Master'!B$2:B$378,'00_SKU_Master'!H$2:H$378,0),"")</f>
        <v>LT 6D</v>
      </c>
      <c r="K182" s="14" t="str">
        <f>_xlfn.IFNA(_xlfn.XLOOKUP(B182,'00_SKU_Master'!B$2:B$378,'00_SKU_Master'!K$2:K$378,0),"")</f>
        <v>Slow</v>
      </c>
      <c r="L182" s="138" t="str">
        <f>_xlfn.XLOOKUP(B182,'00_SKU_Master'!$B$2:$B$378,'00_SKU_Master'!$D$2:$D$378)</f>
        <v>LCL</v>
      </c>
      <c r="M182" s="138">
        <f t="shared" si="14"/>
        <v>0</v>
      </c>
      <c r="N182" t="str">
        <f>IFERROR(_xlfn.XLOOKUP(B182,'00_SKU_Master'!$B$2:$B$378,'00_SKU_Master'!$E$2:$E$378,""),"")</f>
        <v>ThighMeat</v>
      </c>
      <c r="O182">
        <f>IFERROR(_xlfn.XLOOKUP(B182,'00_SKU_Master'!$B$2:$B$378,'00_SKU_Master'!$F$2:$F$378,0),0)</f>
        <v>0</v>
      </c>
      <c r="P182">
        <f>IFERROR(_xlfn.XLOOKUP(N182,'00_Yield_Rates'!$B$2:$B$33,'00_Yield_Rates'!$E$2:$E$33,0)/100,0)</f>
        <v>0.105</v>
      </c>
      <c r="Q182">
        <f t="shared" si="15"/>
        <v>0</v>
      </c>
      <c r="R182">
        <f t="shared" si="16"/>
        <v>0</v>
      </c>
      <c r="S182">
        <f t="shared" si="17"/>
        <v>0</v>
      </c>
    </row>
    <row r="183" spans="1:19">
      <c r="A183" s="138" t="str">
        <f>'00_SKU_Master'!J275</f>
        <v>MS LCL THIGH AC 6D PP BSK</v>
      </c>
      <c r="B183" s="138">
        <f>'00_SKU_Master'!B275</f>
        <v>7817</v>
      </c>
      <c r="C183" s="165">
        <f>_xlfn.XLOOKUP(B183,'02_TrayPack_Order'!$A$2:$A$265,'02_TrayPack_Order'!$C$2:$C$265)</f>
        <v>0</v>
      </c>
      <c r="D183" s="166">
        <f>_xlfn.XLOOKUP(B183,'02_TrayPack_Order'!$A$2:$A$265,'02_TrayPack_Order'!$L$2:$L$265,0)</f>
        <v>0</v>
      </c>
      <c r="E183" s="165">
        <f>SUMIF('13_Progress_Track'!$A$2:$A$108,B183,'13_Progress_Track'!$E$2:$E$108)</f>
        <v>0</v>
      </c>
      <c r="F183" s="165">
        <f t="shared" si="12"/>
        <v>0</v>
      </c>
      <c r="G183" s="167">
        <f t="shared" si="13"/>
        <v>0</v>
      </c>
      <c r="H183" s="138">
        <f>_xlfn.IFNA(_xlfn.XLOOKUP(B183,'00_SKU_Master'!$B$2:$B$378,'00_SKU_Master'!$C$2:$C$378),"")</f>
        <v>61077</v>
      </c>
      <c r="I183" s="138"/>
      <c r="J183" s="14" t="str">
        <f>_xlfn.IFNA(_xlfn.XLOOKUP(B183,'00_SKU_Master'!B$2:B$378,'00_SKU_Master'!H$2:H$378,0),"")</f>
        <v>LT 6D</v>
      </c>
      <c r="K183" s="14" t="str">
        <f>_xlfn.IFNA(_xlfn.XLOOKUP(B183,'00_SKU_Master'!B$2:B$378,'00_SKU_Master'!K$2:K$378,0),"")</f>
        <v>Fast</v>
      </c>
      <c r="L183" s="138" t="str">
        <f>_xlfn.XLOOKUP(B183,'00_SKU_Master'!$B$2:$B$378,'00_SKU_Master'!$D$2:$D$378)</f>
        <v>LCL</v>
      </c>
      <c r="M183" s="138">
        <f t="shared" si="14"/>
        <v>0</v>
      </c>
      <c r="N183" t="str">
        <f>IFERROR(_xlfn.XLOOKUP(B183,'00_SKU_Master'!$B$2:$B$378,'00_SKU_Master'!$E$2:$E$378,""),"")</f>
        <v>Thigh</v>
      </c>
      <c r="O183">
        <f>IFERROR(_xlfn.XLOOKUP(B183,'00_SKU_Master'!$B$2:$B$378,'00_SKU_Master'!$F$2:$F$378,0),0)</f>
        <v>0</v>
      </c>
      <c r="P183">
        <f>IFERROR(_xlfn.XLOOKUP(N183,'00_Yield_Rates'!$B$2:$B$33,'00_Yield_Rates'!$E$2:$E$33,0)/100,0)</f>
        <v>0.191</v>
      </c>
      <c r="Q183">
        <f t="shared" si="15"/>
        <v>0</v>
      </c>
      <c r="R183">
        <f t="shared" si="16"/>
        <v>0</v>
      </c>
      <c r="S183">
        <f t="shared" si="17"/>
        <v>0</v>
      </c>
    </row>
    <row r="184" spans="1:19">
      <c r="A184" s="138" t="str">
        <f>'00_SKU_Master'!J276</f>
        <v>MS LCL DRUM AC 6D PP BSK</v>
      </c>
      <c r="B184" s="138">
        <f>'00_SKU_Master'!B276</f>
        <v>7818</v>
      </c>
      <c r="C184" s="165">
        <f>_xlfn.XLOOKUP(B184,'02_TrayPack_Order'!$A$2:$A$265,'02_TrayPack_Order'!$C$2:$C$265)</f>
        <v>0</v>
      </c>
      <c r="D184" s="166">
        <f>_xlfn.XLOOKUP(B184,'02_TrayPack_Order'!$A$2:$A$265,'02_TrayPack_Order'!$L$2:$L$265,0)</f>
        <v>0</v>
      </c>
      <c r="E184" s="165">
        <f>SUMIF('13_Progress_Track'!$A$2:$A$108,B184,'13_Progress_Track'!$E$2:$E$108)</f>
        <v>0</v>
      </c>
      <c r="F184" s="165">
        <f t="shared" si="12"/>
        <v>0</v>
      </c>
      <c r="G184" s="167">
        <f t="shared" si="13"/>
        <v>0</v>
      </c>
      <c r="H184" s="138" t="str">
        <f>_xlfn.IFNA(_xlfn.XLOOKUP(B184,'00_SKU_Master'!$B$2:$B$378,'00_SKU_Master'!$C$2:$C$378),"")</f>
        <v>61072F</v>
      </c>
      <c r="I184" s="138"/>
      <c r="J184" s="14" t="str">
        <f>_xlfn.IFNA(_xlfn.XLOOKUP(B184,'00_SKU_Master'!B$2:B$378,'00_SKU_Master'!H$2:H$378,0),"")</f>
        <v>LT 6D</v>
      </c>
      <c r="K184" s="14" t="str">
        <f>_xlfn.IFNA(_xlfn.XLOOKUP(B184,'00_SKU_Master'!B$2:B$378,'00_SKU_Master'!K$2:K$378,0),"")</f>
        <v>Fast</v>
      </c>
      <c r="L184" s="138" t="str">
        <f>_xlfn.XLOOKUP(B184,'00_SKU_Master'!$B$2:$B$378,'00_SKU_Master'!$D$2:$D$378)</f>
        <v>LCL</v>
      </c>
      <c r="M184" s="138">
        <f t="shared" si="14"/>
        <v>0</v>
      </c>
      <c r="N184" t="str">
        <f>IFERROR(_xlfn.XLOOKUP(B184,'00_SKU_Master'!$B$2:$B$378,'00_SKU_Master'!$E$2:$E$378,""),"")</f>
        <v>Drum</v>
      </c>
      <c r="O184">
        <f>IFERROR(_xlfn.XLOOKUP(B184,'00_SKU_Master'!$B$2:$B$378,'00_SKU_Master'!$F$2:$F$378,0),0)</f>
        <v>0</v>
      </c>
      <c r="P184">
        <f>IFERROR(_xlfn.XLOOKUP(N184,'00_Yield_Rates'!$B$2:$B$33,'00_Yield_Rates'!$E$2:$E$33,0)/100,0)</f>
        <v>0.128</v>
      </c>
      <c r="Q184">
        <f t="shared" si="15"/>
        <v>0</v>
      </c>
      <c r="R184">
        <f t="shared" si="16"/>
        <v>0</v>
      </c>
      <c r="S184">
        <f t="shared" si="17"/>
        <v>0</v>
      </c>
    </row>
    <row r="185" spans="1:19">
      <c r="A185" s="138" t="str">
        <f>'00_SKU_Master'!J277</f>
        <v>MS LCL SPL WING AC 6D PP BSK</v>
      </c>
      <c r="B185" s="138">
        <f>'00_SKU_Master'!B277</f>
        <v>7819</v>
      </c>
      <c r="C185" s="165">
        <f>_xlfn.XLOOKUP(B185,'02_TrayPack_Order'!$A$2:$A$265,'02_TrayPack_Order'!$C$2:$C$265)</f>
        <v>0</v>
      </c>
      <c r="D185" s="166">
        <f>_xlfn.XLOOKUP(B185,'02_TrayPack_Order'!$A$2:$A$265,'02_TrayPack_Order'!$L$2:$L$265,0)</f>
        <v>0</v>
      </c>
      <c r="E185" s="165">
        <f>SUMIF('13_Progress_Track'!$A$2:$A$108,B185,'13_Progress_Track'!$E$2:$E$108)</f>
        <v>0</v>
      </c>
      <c r="F185" s="165">
        <f t="shared" si="12"/>
        <v>0</v>
      </c>
      <c r="G185" s="167">
        <f t="shared" si="13"/>
        <v>0</v>
      </c>
      <c r="H185" s="138" t="str">
        <f>_xlfn.IFNA(_xlfn.XLOOKUP(B185,'00_SKU_Master'!$B$2:$B$378,'00_SKU_Master'!$C$2:$C$378),"")</f>
        <v>61014F</v>
      </c>
      <c r="I185" s="138"/>
      <c r="J185" s="14" t="str">
        <f>_xlfn.IFNA(_xlfn.XLOOKUP(B185,'00_SKU_Master'!B$2:B$378,'00_SKU_Master'!H$2:H$378,0),"")</f>
        <v>LT 6D</v>
      </c>
      <c r="K185" s="14" t="str">
        <f>_xlfn.IFNA(_xlfn.XLOOKUP(B185,'00_SKU_Master'!B$2:B$378,'00_SKU_Master'!K$2:K$378,0),"")</f>
        <v>Slow</v>
      </c>
      <c r="L185" s="138" t="str">
        <f>_xlfn.XLOOKUP(B185,'00_SKU_Master'!$B$2:$B$378,'00_SKU_Master'!$D$2:$D$378)</f>
        <v>LCL</v>
      </c>
      <c r="M185" s="138">
        <f t="shared" si="14"/>
        <v>0</v>
      </c>
      <c r="N185" t="str">
        <f>IFERROR(_xlfn.XLOOKUP(B185,'00_SKU_Master'!$B$2:$B$378,'00_SKU_Master'!$E$2:$E$378,""),"")</f>
        <v>SplitWing</v>
      </c>
      <c r="O185">
        <f>IFERROR(_xlfn.XLOOKUP(B185,'00_SKU_Master'!$B$2:$B$378,'00_SKU_Master'!$F$2:$F$378,0),0)</f>
        <v>0</v>
      </c>
      <c r="P185">
        <f>IFERROR(_xlfn.XLOOKUP(N185,'00_Yield_Rates'!$B$2:$B$33,'00_Yield_Rates'!$E$2:$E$33,0)/100,0)</f>
        <v>9.6000000000000002E-2</v>
      </c>
      <c r="Q185">
        <f t="shared" si="15"/>
        <v>0</v>
      </c>
      <c r="R185">
        <f t="shared" si="16"/>
        <v>0</v>
      </c>
      <c r="S185">
        <f t="shared" si="17"/>
        <v>0</v>
      </c>
    </row>
    <row r="186" spans="1:19">
      <c r="A186" s="138" t="str">
        <f>'00_SKU_Master'!J278</f>
        <v>MS LCL BSHB AC 8D PP BSK</v>
      </c>
      <c r="B186" s="138">
        <f>'00_SKU_Master'!B278</f>
        <v>7821</v>
      </c>
      <c r="C186" s="165">
        <f>_xlfn.XLOOKUP(B186,'02_TrayPack_Order'!$A$2:$A$265,'02_TrayPack_Order'!$C$2:$C$265)</f>
        <v>0</v>
      </c>
      <c r="D186" s="166">
        <f>_xlfn.XLOOKUP(B186,'02_TrayPack_Order'!$A$2:$A$265,'02_TrayPack_Order'!$L$2:$L$265,0)</f>
        <v>0</v>
      </c>
      <c r="E186" s="165">
        <f>SUMIF('13_Progress_Track'!$A$2:$A$108,B186,'13_Progress_Track'!$E$2:$E$108)</f>
        <v>0</v>
      </c>
      <c r="F186" s="165">
        <f t="shared" si="12"/>
        <v>0</v>
      </c>
      <c r="G186" s="167">
        <f t="shared" si="13"/>
        <v>0</v>
      </c>
      <c r="H186" s="138">
        <f>_xlfn.IFNA(_xlfn.XLOOKUP(B186,'00_SKU_Master'!$B$2:$B$378,'00_SKU_Master'!$C$2:$C$378),"")</f>
        <v>61050</v>
      </c>
      <c r="I186" s="138"/>
      <c r="J186" s="14" t="str">
        <f>_xlfn.IFNA(_xlfn.XLOOKUP(B186,'00_SKU_Master'!B$2:B$378,'00_SKU_Master'!H$2:H$378,0),"")</f>
        <v>PET 8</v>
      </c>
      <c r="K186" s="14" t="str">
        <f>_xlfn.IFNA(_xlfn.XLOOKUP(B186,'00_SKU_Master'!B$2:B$378,'00_SKU_Master'!K$2:K$378,0),"")</f>
        <v>Fast</v>
      </c>
      <c r="L186" s="138" t="str">
        <f>_xlfn.XLOOKUP(B186,'00_SKU_Master'!$B$2:$B$378,'00_SKU_Master'!$D$2:$D$378)</f>
        <v>LCL</v>
      </c>
      <c r="M186" s="138">
        <f t="shared" si="14"/>
        <v>0</v>
      </c>
      <c r="N186" t="str">
        <f>IFERROR(_xlfn.XLOOKUP(B186,'00_SKU_Master'!$B$2:$B$378,'00_SKU_Master'!$E$2:$E$378,""),"")</f>
        <v>BSB</v>
      </c>
      <c r="O186">
        <f>IFERROR(_xlfn.XLOOKUP(B186,'00_SKU_Master'!$B$2:$B$378,'00_SKU_Master'!$F$2:$F$378,0),0)</f>
        <v>0</v>
      </c>
      <c r="P186">
        <f>IFERROR(_xlfn.XLOOKUP(N186,'00_Yield_Rates'!$B$2:$B$33,'00_Yield_Rates'!$E$2:$E$33,0)/100,0)</f>
        <v>0.31</v>
      </c>
      <c r="Q186">
        <f t="shared" si="15"/>
        <v>0</v>
      </c>
      <c r="R186">
        <f t="shared" si="16"/>
        <v>0</v>
      </c>
      <c r="S186">
        <f t="shared" si="17"/>
        <v>0</v>
      </c>
    </row>
    <row r="187" spans="1:19">
      <c r="A187" s="138" t="str">
        <f>'00_SKU_Master'!J279</f>
        <v>MS LCL THIGH AC PET 6 PP BSK</v>
      </c>
      <c r="B187" s="138">
        <f>'00_SKU_Master'!B279</f>
        <v>7823</v>
      </c>
      <c r="C187" s="165">
        <f>_xlfn.XLOOKUP(B187,'02_TrayPack_Order'!$A$2:$A$265,'02_TrayPack_Order'!$C$2:$C$265)</f>
        <v>201</v>
      </c>
      <c r="D187" s="166">
        <f>_xlfn.XLOOKUP(B187,'02_TrayPack_Order'!$A$2:$A$265,'02_TrayPack_Order'!$L$2:$L$265,0)</f>
        <v>0</v>
      </c>
      <c r="E187" s="165">
        <f>SUMIF('13_Progress_Track'!$A$2:$A$108,B187,'13_Progress_Track'!$E$2:$E$108)</f>
        <v>95</v>
      </c>
      <c r="F187" s="165">
        <f t="shared" si="12"/>
        <v>0</v>
      </c>
      <c r="G187" s="167">
        <f t="shared" si="13"/>
        <v>106</v>
      </c>
      <c r="H187" s="138">
        <f>_xlfn.IFNA(_xlfn.XLOOKUP(B187,'00_SKU_Master'!$B$2:$B$378,'00_SKU_Master'!$C$2:$C$378),"")</f>
        <v>61077</v>
      </c>
      <c r="I187" s="138"/>
      <c r="J187" s="14" t="str">
        <f>_xlfn.IFNA(_xlfn.XLOOKUP(B187,'00_SKU_Master'!B$2:B$378,'00_SKU_Master'!H$2:H$378,0),"")</f>
        <v>PET 6</v>
      </c>
      <c r="K187" s="14" t="str">
        <f>_xlfn.IFNA(_xlfn.XLOOKUP(B187,'00_SKU_Master'!B$2:B$378,'00_SKU_Master'!K$2:K$378,0),"")</f>
        <v>Fast</v>
      </c>
      <c r="L187" s="138" t="str">
        <f>_xlfn.XLOOKUP(B187,'00_SKU_Master'!$B$2:$B$378,'00_SKU_Master'!$D$2:$D$378)</f>
        <v>LCL</v>
      </c>
      <c r="M187" s="138">
        <f t="shared" si="14"/>
        <v>106</v>
      </c>
      <c r="N187" t="str">
        <f>IFERROR(_xlfn.XLOOKUP(B187,'00_SKU_Master'!$B$2:$B$378,'00_SKU_Master'!$E$2:$E$378,""),"")</f>
        <v>Thigh</v>
      </c>
      <c r="O187">
        <f>IFERROR(_xlfn.XLOOKUP(B187,'00_SKU_Master'!$B$2:$B$378,'00_SKU_Master'!$F$2:$F$378,0),0)</f>
        <v>6.4512988560533797</v>
      </c>
      <c r="P187">
        <f>IFERROR(_xlfn.XLOOKUP(N187,'00_Yield_Rates'!$B$2:$B$33,'00_Yield_Rates'!$E$2:$E$33,0)/100,0)</f>
        <v>0.191</v>
      </c>
      <c r="Q187">
        <f t="shared" si="15"/>
        <v>683.83767874165824</v>
      </c>
      <c r="R187">
        <f t="shared" si="16"/>
        <v>3580.3019829406189</v>
      </c>
      <c r="S187">
        <f t="shared" si="17"/>
        <v>5.3</v>
      </c>
    </row>
    <row r="188" spans="1:19">
      <c r="A188" s="138" t="str">
        <f>'00_SKU_Master'!J280</f>
        <v>MS LCL DRUM AC PET 6 PP BSK</v>
      </c>
      <c r="B188" s="138">
        <f>'00_SKU_Master'!B280</f>
        <v>7824</v>
      </c>
      <c r="C188" s="165">
        <f>_xlfn.XLOOKUP(B188,'02_TrayPack_Order'!$A$2:$A$265,'02_TrayPack_Order'!$C$2:$C$265)</f>
        <v>158</v>
      </c>
      <c r="D188" s="166">
        <f>_xlfn.XLOOKUP(B188,'02_TrayPack_Order'!$A$2:$A$265,'02_TrayPack_Order'!$L$2:$L$265,0)</f>
        <v>0</v>
      </c>
      <c r="E188" s="165">
        <f>SUMIF('13_Progress_Track'!$A$2:$A$108,B188,'13_Progress_Track'!$E$2:$E$108)</f>
        <v>0</v>
      </c>
      <c r="F188" s="165">
        <f t="shared" si="12"/>
        <v>0</v>
      </c>
      <c r="G188" s="167">
        <f t="shared" si="13"/>
        <v>158</v>
      </c>
      <c r="H188" s="138" t="str">
        <f>_xlfn.IFNA(_xlfn.XLOOKUP(B188,'00_SKU_Master'!$B$2:$B$378,'00_SKU_Master'!$C$2:$C$378),"")</f>
        <v>61072F</v>
      </c>
      <c r="I188" s="138"/>
      <c r="J188" s="14" t="str">
        <f>_xlfn.IFNA(_xlfn.XLOOKUP(B188,'00_SKU_Master'!B$2:B$378,'00_SKU_Master'!H$2:H$378,0),"")</f>
        <v>PET 6</v>
      </c>
      <c r="K188" s="14" t="str">
        <f>_xlfn.IFNA(_xlfn.XLOOKUP(B188,'00_SKU_Master'!B$2:B$378,'00_SKU_Master'!K$2:K$378,0),"")</f>
        <v>Fast</v>
      </c>
      <c r="L188" s="138" t="str">
        <f>_xlfn.XLOOKUP(B188,'00_SKU_Master'!$B$2:$B$378,'00_SKU_Master'!$D$2:$D$378)</f>
        <v>LCL</v>
      </c>
      <c r="M188" s="138">
        <f t="shared" si="14"/>
        <v>158</v>
      </c>
      <c r="N188" t="str">
        <f>IFERROR(_xlfn.XLOOKUP(B188,'00_SKU_Master'!$B$2:$B$378,'00_SKU_Master'!$E$2:$E$378,""),"")</f>
        <v>Drum</v>
      </c>
      <c r="O188">
        <f>IFERROR(_xlfn.XLOOKUP(B188,'00_SKU_Master'!$B$2:$B$378,'00_SKU_Master'!$F$2:$F$378,0),0)</f>
        <v>6.0889089775561098</v>
      </c>
      <c r="P188">
        <f>IFERROR(_xlfn.XLOOKUP(N188,'00_Yield_Rates'!$B$2:$B$33,'00_Yield_Rates'!$E$2:$E$33,0)/100,0)</f>
        <v>0.128</v>
      </c>
      <c r="Q188">
        <f t="shared" si="15"/>
        <v>962.04761845386531</v>
      </c>
      <c r="R188">
        <f t="shared" si="16"/>
        <v>7515.9970191708226</v>
      </c>
      <c r="S188">
        <f t="shared" si="17"/>
        <v>11.1</v>
      </c>
    </row>
    <row r="189" spans="1:19">
      <c r="A189" s="138" t="str">
        <f>'00_SKU_Master'!J281</f>
        <v>MS LCL SPL WING AC PET 6 PP BSK</v>
      </c>
      <c r="B189" s="138">
        <f>'00_SKU_Master'!B281</f>
        <v>7825</v>
      </c>
      <c r="C189" s="165">
        <f>_xlfn.XLOOKUP(B189,'02_TrayPack_Order'!$A$2:$A$265,'02_TrayPack_Order'!$C$2:$C$265)</f>
        <v>286</v>
      </c>
      <c r="D189" s="166">
        <f>_xlfn.XLOOKUP(B189,'02_TrayPack_Order'!$A$2:$A$265,'02_TrayPack_Order'!$L$2:$L$265,0)</f>
        <v>0</v>
      </c>
      <c r="E189" s="165">
        <f>SUMIF('13_Progress_Track'!$A$2:$A$108,B189,'13_Progress_Track'!$E$2:$E$108)</f>
        <v>0</v>
      </c>
      <c r="F189" s="165">
        <f t="shared" si="12"/>
        <v>0</v>
      </c>
      <c r="G189" s="167">
        <f t="shared" si="13"/>
        <v>286</v>
      </c>
      <c r="H189" s="138" t="str">
        <f>_xlfn.IFNA(_xlfn.XLOOKUP(B189,'00_SKU_Master'!$B$2:$B$378,'00_SKU_Master'!$C$2:$C$378),"")</f>
        <v>61014F</v>
      </c>
      <c r="I189" s="138"/>
      <c r="J189" s="14" t="str">
        <f>_xlfn.IFNA(_xlfn.XLOOKUP(B189,'00_SKU_Master'!B$2:B$378,'00_SKU_Master'!H$2:H$378,0),"")</f>
        <v>PET 6</v>
      </c>
      <c r="K189" s="14" t="str">
        <f>_xlfn.IFNA(_xlfn.XLOOKUP(B189,'00_SKU_Master'!B$2:B$378,'00_SKU_Master'!K$2:K$378,0),"")</f>
        <v>Slow</v>
      </c>
      <c r="L189" s="138" t="str">
        <f>_xlfn.XLOOKUP(B189,'00_SKU_Master'!$B$2:$B$378,'00_SKU_Master'!$D$2:$D$378)</f>
        <v>LCL</v>
      </c>
      <c r="M189" s="138">
        <f t="shared" si="14"/>
        <v>286</v>
      </c>
      <c r="N189" t="str">
        <f>IFERROR(_xlfn.XLOOKUP(B189,'00_SKU_Master'!$B$2:$B$378,'00_SKU_Master'!$E$2:$E$378,""),"")</f>
        <v>SplitWing</v>
      </c>
      <c r="O189">
        <f>IFERROR(_xlfn.XLOOKUP(B189,'00_SKU_Master'!$B$2:$B$378,'00_SKU_Master'!$F$2:$F$378,0),0)</f>
        <v>6.14130255722631</v>
      </c>
      <c r="P189">
        <f>IFERROR(_xlfn.XLOOKUP(N189,'00_Yield_Rates'!$B$2:$B$33,'00_Yield_Rates'!$E$2:$E$33,0)/100,0)</f>
        <v>9.6000000000000002E-2</v>
      </c>
      <c r="Q189">
        <f t="shared" si="15"/>
        <v>1756.4125313667246</v>
      </c>
      <c r="R189">
        <f t="shared" si="16"/>
        <v>18295.963868403382</v>
      </c>
      <c r="S189">
        <f t="shared" si="17"/>
        <v>27</v>
      </c>
    </row>
    <row r="190" spans="1:19">
      <c r="A190" s="138" t="str">
        <f>'00_SKU_Master'!J282</f>
        <v>MS LCL BSHB AC PET 3 PP BSK</v>
      </c>
      <c r="B190" s="138">
        <f>'00_SKU_Master'!B282</f>
        <v>7826</v>
      </c>
      <c r="C190" s="165">
        <f>_xlfn.XLOOKUP(B190,'02_TrayPack_Order'!$A$2:$A$265,'02_TrayPack_Order'!$C$2:$C$265)</f>
        <v>851</v>
      </c>
      <c r="D190" s="166">
        <f>_xlfn.XLOOKUP(B190,'02_TrayPack_Order'!$A$2:$A$265,'02_TrayPack_Order'!$L$2:$L$265,0)</f>
        <v>0</v>
      </c>
      <c r="E190" s="165">
        <f>SUMIF('13_Progress_Track'!$A$2:$A$108,B190,'13_Progress_Track'!$E$2:$E$108)</f>
        <v>0</v>
      </c>
      <c r="F190" s="165">
        <f t="shared" si="12"/>
        <v>0</v>
      </c>
      <c r="G190" s="167">
        <f t="shared" si="13"/>
        <v>851</v>
      </c>
      <c r="H190" s="138" t="str">
        <f>_xlfn.IFNA(_xlfn.XLOOKUP(B190,'00_SKU_Master'!$B$2:$B$378,'00_SKU_Master'!$C$2:$C$378),"")</f>
        <v>61050F</v>
      </c>
      <c r="I190" s="138"/>
      <c r="J190" s="14" t="str">
        <f>_xlfn.IFNA(_xlfn.XLOOKUP(B190,'00_SKU_Master'!B$2:B$378,'00_SKU_Master'!H$2:H$378,0),"")</f>
        <v>PET 3</v>
      </c>
      <c r="K190" s="14" t="str">
        <f>_xlfn.IFNA(_xlfn.XLOOKUP(B190,'00_SKU_Master'!B$2:B$378,'00_SKU_Master'!K$2:K$378,0),"")</f>
        <v>Fast</v>
      </c>
      <c r="L190" s="138" t="str">
        <f>_xlfn.XLOOKUP(B190,'00_SKU_Master'!$B$2:$B$378,'00_SKU_Master'!$D$2:$D$378)</f>
        <v>LCL</v>
      </c>
      <c r="M190" s="138">
        <f t="shared" si="14"/>
        <v>851</v>
      </c>
      <c r="N190" t="str">
        <f>IFERROR(_xlfn.XLOOKUP(B190,'00_SKU_Master'!$B$2:$B$378,'00_SKU_Master'!$E$2:$E$378,""),"")</f>
        <v>BSB</v>
      </c>
      <c r="O190">
        <f>IFERROR(_xlfn.XLOOKUP(B190,'00_SKU_Master'!$B$2:$B$378,'00_SKU_Master'!$F$2:$F$378,0),0)</f>
        <v>8.2729787507634907</v>
      </c>
      <c r="P190">
        <f>IFERROR(_xlfn.XLOOKUP(N190,'00_Yield_Rates'!$B$2:$B$33,'00_Yield_Rates'!$E$2:$E$33,0)/100,0)</f>
        <v>0.31</v>
      </c>
      <c r="Q190">
        <f t="shared" si="15"/>
        <v>7040.3049168997304</v>
      </c>
      <c r="R190">
        <f t="shared" si="16"/>
        <v>22710.661022257194</v>
      </c>
      <c r="S190">
        <f t="shared" si="17"/>
        <v>33.4</v>
      </c>
    </row>
    <row r="191" spans="1:19">
      <c r="A191" s="138" t="str">
        <f>'00_SKU_Master'!J283</f>
        <v>MB LCL BSHB AC PET 8 PP BSK</v>
      </c>
      <c r="B191" s="138">
        <f>'00_SKU_Master'!B283</f>
        <v>7827</v>
      </c>
      <c r="C191" s="165">
        <f>_xlfn.XLOOKUP(B191,'02_TrayPack_Order'!$A$2:$A$265,'02_TrayPack_Order'!$C$2:$C$265)</f>
        <v>140</v>
      </c>
      <c r="D191" s="166">
        <f>_xlfn.XLOOKUP(B191,'02_TrayPack_Order'!$A$2:$A$265,'02_TrayPack_Order'!$L$2:$L$265,0)</f>
        <v>0</v>
      </c>
      <c r="E191" s="165">
        <f>SUMIF('13_Progress_Track'!$A$2:$A$108,B191,'13_Progress_Track'!$E$2:$E$108)</f>
        <v>60</v>
      </c>
      <c r="F191" s="165">
        <f t="shared" si="12"/>
        <v>0</v>
      </c>
      <c r="G191" s="167">
        <f t="shared" si="13"/>
        <v>80</v>
      </c>
      <c r="H191" s="138">
        <f>_xlfn.IFNA(_xlfn.XLOOKUP(B191,'00_SKU_Master'!$B$2:$B$378,'00_SKU_Master'!$C$2:$C$378),"")</f>
        <v>61050</v>
      </c>
      <c r="I191" s="138"/>
      <c r="J191" s="14" t="str">
        <f>_xlfn.IFNA(_xlfn.XLOOKUP(B191,'00_SKU_Master'!B$2:B$378,'00_SKU_Master'!H$2:H$378,0),"")</f>
        <v>PET 8</v>
      </c>
      <c r="K191" s="14" t="str">
        <f>_xlfn.IFNA(_xlfn.XLOOKUP(B191,'00_SKU_Master'!B$2:B$378,'00_SKU_Master'!K$2:K$378,0),"")</f>
        <v>Fast</v>
      </c>
      <c r="L191" s="138" t="str">
        <f>_xlfn.XLOOKUP(B191,'00_SKU_Master'!$B$2:$B$378,'00_SKU_Master'!$D$2:$D$378)</f>
        <v>LCL</v>
      </c>
      <c r="M191" s="138">
        <f t="shared" si="14"/>
        <v>80</v>
      </c>
      <c r="N191" t="str">
        <f>IFERROR(_xlfn.XLOOKUP(B191,'00_SKU_Master'!$B$2:$B$378,'00_SKU_Master'!$E$2:$E$378,""),"")</f>
        <v>BSB</v>
      </c>
      <c r="O191">
        <f>IFERROR(_xlfn.XLOOKUP(B191,'00_SKU_Master'!$B$2:$B$378,'00_SKU_Master'!$F$2:$F$378,0),0)</f>
        <v>10.902292276861401</v>
      </c>
      <c r="P191">
        <f>IFERROR(_xlfn.XLOOKUP(N191,'00_Yield_Rates'!$B$2:$B$33,'00_Yield_Rates'!$E$2:$E$33,0)/100,0)</f>
        <v>0.31</v>
      </c>
      <c r="Q191">
        <f t="shared" si="15"/>
        <v>872.18338214891207</v>
      </c>
      <c r="R191">
        <f t="shared" si="16"/>
        <v>2813.4947811255229</v>
      </c>
      <c r="S191">
        <f t="shared" si="17"/>
        <v>4.1999999999999993</v>
      </c>
    </row>
    <row r="192" spans="1:19">
      <c r="A192" s="138" t="str">
        <f>'00_SKU_Master'!J284</f>
        <v>MS LCL BTFLYB WOF AC PET 3 PP BSK</v>
      </c>
      <c r="B192" s="138">
        <f>'00_SKU_Master'!B284</f>
        <v>7828</v>
      </c>
      <c r="C192" s="165">
        <f>_xlfn.XLOOKUP(B192,'02_TrayPack_Order'!$A$2:$A$265,'02_TrayPack_Order'!$C$2:$C$265)</f>
        <v>0</v>
      </c>
      <c r="D192" s="166">
        <f>_xlfn.XLOOKUP(B192,'02_TrayPack_Order'!$A$2:$A$265,'02_TrayPack_Order'!$L$2:$L$265,0)</f>
        <v>0</v>
      </c>
      <c r="E192" s="165">
        <f>SUMIF('13_Progress_Track'!$A$2:$A$108,B192,'13_Progress_Track'!$E$2:$E$108)</f>
        <v>0</v>
      </c>
      <c r="F192" s="165">
        <f t="shared" si="12"/>
        <v>0</v>
      </c>
      <c r="G192" s="167">
        <f t="shared" si="13"/>
        <v>0</v>
      </c>
      <c r="H192" s="138">
        <f>_xlfn.IFNA(_xlfn.XLOOKUP(B192,'00_SKU_Master'!$B$2:$B$378,'00_SKU_Master'!$C$2:$C$378),"")</f>
        <v>61052</v>
      </c>
      <c r="I192" s="138"/>
      <c r="J192" s="14" t="str">
        <f>_xlfn.IFNA(_xlfn.XLOOKUP(B192,'00_SKU_Master'!B$2:B$378,'00_SKU_Master'!H$2:H$378,0),"")</f>
        <v>PET 3</v>
      </c>
      <c r="K192" s="14" t="str">
        <f>_xlfn.IFNA(_xlfn.XLOOKUP(B192,'00_SKU_Master'!B$2:B$378,'00_SKU_Master'!K$2:K$378,0),"")</f>
        <v>Slow</v>
      </c>
      <c r="L192" s="138" t="str">
        <f>_xlfn.XLOOKUP(B192,'00_SKU_Master'!$B$2:$B$378,'00_SKU_Master'!$D$2:$D$378)</f>
        <v>LCL</v>
      </c>
      <c r="M192" s="138">
        <f t="shared" si="14"/>
        <v>0</v>
      </c>
      <c r="N192" t="str">
        <f>IFERROR(_xlfn.XLOOKUP(B192,'00_SKU_Master'!$B$2:$B$378,'00_SKU_Master'!$E$2:$E$378,""),"")</f>
        <v>Fillet</v>
      </c>
      <c r="O192">
        <f>IFERROR(_xlfn.XLOOKUP(B192,'00_SKU_Master'!$B$2:$B$378,'00_SKU_Master'!$F$2:$F$378,0),0)</f>
        <v>4.3051513266998302</v>
      </c>
      <c r="P192">
        <f>IFERROR(_xlfn.XLOOKUP(N192,'00_Yield_Rates'!$B$2:$B$33,'00_Yield_Rates'!$E$2:$E$33,0)/100,0)</f>
        <v>4.1200000000000001E-2</v>
      </c>
      <c r="Q192">
        <f t="shared" si="15"/>
        <v>0</v>
      </c>
      <c r="R192">
        <f t="shared" si="16"/>
        <v>0</v>
      </c>
      <c r="S192">
        <f t="shared" si="17"/>
        <v>0</v>
      </c>
    </row>
    <row r="193" spans="1:19">
      <c r="A193" s="138" t="str">
        <f>'00_SKU_Master'!J285</f>
        <v>MS LCL FILLET AC PET 3 PP BSK</v>
      </c>
      <c r="B193" s="138">
        <f>'00_SKU_Master'!B285</f>
        <v>7829</v>
      </c>
      <c r="C193" s="165">
        <f>_xlfn.XLOOKUP(B193,'02_TrayPack_Order'!$A$2:$A$265,'02_TrayPack_Order'!$C$2:$C$265)</f>
        <v>58</v>
      </c>
      <c r="D193" s="166">
        <f>_xlfn.XLOOKUP(B193,'02_TrayPack_Order'!$A$2:$A$265,'02_TrayPack_Order'!$L$2:$L$265,0)</f>
        <v>0</v>
      </c>
      <c r="E193" s="165">
        <f>SUMIF('13_Progress_Track'!$A$2:$A$108,B193,'13_Progress_Track'!$E$2:$E$108)</f>
        <v>0</v>
      </c>
      <c r="F193" s="165">
        <f t="shared" si="12"/>
        <v>0</v>
      </c>
      <c r="G193" s="167">
        <f t="shared" si="13"/>
        <v>58</v>
      </c>
      <c r="H193" s="138">
        <f>_xlfn.IFNA(_xlfn.XLOOKUP(B193,'00_SKU_Master'!$B$2:$B$378,'00_SKU_Master'!$C$2:$C$378),"")</f>
        <v>61054</v>
      </c>
      <c r="I193" s="138"/>
      <c r="J193" s="14" t="str">
        <f>_xlfn.IFNA(_xlfn.XLOOKUP(B193,'00_SKU_Master'!B$2:B$378,'00_SKU_Master'!H$2:H$378,0),"")</f>
        <v>PET 3</v>
      </c>
      <c r="K193" s="14" t="str">
        <f>_xlfn.IFNA(_xlfn.XLOOKUP(B193,'00_SKU_Master'!B$2:B$378,'00_SKU_Master'!K$2:K$378,0),"")</f>
        <v>Slow</v>
      </c>
      <c r="L193" s="138" t="str">
        <f>_xlfn.XLOOKUP(B193,'00_SKU_Master'!$B$2:$B$378,'00_SKU_Master'!$D$2:$D$378)</f>
        <v>LCL</v>
      </c>
      <c r="M193" s="138">
        <f t="shared" si="14"/>
        <v>58</v>
      </c>
      <c r="N193" t="str">
        <f>IFERROR(_xlfn.XLOOKUP(B193,'00_SKU_Master'!$B$2:$B$378,'00_SKU_Master'!$E$2:$E$378,""),"")</f>
        <v>ThighMeat</v>
      </c>
      <c r="O193">
        <f>IFERROR(_xlfn.XLOOKUP(B193,'00_SKU_Master'!$B$2:$B$378,'00_SKU_Master'!$F$2:$F$378,0),0)</f>
        <v>4.4159971487406899</v>
      </c>
      <c r="P193">
        <f>IFERROR(_xlfn.XLOOKUP(N193,'00_Yield_Rates'!$B$2:$B$33,'00_Yield_Rates'!$E$2:$E$33,0)/100,0)</f>
        <v>0.105</v>
      </c>
      <c r="Q193">
        <f t="shared" si="15"/>
        <v>256.12783462696001</v>
      </c>
      <c r="R193">
        <f t="shared" si="16"/>
        <v>2439.3127107329524</v>
      </c>
      <c r="S193">
        <f t="shared" si="17"/>
        <v>3.6</v>
      </c>
    </row>
    <row r="194" spans="1:19">
      <c r="A194" s="138" t="str">
        <f>'00_SKU_Master'!J286</f>
        <v>MS LCL BSTHIGH AC PET6 PP BSK</v>
      </c>
      <c r="B194" s="138">
        <f>'00_SKU_Master'!B286</f>
        <v>7830</v>
      </c>
      <c r="C194" s="165">
        <f>_xlfn.XLOOKUP(B194,'02_TrayPack_Order'!$A$2:$A$265,'02_TrayPack_Order'!$C$2:$C$265)</f>
        <v>604</v>
      </c>
      <c r="D194" s="166">
        <f>_xlfn.XLOOKUP(B194,'02_TrayPack_Order'!$A$2:$A$265,'02_TrayPack_Order'!$L$2:$L$265,0)</f>
        <v>0</v>
      </c>
      <c r="E194" s="165">
        <f>SUMIF('13_Progress_Track'!$A$2:$A$108,B194,'13_Progress_Track'!$E$2:$E$108)</f>
        <v>0</v>
      </c>
      <c r="F194" s="165">
        <f t="shared" ref="F194:F257" si="18">IF(E194&gt;(C194+D194),(E194-(C194+D194)),0)</f>
        <v>0</v>
      </c>
      <c r="G194" s="167">
        <f t="shared" ref="G194:G257" si="19">IF(F194&gt;0,0,C194+D194-E194)</f>
        <v>604</v>
      </c>
      <c r="H194" s="138" t="str">
        <f>_xlfn.IFNA(_xlfn.XLOOKUP(B194,'00_SKU_Master'!$B$2:$B$378,'00_SKU_Master'!$C$2:$C$378),"")</f>
        <v>61086F</v>
      </c>
      <c r="I194" s="138"/>
      <c r="J194" s="14" t="str">
        <f>_xlfn.IFNA(_xlfn.XLOOKUP(B194,'00_SKU_Master'!B$2:B$378,'00_SKU_Master'!H$2:H$378,0),"")</f>
        <v>PET 6</v>
      </c>
      <c r="K194" s="14" t="str">
        <f>_xlfn.IFNA(_xlfn.XLOOKUP(B194,'00_SKU_Master'!B$2:B$378,'00_SKU_Master'!K$2:K$378,0),"")</f>
        <v>Slow</v>
      </c>
      <c r="L194" s="138" t="str">
        <f>_xlfn.XLOOKUP(B194,'00_SKU_Master'!$B$2:$B$378,'00_SKU_Master'!$D$2:$D$378)</f>
        <v>LCL</v>
      </c>
      <c r="M194" s="138">
        <f t="shared" ref="M194:M257" si="20">IF((C194-E194)&lt;0,0,C194-E194)</f>
        <v>604</v>
      </c>
      <c r="N194" t="str">
        <f>IFERROR(_xlfn.XLOOKUP(B194,'00_SKU_Master'!$B$2:$B$378,'00_SKU_Master'!$E$2:$E$378,""),"")</f>
        <v>ThighMeat</v>
      </c>
      <c r="O194">
        <f>IFERROR(_xlfn.XLOOKUP(B194,'00_SKU_Master'!$B$2:$B$378,'00_SKU_Master'!$F$2:$F$378,0),0)</f>
        <v>5.8150162967561601</v>
      </c>
      <c r="P194">
        <f>IFERROR(_xlfn.XLOOKUP(N194,'00_Yield_Rates'!$B$2:$B$33,'00_Yield_Rates'!$E$2:$E$33,0)/100,0)</f>
        <v>0.105</v>
      </c>
      <c r="Q194">
        <f t="shared" ref="Q194:Q257" si="21">IF(AND(ISNUMBER(M194),ISNUMBER(O194)),M194*O194,0)</f>
        <v>3512.2698432407205</v>
      </c>
      <c r="R194">
        <f t="shared" ref="R194:R257" si="22">IF(AND(ISNUMBER(Q194),P194&gt;0),Q194/P194,0)</f>
        <v>33450.18898324496</v>
      </c>
      <c r="S194">
        <f t="shared" ref="S194:S257" si="23">IF(R194&gt;0,ROUNDUP(R194/680,1),0)</f>
        <v>49.2</v>
      </c>
    </row>
    <row r="195" spans="1:19">
      <c r="A195" s="138" t="str">
        <f>'00_SKU_Master'!J287</f>
        <v>MS LCL BSHB AC PET 8 PP BSK</v>
      </c>
      <c r="B195" s="138">
        <f>'00_SKU_Master'!B287</f>
        <v>7831</v>
      </c>
      <c r="C195" s="165">
        <f>_xlfn.XLOOKUP(B195,'02_TrayPack_Order'!$A$2:$A$265,'02_TrayPack_Order'!$C$2:$C$265)</f>
        <v>734</v>
      </c>
      <c r="D195" s="166">
        <f>_xlfn.XLOOKUP(B195,'02_TrayPack_Order'!$A$2:$A$265,'02_TrayPack_Order'!$L$2:$L$265,0)</f>
        <v>0</v>
      </c>
      <c r="E195" s="165">
        <f>SUMIF('13_Progress_Track'!$A$2:$A$108,B195,'13_Progress_Track'!$E$2:$E$108)</f>
        <v>89</v>
      </c>
      <c r="F195" s="165">
        <f t="shared" si="18"/>
        <v>0</v>
      </c>
      <c r="G195" s="167">
        <f t="shared" si="19"/>
        <v>645</v>
      </c>
      <c r="H195" s="138" t="str">
        <f>_xlfn.IFNA(_xlfn.XLOOKUP(B195,'00_SKU_Master'!$B$2:$B$378,'00_SKU_Master'!$C$2:$C$378),"")</f>
        <v>61050F</v>
      </c>
      <c r="I195" s="138"/>
      <c r="J195" s="14" t="str">
        <f>_xlfn.IFNA(_xlfn.XLOOKUP(B195,'00_SKU_Master'!B$2:B$378,'00_SKU_Master'!H$2:H$378,0),"")</f>
        <v>PET 8</v>
      </c>
      <c r="K195" s="14" t="str">
        <f>_xlfn.IFNA(_xlfn.XLOOKUP(B195,'00_SKU_Master'!B$2:B$378,'00_SKU_Master'!K$2:K$378,0),"")</f>
        <v>Fast</v>
      </c>
      <c r="L195" s="138" t="str">
        <f>_xlfn.XLOOKUP(B195,'00_SKU_Master'!$B$2:$B$378,'00_SKU_Master'!$D$2:$D$378)</f>
        <v>LCL</v>
      </c>
      <c r="M195" s="138">
        <f t="shared" si="20"/>
        <v>645</v>
      </c>
      <c r="N195" t="str">
        <f>IFERROR(_xlfn.XLOOKUP(B195,'00_SKU_Master'!$B$2:$B$378,'00_SKU_Master'!$E$2:$E$378,""),"")</f>
        <v>BSB</v>
      </c>
      <c r="O195">
        <f>IFERROR(_xlfn.XLOOKUP(B195,'00_SKU_Master'!$B$2:$B$378,'00_SKU_Master'!$F$2:$F$378,0),0)</f>
        <v>9.3727030913012204</v>
      </c>
      <c r="P195">
        <f>IFERROR(_xlfn.XLOOKUP(N195,'00_Yield_Rates'!$B$2:$B$33,'00_Yield_Rates'!$E$2:$E$33,0)/100,0)</f>
        <v>0.31</v>
      </c>
      <c r="Q195">
        <f t="shared" si="21"/>
        <v>6045.3934938892871</v>
      </c>
      <c r="R195">
        <f t="shared" si="22"/>
        <v>19501.269335126733</v>
      </c>
      <c r="S195">
        <f t="shared" si="23"/>
        <v>28.700000000000003</v>
      </c>
    </row>
    <row r="196" spans="1:19">
      <c r="A196" s="138" t="str">
        <f>'00_SKU_Master'!J288</f>
        <v>PB PC FRY WOG AC TI PET 3 PP</v>
      </c>
      <c r="B196" s="138">
        <f>'00_SKU_Master'!B288</f>
        <v>7833</v>
      </c>
      <c r="C196" s="165">
        <f>_xlfn.XLOOKUP(B196,'02_TrayPack_Order'!$A$2:$A$265,'02_TrayPack_Order'!$C$2:$C$265)</f>
        <v>0</v>
      </c>
      <c r="D196" s="166">
        <f>_xlfn.XLOOKUP(B196,'02_TrayPack_Order'!$A$2:$A$265,'02_TrayPack_Order'!$L$2:$L$265,0)</f>
        <v>0</v>
      </c>
      <c r="E196" s="165">
        <f>SUMIF('13_Progress_Track'!$A$2:$A$108,B196,'13_Progress_Track'!$E$2:$E$108)</f>
        <v>0</v>
      </c>
      <c r="F196" s="165">
        <f t="shared" si="18"/>
        <v>0</v>
      </c>
      <c r="G196" s="167">
        <f t="shared" si="19"/>
        <v>0</v>
      </c>
      <c r="H196" s="138">
        <f>_xlfn.IFNA(_xlfn.XLOOKUP(B196,'00_SKU_Master'!$B$2:$B$378,'00_SKU_Master'!$C$2:$C$378),"")</f>
        <v>203135</v>
      </c>
      <c r="I196" s="138"/>
      <c r="J196" s="14" t="str">
        <f>_xlfn.IFNA(_xlfn.XLOOKUP(B196,'00_SKU_Master'!B$2:B$378,'00_SKU_Master'!H$2:H$378,0),"")</f>
        <v>PET 3</v>
      </c>
      <c r="K196" s="14" t="str">
        <f>_xlfn.IFNA(_xlfn.XLOOKUP(B196,'00_SKU_Master'!B$2:B$378,'00_SKU_Master'!K$2:K$378,0),"")</f>
        <v>Fast</v>
      </c>
      <c r="L196" s="138" t="str">
        <f>_xlfn.XLOOKUP(B196,'00_SKU_Master'!$B$2:$B$378,'00_SKU_Master'!$D$2:$D$378)</f>
        <v>LCL</v>
      </c>
      <c r="M196" s="138">
        <f t="shared" si="20"/>
        <v>0</v>
      </c>
      <c r="N196" t="str">
        <f>IFERROR(_xlfn.XLOOKUP(B196,'00_SKU_Master'!$B$2:$B$378,'00_SKU_Master'!$E$2:$E$378,""),"")</f>
        <v>Whole Bird-Small</v>
      </c>
      <c r="O196">
        <f>IFERROR(_xlfn.XLOOKUP(B196,'00_SKU_Master'!$B$2:$B$378,'00_SKU_Master'!$F$2:$F$378,0),0)</f>
        <v>9.83239310477658</v>
      </c>
      <c r="P196">
        <f>IFERROR(_xlfn.XLOOKUP(N196,'00_Yield_Rates'!$B$2:$B$33,'00_Yield_Rates'!$E$2:$E$33,0)/100,0)</f>
        <v>0</v>
      </c>
      <c r="Q196">
        <f t="shared" si="21"/>
        <v>0</v>
      </c>
      <c r="R196">
        <f t="shared" si="22"/>
        <v>0</v>
      </c>
      <c r="S196">
        <f t="shared" si="23"/>
        <v>0</v>
      </c>
    </row>
    <row r="197" spans="1:19">
      <c r="A197" s="138" t="str">
        <f>'00_SKU_Master'!J289</f>
        <v>PB PC FRY WOG AC TI PET 3 PP</v>
      </c>
      <c r="B197" s="138">
        <f>'00_SKU_Master'!B289</f>
        <v>7834</v>
      </c>
      <c r="C197" s="165">
        <f>_xlfn.XLOOKUP(B197,'02_TrayPack_Order'!$A$2:$A$265,'02_TrayPack_Order'!$C$2:$C$265)</f>
        <v>0</v>
      </c>
      <c r="D197" s="166">
        <f>_xlfn.XLOOKUP(B197,'02_TrayPack_Order'!$A$2:$A$265,'02_TrayPack_Order'!$L$2:$L$265,0)</f>
        <v>0</v>
      </c>
      <c r="E197" s="165">
        <f>SUMIF('13_Progress_Track'!$A$2:$A$108,B197,'13_Progress_Track'!$E$2:$E$108)</f>
        <v>0</v>
      </c>
      <c r="F197" s="165">
        <f t="shared" si="18"/>
        <v>0</v>
      </c>
      <c r="G197" s="167">
        <f t="shared" si="19"/>
        <v>0</v>
      </c>
      <c r="H197" s="138">
        <f>_xlfn.IFNA(_xlfn.XLOOKUP(B197,'00_SKU_Master'!$B$2:$B$378,'00_SKU_Master'!$C$2:$C$378),"")</f>
        <v>203135</v>
      </c>
      <c r="I197" s="138"/>
      <c r="J197" s="14" t="str">
        <f>_xlfn.IFNA(_xlfn.XLOOKUP(B197,'00_SKU_Master'!B$2:B$378,'00_SKU_Master'!H$2:H$378,0),"")</f>
        <v>PET 3</v>
      </c>
      <c r="K197" s="14" t="str">
        <f>_xlfn.IFNA(_xlfn.XLOOKUP(B197,'00_SKU_Master'!B$2:B$378,'00_SKU_Master'!K$2:K$378,0),"")</f>
        <v>Fast</v>
      </c>
      <c r="L197" s="138" t="str">
        <f>_xlfn.XLOOKUP(B197,'00_SKU_Master'!$B$2:$B$378,'00_SKU_Master'!$D$2:$D$378)</f>
        <v>LCL</v>
      </c>
      <c r="M197" s="138">
        <f t="shared" si="20"/>
        <v>0</v>
      </c>
      <c r="N197" t="str">
        <f>IFERROR(_xlfn.XLOOKUP(B197,'00_SKU_Master'!$B$2:$B$378,'00_SKU_Master'!$E$2:$E$378,""),"")</f>
        <v>Whole Bird-Small</v>
      </c>
      <c r="O197">
        <f>IFERROR(_xlfn.XLOOKUP(B197,'00_SKU_Master'!$B$2:$B$378,'00_SKU_Master'!$F$2:$F$378,0),0)</f>
        <v>9.83239310477658</v>
      </c>
      <c r="P197">
        <f>IFERROR(_xlfn.XLOOKUP(N197,'00_Yield_Rates'!$B$2:$B$33,'00_Yield_Rates'!$E$2:$E$33,0)/100,0)</f>
        <v>0</v>
      </c>
      <c r="Q197">
        <f t="shared" si="21"/>
        <v>0</v>
      </c>
      <c r="R197">
        <f t="shared" si="22"/>
        <v>0</v>
      </c>
      <c r="S197">
        <f t="shared" si="23"/>
        <v>0</v>
      </c>
    </row>
    <row r="198" spans="1:19">
      <c r="A198" s="138" t="str">
        <f>'00_SKU_Master'!J290</f>
        <v>MS LCL BSHB AC 3D PP BSK</v>
      </c>
      <c r="B198" s="138">
        <f>'00_SKU_Master'!B290</f>
        <v>7840</v>
      </c>
      <c r="C198" s="165">
        <f>_xlfn.XLOOKUP(B198,'02_TrayPack_Order'!$A$2:$A$265,'02_TrayPack_Order'!$C$2:$C$265)</f>
        <v>0</v>
      </c>
      <c r="D198" s="166">
        <f>_xlfn.XLOOKUP(B198,'02_TrayPack_Order'!$A$2:$A$265,'02_TrayPack_Order'!$L$2:$L$265,0)</f>
        <v>0</v>
      </c>
      <c r="E198" s="165">
        <f>SUMIF('13_Progress_Track'!$A$2:$A$108,B198,'13_Progress_Track'!$E$2:$E$108)</f>
        <v>0</v>
      </c>
      <c r="F198" s="165">
        <f t="shared" si="18"/>
        <v>0</v>
      </c>
      <c r="G198" s="167">
        <f t="shared" si="19"/>
        <v>0</v>
      </c>
      <c r="H198" s="138" t="str">
        <f>_xlfn.IFNA(_xlfn.XLOOKUP(B198,'00_SKU_Master'!$B$2:$B$378,'00_SKU_Master'!$C$2:$C$378),"")</f>
        <v>61050F</v>
      </c>
      <c r="I198" s="138"/>
      <c r="J198" s="14" t="str">
        <f>_xlfn.IFNA(_xlfn.XLOOKUP(B198,'00_SKU_Master'!B$2:B$378,'00_SKU_Master'!H$2:H$378,0),"")</f>
        <v>ST 3D</v>
      </c>
      <c r="K198" s="14" t="str">
        <f>_xlfn.IFNA(_xlfn.XLOOKUP(B198,'00_SKU_Master'!B$2:B$378,'00_SKU_Master'!K$2:K$378,0),"")</f>
        <v>Fast</v>
      </c>
      <c r="L198" s="138" t="str">
        <f>_xlfn.XLOOKUP(B198,'00_SKU_Master'!$B$2:$B$378,'00_SKU_Master'!$D$2:$D$378)</f>
        <v>LCL</v>
      </c>
      <c r="M198" s="138">
        <f t="shared" si="20"/>
        <v>0</v>
      </c>
      <c r="N198" t="str">
        <f>IFERROR(_xlfn.XLOOKUP(B198,'00_SKU_Master'!$B$2:$B$378,'00_SKU_Master'!$E$2:$E$378,""),"")</f>
        <v>BSB</v>
      </c>
      <c r="O198">
        <f>IFERROR(_xlfn.XLOOKUP(B198,'00_SKU_Master'!$B$2:$B$378,'00_SKU_Master'!$F$2:$F$378,0),0)</f>
        <v>0</v>
      </c>
      <c r="P198">
        <f>IFERROR(_xlfn.XLOOKUP(N198,'00_Yield_Rates'!$B$2:$B$33,'00_Yield_Rates'!$E$2:$E$33,0)/100,0)</f>
        <v>0.31</v>
      </c>
      <c r="Q198">
        <f t="shared" si="21"/>
        <v>0</v>
      </c>
      <c r="R198">
        <f t="shared" si="22"/>
        <v>0</v>
      </c>
      <c r="S198">
        <f t="shared" si="23"/>
        <v>0</v>
      </c>
    </row>
    <row r="199" spans="1:19">
      <c r="A199" s="138" t="str">
        <f>'00_SKU_Master'!J291</f>
        <v>MS LCL BSHB AC 6D PP BSK</v>
      </c>
      <c r="B199" s="138">
        <f>'00_SKU_Master'!B291</f>
        <v>7841</v>
      </c>
      <c r="C199" s="165">
        <f>_xlfn.XLOOKUP(B199,'02_TrayPack_Order'!$A$2:$A$265,'02_TrayPack_Order'!$C$2:$C$265)</f>
        <v>0</v>
      </c>
      <c r="D199" s="166">
        <f>_xlfn.XLOOKUP(B199,'02_TrayPack_Order'!$A$2:$A$265,'02_TrayPack_Order'!$L$2:$L$265,0)</f>
        <v>0</v>
      </c>
      <c r="E199" s="165">
        <f>SUMIF('13_Progress_Track'!$A$2:$A$108,B199,'13_Progress_Track'!$E$2:$E$108)</f>
        <v>0</v>
      </c>
      <c r="F199" s="165">
        <f t="shared" si="18"/>
        <v>0</v>
      </c>
      <c r="G199" s="167">
        <f t="shared" si="19"/>
        <v>0</v>
      </c>
      <c r="H199" s="138" t="str">
        <f>_xlfn.IFNA(_xlfn.XLOOKUP(B199,'00_SKU_Master'!$B$2:$B$378,'00_SKU_Master'!$C$2:$C$378),"")</f>
        <v>61050F</v>
      </c>
      <c r="I199" s="138"/>
      <c r="J199" s="14" t="str">
        <f>_xlfn.IFNA(_xlfn.XLOOKUP(B199,'00_SKU_Master'!B$2:B$378,'00_SKU_Master'!H$2:H$378,0),"")</f>
        <v>LT 6D</v>
      </c>
      <c r="K199" s="14" t="str">
        <f>_xlfn.IFNA(_xlfn.XLOOKUP(B199,'00_SKU_Master'!B$2:B$378,'00_SKU_Master'!K$2:K$378,0),"")</f>
        <v>Fast</v>
      </c>
      <c r="L199" s="138" t="str">
        <f>_xlfn.XLOOKUP(B199,'00_SKU_Master'!$B$2:$B$378,'00_SKU_Master'!$D$2:$D$378)</f>
        <v>LCL</v>
      </c>
      <c r="M199" s="138">
        <f t="shared" si="20"/>
        <v>0</v>
      </c>
      <c r="N199" t="str">
        <f>IFERROR(_xlfn.XLOOKUP(B199,'00_SKU_Master'!$B$2:$B$378,'00_SKU_Master'!$E$2:$E$378,""),"")</f>
        <v>BSB</v>
      </c>
      <c r="O199">
        <f>IFERROR(_xlfn.XLOOKUP(B199,'00_SKU_Master'!$B$2:$B$378,'00_SKU_Master'!$F$2:$F$378,0),0)</f>
        <v>0</v>
      </c>
      <c r="P199">
        <f>IFERROR(_xlfn.XLOOKUP(N199,'00_Yield_Rates'!$B$2:$B$33,'00_Yield_Rates'!$E$2:$E$33,0)/100,0)</f>
        <v>0.31</v>
      </c>
      <c r="Q199">
        <f t="shared" si="21"/>
        <v>0</v>
      </c>
      <c r="R199">
        <f t="shared" si="22"/>
        <v>0</v>
      </c>
      <c r="S199">
        <f t="shared" si="23"/>
        <v>0</v>
      </c>
    </row>
    <row r="200" spans="1:19">
      <c r="A200" s="138" t="str">
        <f>'00_SKU_Master'!J292</f>
        <v>MS LCL BSHB AC 8D PP BSK</v>
      </c>
      <c r="B200" s="138">
        <f>'00_SKU_Master'!B292</f>
        <v>7842</v>
      </c>
      <c r="C200" s="165">
        <f>_xlfn.XLOOKUP(B200,'02_TrayPack_Order'!$A$2:$A$265,'02_TrayPack_Order'!$C$2:$C$265)</f>
        <v>0</v>
      </c>
      <c r="D200" s="166">
        <f>_xlfn.XLOOKUP(B200,'02_TrayPack_Order'!$A$2:$A$265,'02_TrayPack_Order'!$L$2:$L$265,0)</f>
        <v>0</v>
      </c>
      <c r="E200" s="165">
        <f>SUMIF('13_Progress_Track'!$A$2:$A$108,B200,'13_Progress_Track'!$E$2:$E$108)</f>
        <v>0</v>
      </c>
      <c r="F200" s="165">
        <f t="shared" si="18"/>
        <v>0</v>
      </c>
      <c r="G200" s="167">
        <f t="shared" si="19"/>
        <v>0</v>
      </c>
      <c r="H200" s="138" t="str">
        <f>_xlfn.IFNA(_xlfn.XLOOKUP(B200,'00_SKU_Master'!$B$2:$B$378,'00_SKU_Master'!$C$2:$C$378),"")</f>
        <v>61050F</v>
      </c>
      <c r="I200" s="138"/>
      <c r="J200" s="14" t="str">
        <f>_xlfn.IFNA(_xlfn.XLOOKUP(B200,'00_SKU_Master'!B$2:B$378,'00_SKU_Master'!H$2:H$378,0),"")</f>
        <v>PET 8</v>
      </c>
      <c r="K200" s="14" t="str">
        <f>_xlfn.IFNA(_xlfn.XLOOKUP(B200,'00_SKU_Master'!B$2:B$378,'00_SKU_Master'!K$2:K$378,0),"")</f>
        <v>Fast</v>
      </c>
      <c r="L200" s="138" t="str">
        <f>_xlfn.XLOOKUP(B200,'00_SKU_Master'!$B$2:$B$378,'00_SKU_Master'!$D$2:$D$378)</f>
        <v>LCL</v>
      </c>
      <c r="M200" s="138">
        <f t="shared" si="20"/>
        <v>0</v>
      </c>
      <c r="N200" t="str">
        <f>IFERROR(_xlfn.XLOOKUP(B200,'00_SKU_Master'!$B$2:$B$378,'00_SKU_Master'!$E$2:$E$378,""),"")</f>
        <v>BSB</v>
      </c>
      <c r="O200">
        <f>IFERROR(_xlfn.XLOOKUP(B200,'00_SKU_Master'!$B$2:$B$378,'00_SKU_Master'!$F$2:$F$378,0),0)</f>
        <v>0</v>
      </c>
      <c r="P200">
        <f>IFERROR(_xlfn.XLOOKUP(N200,'00_Yield_Rates'!$B$2:$B$33,'00_Yield_Rates'!$E$2:$E$33,0)/100,0)</f>
        <v>0.31</v>
      </c>
      <c r="Q200">
        <f t="shared" si="21"/>
        <v>0</v>
      </c>
      <c r="R200">
        <f t="shared" si="22"/>
        <v>0</v>
      </c>
      <c r="S200">
        <f t="shared" si="23"/>
        <v>0</v>
      </c>
    </row>
    <row r="201" spans="1:19">
      <c r="A201" s="138" t="str">
        <f>'00_SKU_Master'!J293</f>
        <v>MS LCL BSHB 6D PP BSK</v>
      </c>
      <c r="B201" s="138">
        <f>'00_SKU_Master'!B293</f>
        <v>7843</v>
      </c>
      <c r="C201" s="165">
        <f>_xlfn.XLOOKUP(B201,'02_TrayPack_Order'!$A$2:$A$265,'02_TrayPack_Order'!$C$2:$C$265)</f>
        <v>0</v>
      </c>
      <c r="D201" s="166">
        <f>_xlfn.XLOOKUP(B201,'02_TrayPack_Order'!$A$2:$A$265,'02_TrayPack_Order'!$L$2:$L$265,0)</f>
        <v>0</v>
      </c>
      <c r="E201" s="165">
        <f>SUMIF('13_Progress_Track'!$A$2:$A$108,B201,'13_Progress_Track'!$E$2:$E$108)</f>
        <v>0</v>
      </c>
      <c r="F201" s="165">
        <f t="shared" si="18"/>
        <v>0</v>
      </c>
      <c r="G201" s="167">
        <f t="shared" si="19"/>
        <v>0</v>
      </c>
      <c r="H201" s="138" t="str">
        <f>_xlfn.IFNA(_xlfn.XLOOKUP(B201,'00_SKU_Master'!$B$2:$B$378,'00_SKU_Master'!$C$2:$C$378),"")</f>
        <v>61050#2</v>
      </c>
      <c r="I201" s="138"/>
      <c r="J201" s="14" t="str">
        <f>_xlfn.IFNA(_xlfn.XLOOKUP(B201,'00_SKU_Master'!B$2:B$378,'00_SKU_Master'!H$2:H$378,0),"")</f>
        <v>LT 6D</v>
      </c>
      <c r="K201" s="14" t="str">
        <f>_xlfn.IFNA(_xlfn.XLOOKUP(B201,'00_SKU_Master'!B$2:B$378,'00_SKU_Master'!K$2:K$378,0),"")</f>
        <v>Fast</v>
      </c>
      <c r="L201" s="138" t="str">
        <f>_xlfn.XLOOKUP(B201,'00_SKU_Master'!$B$2:$B$378,'00_SKU_Master'!$D$2:$D$378)</f>
        <v>LCL</v>
      </c>
      <c r="M201" s="138">
        <f t="shared" si="20"/>
        <v>0</v>
      </c>
      <c r="N201" t="str">
        <f>IFERROR(_xlfn.XLOOKUP(B201,'00_SKU_Master'!$B$2:$B$378,'00_SKU_Master'!$E$2:$E$378,""),"")</f>
        <v>BSB</v>
      </c>
      <c r="O201">
        <f>IFERROR(_xlfn.XLOOKUP(B201,'00_SKU_Master'!$B$2:$B$378,'00_SKU_Master'!$F$2:$F$378,0),0)</f>
        <v>0</v>
      </c>
      <c r="P201">
        <f>IFERROR(_xlfn.XLOOKUP(N201,'00_Yield_Rates'!$B$2:$B$33,'00_Yield_Rates'!$E$2:$E$33,0)/100,0)</f>
        <v>0.31</v>
      </c>
      <c r="Q201">
        <f t="shared" si="21"/>
        <v>0</v>
      </c>
      <c r="R201">
        <f t="shared" si="22"/>
        <v>0</v>
      </c>
      <c r="S201">
        <f t="shared" si="23"/>
        <v>0</v>
      </c>
    </row>
    <row r="202" spans="1:19">
      <c r="A202" s="138" t="str">
        <f>'00_SKU_Master'!J294</f>
        <v>MS LCL BSHB AC PET 3 PP BSK</v>
      </c>
      <c r="B202" s="138">
        <f>'00_SKU_Master'!B294</f>
        <v>7851</v>
      </c>
      <c r="C202" s="165">
        <f>_xlfn.XLOOKUP(B202,'02_TrayPack_Order'!$A$2:$A$265,'02_TrayPack_Order'!$C$2:$C$265)</f>
        <v>344</v>
      </c>
      <c r="D202" s="166">
        <f>_xlfn.XLOOKUP(B202,'02_TrayPack_Order'!$A$2:$A$265,'02_TrayPack_Order'!$L$2:$L$265,0)</f>
        <v>0</v>
      </c>
      <c r="E202" s="165">
        <f>SUMIF('13_Progress_Track'!$A$2:$A$108,B202,'13_Progress_Track'!$E$2:$E$108)</f>
        <v>124</v>
      </c>
      <c r="F202" s="165">
        <f t="shared" si="18"/>
        <v>0</v>
      </c>
      <c r="G202" s="167">
        <f t="shared" si="19"/>
        <v>220</v>
      </c>
      <c r="H202" s="138">
        <f>_xlfn.IFNA(_xlfn.XLOOKUP(B202,'00_SKU_Master'!$B$2:$B$378,'00_SKU_Master'!$C$2:$C$378),"")</f>
        <v>61050</v>
      </c>
      <c r="I202" s="138"/>
      <c r="J202" s="14" t="str">
        <f>_xlfn.IFNA(_xlfn.XLOOKUP(B202,'00_SKU_Master'!B$2:B$378,'00_SKU_Master'!H$2:H$378,0),"")</f>
        <v>PET 3</v>
      </c>
      <c r="K202" s="14" t="str">
        <f>_xlfn.IFNA(_xlfn.XLOOKUP(B202,'00_SKU_Master'!B$2:B$378,'00_SKU_Master'!K$2:K$378,0),"")</f>
        <v>Fast</v>
      </c>
      <c r="L202" s="138" t="str">
        <f>_xlfn.XLOOKUP(B202,'00_SKU_Master'!$B$2:$B$378,'00_SKU_Master'!$D$2:$D$378)</f>
        <v>LCL</v>
      </c>
      <c r="M202" s="138">
        <f t="shared" si="20"/>
        <v>220</v>
      </c>
      <c r="N202" t="str">
        <f>IFERROR(_xlfn.XLOOKUP(B202,'00_SKU_Master'!$B$2:$B$378,'00_SKU_Master'!$E$2:$E$378,""),"")</f>
        <v>BSB</v>
      </c>
      <c r="O202">
        <f>IFERROR(_xlfn.XLOOKUP(B202,'00_SKU_Master'!$B$2:$B$378,'00_SKU_Master'!$F$2:$F$378,0),0)</f>
        <v>5.4179964013547801</v>
      </c>
      <c r="P202">
        <f>IFERROR(_xlfn.XLOOKUP(N202,'00_Yield_Rates'!$B$2:$B$33,'00_Yield_Rates'!$E$2:$E$33,0)/100,0)</f>
        <v>0.31</v>
      </c>
      <c r="Q202">
        <f t="shared" si="21"/>
        <v>1191.9592082980516</v>
      </c>
      <c r="R202">
        <f t="shared" si="22"/>
        <v>3845.0297041872632</v>
      </c>
      <c r="S202">
        <f t="shared" si="23"/>
        <v>5.6999999999999993</v>
      </c>
    </row>
    <row r="203" spans="1:19">
      <c r="A203" s="138" t="str">
        <f>'00_SKU_Master'!J295</f>
        <v>MS LCL BSHB AC PET 6 PP BSK</v>
      </c>
      <c r="B203" s="138">
        <f>'00_SKU_Master'!B295</f>
        <v>7852</v>
      </c>
      <c r="C203" s="165">
        <f>_xlfn.XLOOKUP(B203,'02_TrayPack_Order'!$A$2:$A$265,'02_TrayPack_Order'!$C$2:$C$265)</f>
        <v>733</v>
      </c>
      <c r="D203" s="166">
        <f>_xlfn.XLOOKUP(B203,'02_TrayPack_Order'!$A$2:$A$265,'02_TrayPack_Order'!$L$2:$L$265,0)</f>
        <v>0</v>
      </c>
      <c r="E203" s="165">
        <f>SUMIF('13_Progress_Track'!$A$2:$A$108,B203,'13_Progress_Track'!$E$2:$E$108)</f>
        <v>0</v>
      </c>
      <c r="F203" s="165">
        <f t="shared" si="18"/>
        <v>0</v>
      </c>
      <c r="G203" s="167">
        <f t="shared" si="19"/>
        <v>733</v>
      </c>
      <c r="H203" s="138">
        <f>_xlfn.IFNA(_xlfn.XLOOKUP(B203,'00_SKU_Master'!$B$2:$B$378,'00_SKU_Master'!$C$2:$C$378),"")</f>
        <v>61050</v>
      </c>
      <c r="I203" s="138"/>
      <c r="J203" s="14" t="str">
        <f>_xlfn.IFNA(_xlfn.XLOOKUP(B203,'00_SKU_Master'!B$2:B$378,'00_SKU_Master'!H$2:H$378,0),"")</f>
        <v>PET 6</v>
      </c>
      <c r="K203" s="14" t="str">
        <f>_xlfn.IFNA(_xlfn.XLOOKUP(B203,'00_SKU_Master'!B$2:B$378,'00_SKU_Master'!K$2:K$378,0),"")</f>
        <v>Fast</v>
      </c>
      <c r="L203" s="138" t="str">
        <f>_xlfn.XLOOKUP(B203,'00_SKU_Master'!$B$2:$B$378,'00_SKU_Master'!$D$2:$D$378)</f>
        <v>LCL</v>
      </c>
      <c r="M203" s="138">
        <f t="shared" si="20"/>
        <v>733</v>
      </c>
      <c r="N203" t="str">
        <f>IFERROR(_xlfn.XLOOKUP(B203,'00_SKU_Master'!$B$2:$B$378,'00_SKU_Master'!$E$2:$E$378,""),"")</f>
        <v>BSB</v>
      </c>
      <c r="O203">
        <f>IFERROR(_xlfn.XLOOKUP(B203,'00_SKU_Master'!$B$2:$B$378,'00_SKU_Master'!$F$2:$F$378,0),0)</f>
        <v>7.1096843935164697</v>
      </c>
      <c r="P203">
        <f>IFERROR(_xlfn.XLOOKUP(N203,'00_Yield_Rates'!$B$2:$B$33,'00_Yield_Rates'!$E$2:$E$33,0)/100,0)</f>
        <v>0.31</v>
      </c>
      <c r="Q203">
        <f t="shared" si="21"/>
        <v>5211.3986604475722</v>
      </c>
      <c r="R203">
        <f t="shared" si="22"/>
        <v>16810.96342079862</v>
      </c>
      <c r="S203">
        <f t="shared" si="23"/>
        <v>24.8</v>
      </c>
    </row>
    <row r="204" spans="1:19">
      <c r="A204" s="138" t="str">
        <f>'00_SKU_Master'!J296</f>
        <v>MS LCL THIGH AC PET 6 PP BSK</v>
      </c>
      <c r="B204" s="138">
        <f>'00_SKU_Master'!B296</f>
        <v>7853</v>
      </c>
      <c r="C204" s="165">
        <f>_xlfn.XLOOKUP(B204,'02_TrayPack_Order'!$A$2:$A$265,'02_TrayPack_Order'!$C$2:$C$265)</f>
        <v>346</v>
      </c>
      <c r="D204" s="166">
        <f>_xlfn.XLOOKUP(B204,'02_TrayPack_Order'!$A$2:$A$265,'02_TrayPack_Order'!$L$2:$L$265,0)</f>
        <v>0</v>
      </c>
      <c r="E204" s="165">
        <f>SUMIF('13_Progress_Track'!$A$2:$A$108,B204,'13_Progress_Track'!$E$2:$E$108)</f>
        <v>114</v>
      </c>
      <c r="F204" s="165">
        <f t="shared" si="18"/>
        <v>0</v>
      </c>
      <c r="G204" s="167">
        <f t="shared" si="19"/>
        <v>232</v>
      </c>
      <c r="H204" s="138">
        <f>_xlfn.IFNA(_xlfn.XLOOKUP(B204,'00_SKU_Master'!$B$2:$B$378,'00_SKU_Master'!$C$2:$C$378),"")</f>
        <v>61077</v>
      </c>
      <c r="I204" s="138"/>
      <c r="J204" s="14" t="str">
        <f>_xlfn.IFNA(_xlfn.XLOOKUP(B204,'00_SKU_Master'!B$2:B$378,'00_SKU_Master'!H$2:H$378,0),"")</f>
        <v>PET 6</v>
      </c>
      <c r="K204" s="14" t="str">
        <f>_xlfn.IFNA(_xlfn.XLOOKUP(B204,'00_SKU_Master'!B$2:B$378,'00_SKU_Master'!K$2:K$378,0),"")</f>
        <v>Fast</v>
      </c>
      <c r="L204" s="138" t="str">
        <f>_xlfn.XLOOKUP(B204,'00_SKU_Master'!$B$2:$B$378,'00_SKU_Master'!$D$2:$D$378)</f>
        <v>LCL</v>
      </c>
      <c r="M204" s="138">
        <f t="shared" si="20"/>
        <v>232</v>
      </c>
      <c r="N204" t="str">
        <f>IFERROR(_xlfn.XLOOKUP(B204,'00_SKU_Master'!$B$2:$B$378,'00_SKU_Master'!$E$2:$E$378,""),"")</f>
        <v>Thigh</v>
      </c>
      <c r="O204">
        <f>IFERROR(_xlfn.XLOOKUP(B204,'00_SKU_Master'!$B$2:$B$378,'00_SKU_Master'!$F$2:$F$378,0),0)</f>
        <v>6.4518882343575799</v>
      </c>
      <c r="P204">
        <f>IFERROR(_xlfn.XLOOKUP(N204,'00_Yield_Rates'!$B$2:$B$33,'00_Yield_Rates'!$E$2:$E$33,0)/100,0)</f>
        <v>0.191</v>
      </c>
      <c r="Q204">
        <f t="shared" si="21"/>
        <v>1496.8380703709586</v>
      </c>
      <c r="R204">
        <f t="shared" si="22"/>
        <v>7836.8485359736051</v>
      </c>
      <c r="S204">
        <f t="shared" si="23"/>
        <v>11.6</v>
      </c>
    </row>
    <row r="205" spans="1:19">
      <c r="A205" s="138" t="str">
        <f>'00_SKU_Master'!J297</f>
        <v>MS LCL DRUM AC PET 6 PP BSK</v>
      </c>
      <c r="B205" s="138">
        <f>'00_SKU_Master'!B297</f>
        <v>7854</v>
      </c>
      <c r="C205" s="165">
        <f>_xlfn.XLOOKUP(B205,'02_TrayPack_Order'!$A$2:$A$265,'02_TrayPack_Order'!$C$2:$C$265)</f>
        <v>265</v>
      </c>
      <c r="D205" s="166">
        <f>_xlfn.XLOOKUP(B205,'02_TrayPack_Order'!$A$2:$A$265,'02_TrayPack_Order'!$L$2:$L$265,0)</f>
        <v>0</v>
      </c>
      <c r="E205" s="165">
        <f>SUMIF('13_Progress_Track'!$A$2:$A$108,B205,'13_Progress_Track'!$E$2:$E$108)</f>
        <v>0</v>
      </c>
      <c r="F205" s="165">
        <f t="shared" si="18"/>
        <v>0</v>
      </c>
      <c r="G205" s="167">
        <f t="shared" si="19"/>
        <v>265</v>
      </c>
      <c r="H205" s="138" t="str">
        <f>_xlfn.IFNA(_xlfn.XLOOKUP(B205,'00_SKU_Master'!$B$2:$B$378,'00_SKU_Master'!$C$2:$C$378),"")</f>
        <v>61072F</v>
      </c>
      <c r="I205" s="138"/>
      <c r="J205" s="14" t="str">
        <f>_xlfn.IFNA(_xlfn.XLOOKUP(B205,'00_SKU_Master'!B$2:B$378,'00_SKU_Master'!H$2:H$378,0),"")</f>
        <v>PET 6</v>
      </c>
      <c r="K205" s="14" t="str">
        <f>_xlfn.IFNA(_xlfn.XLOOKUP(B205,'00_SKU_Master'!B$2:B$378,'00_SKU_Master'!K$2:K$378,0),"")</f>
        <v>Fast</v>
      </c>
      <c r="L205" s="138" t="str">
        <f>_xlfn.XLOOKUP(B205,'00_SKU_Master'!$B$2:$B$378,'00_SKU_Master'!$D$2:$D$378)</f>
        <v>LCL</v>
      </c>
      <c r="M205" s="138">
        <f t="shared" si="20"/>
        <v>265</v>
      </c>
      <c r="N205" t="str">
        <f>IFERROR(_xlfn.XLOOKUP(B205,'00_SKU_Master'!$B$2:$B$378,'00_SKU_Master'!$E$2:$E$378,""),"")</f>
        <v>Drum</v>
      </c>
      <c r="O205">
        <f>IFERROR(_xlfn.XLOOKUP(B205,'00_SKU_Master'!$B$2:$B$378,'00_SKU_Master'!$F$2:$F$378,0),0)</f>
        <v>6.1087076211823996</v>
      </c>
      <c r="P205">
        <f>IFERROR(_xlfn.XLOOKUP(N205,'00_Yield_Rates'!$B$2:$B$33,'00_Yield_Rates'!$E$2:$E$33,0)/100,0)</f>
        <v>0.128</v>
      </c>
      <c r="Q205">
        <f t="shared" si="21"/>
        <v>1618.8075196133359</v>
      </c>
      <c r="R205">
        <f t="shared" si="22"/>
        <v>12646.933746979186</v>
      </c>
      <c r="S205">
        <f t="shared" si="23"/>
        <v>18.600000000000001</v>
      </c>
    </row>
    <row r="206" spans="1:19">
      <c r="A206" s="138" t="str">
        <f>'00_SKU_Master'!J298</f>
        <v>MS LCL SPL WING AC PET 6 PP BSK</v>
      </c>
      <c r="B206" s="138">
        <f>'00_SKU_Master'!B298</f>
        <v>7855</v>
      </c>
      <c r="C206" s="165">
        <f>_xlfn.XLOOKUP(B206,'02_TrayPack_Order'!$A$2:$A$265,'02_TrayPack_Order'!$C$2:$C$265)</f>
        <v>243</v>
      </c>
      <c r="D206" s="166">
        <f>_xlfn.XLOOKUP(B206,'02_TrayPack_Order'!$A$2:$A$265,'02_TrayPack_Order'!$L$2:$L$265,0)</f>
        <v>0</v>
      </c>
      <c r="E206" s="165">
        <f>SUMIF('13_Progress_Track'!$A$2:$A$108,B206,'13_Progress_Track'!$E$2:$E$108)</f>
        <v>0</v>
      </c>
      <c r="F206" s="165">
        <f t="shared" si="18"/>
        <v>0</v>
      </c>
      <c r="G206" s="167">
        <f t="shared" si="19"/>
        <v>243</v>
      </c>
      <c r="H206" s="138" t="str">
        <f>_xlfn.IFNA(_xlfn.XLOOKUP(B206,'00_SKU_Master'!$B$2:$B$378,'00_SKU_Master'!$C$2:$C$378),"")</f>
        <v>61014F</v>
      </c>
      <c r="I206" s="138"/>
      <c r="J206" s="14" t="str">
        <f>_xlfn.IFNA(_xlfn.XLOOKUP(B206,'00_SKU_Master'!B$2:B$378,'00_SKU_Master'!H$2:H$378,0),"")</f>
        <v>PET 6</v>
      </c>
      <c r="K206" s="14" t="str">
        <f>_xlfn.IFNA(_xlfn.XLOOKUP(B206,'00_SKU_Master'!B$2:B$378,'00_SKU_Master'!K$2:K$378,0),"")</f>
        <v>Slow</v>
      </c>
      <c r="L206" s="138" t="str">
        <f>_xlfn.XLOOKUP(B206,'00_SKU_Master'!$B$2:$B$378,'00_SKU_Master'!$D$2:$D$378)</f>
        <v>LCL</v>
      </c>
      <c r="M206" s="138">
        <f t="shared" si="20"/>
        <v>243</v>
      </c>
      <c r="N206" t="str">
        <f>IFERROR(_xlfn.XLOOKUP(B206,'00_SKU_Master'!$B$2:$B$378,'00_SKU_Master'!$E$2:$E$378,""),"")</f>
        <v>SplitWing</v>
      </c>
      <c r="O206">
        <f>IFERROR(_xlfn.XLOOKUP(B206,'00_SKU_Master'!$B$2:$B$378,'00_SKU_Master'!$F$2:$F$378,0),0)</f>
        <v>6.1274308623793097</v>
      </c>
      <c r="P206">
        <f>IFERROR(_xlfn.XLOOKUP(N206,'00_Yield_Rates'!$B$2:$B$33,'00_Yield_Rates'!$E$2:$E$33,0)/100,0)</f>
        <v>9.6000000000000002E-2</v>
      </c>
      <c r="Q206">
        <f t="shared" si="21"/>
        <v>1488.9656995581722</v>
      </c>
      <c r="R206">
        <f t="shared" si="22"/>
        <v>15510.059370397626</v>
      </c>
      <c r="S206">
        <f t="shared" si="23"/>
        <v>22.900000000000002</v>
      </c>
    </row>
    <row r="207" spans="1:19">
      <c r="A207" s="138" t="str">
        <f>'00_SKU_Master'!J299</f>
        <v>MS LCL BTFLYB WOF AC PET 3 PP BSK</v>
      </c>
      <c r="B207" s="138">
        <f>'00_SKU_Master'!B299</f>
        <v>7858</v>
      </c>
      <c r="C207" s="165">
        <f>_xlfn.XLOOKUP(B207,'02_TrayPack_Order'!$A$2:$A$265,'02_TrayPack_Order'!$C$2:$C$265)</f>
        <v>0</v>
      </c>
      <c r="D207" s="166">
        <f>_xlfn.XLOOKUP(B207,'02_TrayPack_Order'!$A$2:$A$265,'02_TrayPack_Order'!$L$2:$L$265,0)</f>
        <v>0</v>
      </c>
      <c r="E207" s="165">
        <f>SUMIF('13_Progress_Track'!$A$2:$A$108,B207,'13_Progress_Track'!$E$2:$E$108)</f>
        <v>0</v>
      </c>
      <c r="F207" s="165">
        <f t="shared" si="18"/>
        <v>0</v>
      </c>
      <c r="G207" s="167">
        <f t="shared" si="19"/>
        <v>0</v>
      </c>
      <c r="H207" s="138">
        <f>_xlfn.IFNA(_xlfn.XLOOKUP(B207,'00_SKU_Master'!$B$2:$B$378,'00_SKU_Master'!$C$2:$C$378),"")</f>
        <v>61052</v>
      </c>
      <c r="I207" s="138"/>
      <c r="J207" s="14" t="str">
        <f>_xlfn.IFNA(_xlfn.XLOOKUP(B207,'00_SKU_Master'!B$2:B$378,'00_SKU_Master'!H$2:H$378,0),"")</f>
        <v>PET 3</v>
      </c>
      <c r="K207" s="14" t="str">
        <f>_xlfn.IFNA(_xlfn.XLOOKUP(B207,'00_SKU_Master'!B$2:B$378,'00_SKU_Master'!K$2:K$378,0),"")</f>
        <v>Fast</v>
      </c>
      <c r="L207" s="138" t="str">
        <f>_xlfn.XLOOKUP(B207,'00_SKU_Master'!$B$2:$B$378,'00_SKU_Master'!$D$2:$D$378)</f>
        <v>LCL</v>
      </c>
      <c r="M207" s="138">
        <f t="shared" si="20"/>
        <v>0</v>
      </c>
      <c r="N207" t="str">
        <f>IFERROR(_xlfn.XLOOKUP(B207,'00_SKU_Master'!$B$2:$B$378,'00_SKU_Master'!$E$2:$E$378,""),"")</f>
        <v>BSB</v>
      </c>
      <c r="O207">
        <f>IFERROR(_xlfn.XLOOKUP(B207,'00_SKU_Master'!$B$2:$B$378,'00_SKU_Master'!$F$2:$F$378,0),0)</f>
        <v>4.3108975834292202</v>
      </c>
      <c r="P207">
        <f>IFERROR(_xlfn.XLOOKUP(N207,'00_Yield_Rates'!$B$2:$B$33,'00_Yield_Rates'!$E$2:$E$33,0)/100,0)</f>
        <v>0.31</v>
      </c>
      <c r="Q207">
        <f t="shared" si="21"/>
        <v>0</v>
      </c>
      <c r="R207">
        <f t="shared" si="22"/>
        <v>0</v>
      </c>
      <c r="S207">
        <f t="shared" si="23"/>
        <v>0</v>
      </c>
    </row>
    <row r="208" spans="1:19">
      <c r="A208" s="138" t="str">
        <f>'00_SKU_Master'!J300</f>
        <v>MS LCL FILLET AC PET 3 PP BSK</v>
      </c>
      <c r="B208" s="138">
        <f>'00_SKU_Master'!B300</f>
        <v>7859</v>
      </c>
      <c r="C208" s="165">
        <f>_xlfn.XLOOKUP(B208,'02_TrayPack_Order'!$A$2:$A$265,'02_TrayPack_Order'!$C$2:$C$265)</f>
        <v>24</v>
      </c>
      <c r="D208" s="166">
        <f>_xlfn.XLOOKUP(B208,'02_TrayPack_Order'!$A$2:$A$265,'02_TrayPack_Order'!$L$2:$L$265,0)</f>
        <v>0</v>
      </c>
      <c r="E208" s="165">
        <f>SUMIF('13_Progress_Track'!$A$2:$A$108,B208,'13_Progress_Track'!$E$2:$E$108)</f>
        <v>0</v>
      </c>
      <c r="F208" s="165">
        <f t="shared" si="18"/>
        <v>0</v>
      </c>
      <c r="G208" s="167">
        <f t="shared" si="19"/>
        <v>24</v>
      </c>
      <c r="H208" s="138">
        <f>_xlfn.IFNA(_xlfn.XLOOKUP(B208,'00_SKU_Master'!$B$2:$B$378,'00_SKU_Master'!$C$2:$C$378),"")</f>
        <v>61054</v>
      </c>
      <c r="I208" s="138"/>
      <c r="J208" s="14" t="str">
        <f>_xlfn.IFNA(_xlfn.XLOOKUP(B208,'00_SKU_Master'!B$2:B$378,'00_SKU_Master'!H$2:H$378,0),"")</f>
        <v>PET 3</v>
      </c>
      <c r="K208" s="14" t="str">
        <f>_xlfn.IFNA(_xlfn.XLOOKUP(B208,'00_SKU_Master'!B$2:B$378,'00_SKU_Master'!K$2:K$378,0),"")</f>
        <v>Slow</v>
      </c>
      <c r="L208" s="138" t="str">
        <f>_xlfn.XLOOKUP(B208,'00_SKU_Master'!$B$2:$B$378,'00_SKU_Master'!$D$2:$D$378)</f>
        <v>LCL</v>
      </c>
      <c r="M208" s="138">
        <f t="shared" si="20"/>
        <v>24</v>
      </c>
      <c r="N208" t="str">
        <f>IFERROR(_xlfn.XLOOKUP(B208,'00_SKU_Master'!$B$2:$B$378,'00_SKU_Master'!$E$2:$E$378,""),"")</f>
        <v>Fillet</v>
      </c>
      <c r="O208">
        <f>IFERROR(_xlfn.XLOOKUP(B208,'00_SKU_Master'!$B$2:$B$378,'00_SKU_Master'!$F$2:$F$378,0),0)</f>
        <v>4.0924554455445499</v>
      </c>
      <c r="P208">
        <f>IFERROR(_xlfn.XLOOKUP(N208,'00_Yield_Rates'!$B$2:$B$33,'00_Yield_Rates'!$E$2:$E$33,0)/100,0)</f>
        <v>4.1200000000000001E-2</v>
      </c>
      <c r="Q208">
        <f t="shared" si="21"/>
        <v>98.218930693069197</v>
      </c>
      <c r="R208">
        <f t="shared" si="22"/>
        <v>2383.9546284725534</v>
      </c>
      <c r="S208">
        <f t="shared" si="23"/>
        <v>3.6</v>
      </c>
    </row>
    <row r="209" spans="1:19">
      <c r="A209" s="138" t="str">
        <f>'00_SKU_Master'!J301</f>
        <v>MS LCL BSTHIGH AC PET 6 PP BSK</v>
      </c>
      <c r="B209" s="138">
        <f>'00_SKU_Master'!B301</f>
        <v>7860</v>
      </c>
      <c r="C209" s="165">
        <f>_xlfn.XLOOKUP(B209,'02_TrayPack_Order'!$A$2:$A$265,'02_TrayPack_Order'!$C$2:$C$265)</f>
        <v>456</v>
      </c>
      <c r="D209" s="166">
        <f>_xlfn.XLOOKUP(B209,'02_TrayPack_Order'!$A$2:$A$265,'02_TrayPack_Order'!$L$2:$L$265,0)</f>
        <v>0</v>
      </c>
      <c r="E209" s="165">
        <f>SUMIF('13_Progress_Track'!$A$2:$A$108,B209,'13_Progress_Track'!$E$2:$E$108)</f>
        <v>183</v>
      </c>
      <c r="F209" s="165">
        <f t="shared" si="18"/>
        <v>0</v>
      </c>
      <c r="G209" s="167">
        <f t="shared" si="19"/>
        <v>273</v>
      </c>
      <c r="H209" s="138">
        <f>_xlfn.IFNA(_xlfn.XLOOKUP(B209,'00_SKU_Master'!$B$2:$B$378,'00_SKU_Master'!$C$2:$C$378),"")</f>
        <v>61086</v>
      </c>
      <c r="I209" s="138"/>
      <c r="J209" s="14" t="str">
        <f>_xlfn.IFNA(_xlfn.XLOOKUP(B209,'00_SKU_Master'!B$2:B$378,'00_SKU_Master'!H$2:H$378,0),"")</f>
        <v>PET 6</v>
      </c>
      <c r="K209" s="14" t="str">
        <f>_xlfn.IFNA(_xlfn.XLOOKUP(B209,'00_SKU_Master'!B$2:B$378,'00_SKU_Master'!K$2:K$378,0),"")</f>
        <v>Slow</v>
      </c>
      <c r="L209" s="138" t="str">
        <f>_xlfn.XLOOKUP(B209,'00_SKU_Master'!$B$2:$B$378,'00_SKU_Master'!$D$2:$D$378)</f>
        <v>LCL</v>
      </c>
      <c r="M209" s="138">
        <f t="shared" si="20"/>
        <v>273</v>
      </c>
      <c r="N209" t="str">
        <f>IFERROR(_xlfn.XLOOKUP(B209,'00_SKU_Master'!$B$2:$B$378,'00_SKU_Master'!$E$2:$E$378,""),"")</f>
        <v>ThighMeat</v>
      </c>
      <c r="O209">
        <f>IFERROR(_xlfn.XLOOKUP(B209,'00_SKU_Master'!$B$2:$B$378,'00_SKU_Master'!$F$2:$F$378,0),0)</f>
        <v>5.7773160073597003</v>
      </c>
      <c r="P209">
        <f>IFERROR(_xlfn.XLOOKUP(N209,'00_Yield_Rates'!$B$2:$B$33,'00_Yield_Rates'!$E$2:$E$33,0)/100,0)</f>
        <v>0.105</v>
      </c>
      <c r="Q209">
        <f t="shared" si="21"/>
        <v>1577.2072700091983</v>
      </c>
      <c r="R209">
        <f t="shared" si="22"/>
        <v>15021.021619135223</v>
      </c>
      <c r="S209">
        <f t="shared" si="23"/>
        <v>22.1</v>
      </c>
    </row>
    <row r="210" spans="1:19">
      <c r="A210" s="138" t="str">
        <f>'00_SKU_Master'!J302</f>
        <v>MS DRUM PET8 BSK</v>
      </c>
      <c r="B210" s="138">
        <f>'00_SKU_Master'!B302</f>
        <v>7862</v>
      </c>
      <c r="C210" s="165">
        <f>_xlfn.XLOOKUP(B210,'02_TrayPack_Order'!$A$2:$A$265,'02_TrayPack_Order'!$C$2:$C$265)</f>
        <v>0</v>
      </c>
      <c r="D210" s="166">
        <f>_xlfn.XLOOKUP(B210,'02_TrayPack_Order'!$A$2:$A$265,'02_TrayPack_Order'!$L$2:$L$265,0)</f>
        <v>0</v>
      </c>
      <c r="E210" s="165">
        <f>SUMIF('13_Progress_Track'!$A$2:$A$108,B210,'13_Progress_Track'!$E$2:$E$108)</f>
        <v>0</v>
      </c>
      <c r="F210" s="165">
        <f t="shared" si="18"/>
        <v>0</v>
      </c>
      <c r="G210" s="167">
        <f t="shared" si="19"/>
        <v>0</v>
      </c>
      <c r="H210" s="138" t="str">
        <f>_xlfn.IFNA(_xlfn.XLOOKUP(B210,'00_SKU_Master'!$B$2:$B$378,'00_SKU_Master'!$C$2:$C$378),"")</f>
        <v>61072#2</v>
      </c>
      <c r="I210" s="138"/>
      <c r="J210" s="14" t="str">
        <f>_xlfn.IFNA(_xlfn.XLOOKUP(B210,'00_SKU_Master'!B$2:B$378,'00_SKU_Master'!H$2:H$378,0),"")</f>
        <v>PET 8</v>
      </c>
      <c r="K210" s="14" t="str">
        <f>_xlfn.IFNA(_xlfn.XLOOKUP(B210,'00_SKU_Master'!B$2:B$378,'00_SKU_Master'!K$2:K$378,0),"")</f>
        <v>Fast</v>
      </c>
      <c r="L210" s="138" t="str">
        <f>_xlfn.XLOOKUP(B210,'00_SKU_Master'!$B$2:$B$378,'00_SKU_Master'!$D$2:$D$378)</f>
        <v>LCL</v>
      </c>
      <c r="M210" s="138">
        <f t="shared" si="20"/>
        <v>0</v>
      </c>
      <c r="N210" t="str">
        <f>IFERROR(_xlfn.XLOOKUP(B210,'00_SKU_Master'!$B$2:$B$378,'00_SKU_Master'!$E$2:$E$378,""),"")</f>
        <v>Drum</v>
      </c>
      <c r="O210">
        <f>IFERROR(_xlfn.XLOOKUP(B210,'00_SKU_Master'!$B$2:$B$378,'00_SKU_Master'!$F$2:$F$378,0),0)</f>
        <v>0</v>
      </c>
      <c r="P210">
        <f>IFERROR(_xlfn.XLOOKUP(N210,'00_Yield_Rates'!$B$2:$B$33,'00_Yield_Rates'!$E$2:$E$33,0)/100,0)</f>
        <v>0.128</v>
      </c>
      <c r="Q210">
        <f t="shared" si="21"/>
        <v>0</v>
      </c>
      <c r="R210">
        <f t="shared" si="22"/>
        <v>0</v>
      </c>
      <c r="S210">
        <f t="shared" si="23"/>
        <v>0</v>
      </c>
    </row>
    <row r="211" spans="1:19">
      <c r="A211" s="138" t="str">
        <f>'00_SKU_Master'!J303</f>
        <v>MS BSHB PET8 BSK</v>
      </c>
      <c r="B211" s="138">
        <f>'00_SKU_Master'!B303</f>
        <v>7863</v>
      </c>
      <c r="C211" s="165">
        <f>_xlfn.XLOOKUP(B211,'02_TrayPack_Order'!$A$2:$A$265,'02_TrayPack_Order'!$C$2:$C$265)</f>
        <v>0</v>
      </c>
      <c r="D211" s="166">
        <f>_xlfn.XLOOKUP(B211,'02_TrayPack_Order'!$A$2:$A$265,'02_TrayPack_Order'!$L$2:$L$265,0)</f>
        <v>0</v>
      </c>
      <c r="E211" s="165">
        <f>SUMIF('13_Progress_Track'!$A$2:$A$108,B211,'13_Progress_Track'!$E$2:$E$108)</f>
        <v>0</v>
      </c>
      <c r="F211" s="165">
        <f t="shared" si="18"/>
        <v>0</v>
      </c>
      <c r="G211" s="167">
        <f t="shared" si="19"/>
        <v>0</v>
      </c>
      <c r="H211" s="138" t="str">
        <f>_xlfn.IFNA(_xlfn.XLOOKUP(B211,'00_SKU_Master'!$B$2:$B$378,'00_SKU_Master'!$C$2:$C$378),"")</f>
        <v>61050#2</v>
      </c>
      <c r="I211" s="138"/>
      <c r="J211" s="14" t="str">
        <f>_xlfn.IFNA(_xlfn.XLOOKUP(B211,'00_SKU_Master'!B$2:B$378,'00_SKU_Master'!H$2:H$378,0),"")</f>
        <v>PET 8</v>
      </c>
      <c r="K211" s="14" t="str">
        <f>_xlfn.IFNA(_xlfn.XLOOKUP(B211,'00_SKU_Master'!B$2:B$378,'00_SKU_Master'!K$2:K$378,0),"")</f>
        <v>Fast</v>
      </c>
      <c r="L211" s="138" t="str">
        <f>_xlfn.XLOOKUP(B211,'00_SKU_Master'!$B$2:$B$378,'00_SKU_Master'!$D$2:$D$378)</f>
        <v>LCL</v>
      </c>
      <c r="M211" s="138">
        <f t="shared" si="20"/>
        <v>0</v>
      </c>
      <c r="N211" t="str">
        <f>IFERROR(_xlfn.XLOOKUP(B211,'00_SKU_Master'!$B$2:$B$378,'00_SKU_Master'!$E$2:$E$378,""),"")</f>
        <v>BSB</v>
      </c>
      <c r="O211">
        <f>IFERROR(_xlfn.XLOOKUP(B211,'00_SKU_Master'!$B$2:$B$378,'00_SKU_Master'!$F$2:$F$378,0),0)</f>
        <v>0</v>
      </c>
      <c r="P211">
        <f>IFERROR(_xlfn.XLOOKUP(N211,'00_Yield_Rates'!$B$2:$B$33,'00_Yield_Rates'!$E$2:$E$33,0)/100,0)</f>
        <v>0.31</v>
      </c>
      <c r="Q211">
        <f t="shared" si="21"/>
        <v>0</v>
      </c>
      <c r="R211">
        <f t="shared" si="22"/>
        <v>0</v>
      </c>
      <c r="S211">
        <f t="shared" si="23"/>
        <v>0</v>
      </c>
    </row>
    <row r="212" spans="1:19">
      <c r="A212" s="138" t="str">
        <f>'00_SKU_Master'!J304</f>
        <v>MS 1.3-1.8 FRY WOG TI 2/PET9 BSK</v>
      </c>
      <c r="B212" s="138">
        <f>'00_SKU_Master'!B304</f>
        <v>7864</v>
      </c>
      <c r="C212" s="165">
        <f>_xlfn.XLOOKUP(B212,'02_TrayPack_Order'!$A$2:$A$265,'02_TrayPack_Order'!$C$2:$C$265)</f>
        <v>0</v>
      </c>
      <c r="D212" s="166">
        <f>_xlfn.XLOOKUP(B212,'02_TrayPack_Order'!$A$2:$A$265,'02_TrayPack_Order'!$L$2:$L$265,0)</f>
        <v>0</v>
      </c>
      <c r="E212" s="165">
        <f>SUMIF('13_Progress_Track'!$A$2:$A$108,B212,'13_Progress_Track'!$E$2:$E$108)</f>
        <v>0</v>
      </c>
      <c r="F212" s="165">
        <f t="shared" si="18"/>
        <v>0</v>
      </c>
      <c r="G212" s="167">
        <f t="shared" si="19"/>
        <v>0</v>
      </c>
      <c r="H212" s="138">
        <f>_xlfn.IFNA(_xlfn.XLOOKUP(B212,'00_SKU_Master'!$B$2:$B$378,'00_SKU_Master'!$C$2:$C$378),"")</f>
        <v>203891</v>
      </c>
      <c r="I212" s="138"/>
      <c r="J212" s="14" t="str">
        <f>_xlfn.IFNA(_xlfn.XLOOKUP(B212,'00_SKU_Master'!B$2:B$378,'00_SKU_Master'!H$2:H$378,0),"")</f>
        <v>PET 9</v>
      </c>
      <c r="K212" s="14" t="str">
        <f>_xlfn.IFNA(_xlfn.XLOOKUP(B212,'00_SKU_Master'!B$2:B$378,'00_SKU_Master'!K$2:K$378,0),"")</f>
        <v>Fast</v>
      </c>
      <c r="L212" s="138" t="str">
        <f>_xlfn.XLOOKUP(B212,'00_SKU_Master'!$B$2:$B$378,'00_SKU_Master'!$D$2:$D$378)</f>
        <v>LCL</v>
      </c>
      <c r="M212" s="138">
        <f t="shared" si="20"/>
        <v>0</v>
      </c>
      <c r="N212" t="str">
        <f>IFERROR(_xlfn.XLOOKUP(B212,'00_SKU_Master'!$B$2:$B$378,'00_SKU_Master'!$E$2:$E$378,""),"")</f>
        <v>Whole Bird-Large</v>
      </c>
      <c r="O212">
        <f>IFERROR(_xlfn.XLOOKUP(B212,'00_SKU_Master'!$B$2:$B$378,'00_SKU_Master'!$F$2:$F$378,0),0)</f>
        <v>0</v>
      </c>
      <c r="P212">
        <f>IFERROR(_xlfn.XLOOKUP(N212,'00_Yield_Rates'!$B$2:$B$33,'00_Yield_Rates'!$E$2:$E$33,0)/100,0)</f>
        <v>0</v>
      </c>
      <c r="Q212">
        <f t="shared" si="21"/>
        <v>0</v>
      </c>
      <c r="R212">
        <f t="shared" si="22"/>
        <v>0</v>
      </c>
      <c r="S212">
        <f t="shared" si="23"/>
        <v>0</v>
      </c>
    </row>
    <row r="213" spans="1:19">
      <c r="A213" s="138" t="str">
        <f>'00_SKU_Master'!J305</f>
        <v>MS THIGH PET8 BSK</v>
      </c>
      <c r="B213" s="138">
        <f>'00_SKU_Master'!B305</f>
        <v>7865</v>
      </c>
      <c r="C213" s="165">
        <f>_xlfn.XLOOKUP(B213,'02_TrayPack_Order'!$A$2:$A$265,'02_TrayPack_Order'!$C$2:$C$265)</f>
        <v>0</v>
      </c>
      <c r="D213" s="166">
        <f>_xlfn.XLOOKUP(B213,'02_TrayPack_Order'!$A$2:$A$265,'02_TrayPack_Order'!$L$2:$L$265,0)</f>
        <v>0</v>
      </c>
      <c r="E213" s="165">
        <f>SUMIF('13_Progress_Track'!$A$2:$A$108,B213,'13_Progress_Track'!$E$2:$E$108)</f>
        <v>0</v>
      </c>
      <c r="F213" s="165">
        <f t="shared" si="18"/>
        <v>0</v>
      </c>
      <c r="G213" s="167">
        <f t="shared" si="19"/>
        <v>0</v>
      </c>
      <c r="H213" s="138">
        <f>_xlfn.IFNA(_xlfn.XLOOKUP(B213,'00_SKU_Master'!$B$2:$B$378,'00_SKU_Master'!$C$2:$C$378),"")</f>
        <v>61082</v>
      </c>
      <c r="I213" s="138"/>
      <c r="J213" s="14" t="str">
        <f>_xlfn.IFNA(_xlfn.XLOOKUP(B213,'00_SKU_Master'!B$2:B$378,'00_SKU_Master'!H$2:H$378,0),"")</f>
        <v>PET 8</v>
      </c>
      <c r="K213" s="14" t="str">
        <f>_xlfn.IFNA(_xlfn.XLOOKUP(B213,'00_SKU_Master'!B$2:B$378,'00_SKU_Master'!K$2:K$378,0),"")</f>
        <v>Fast</v>
      </c>
      <c r="L213" s="138" t="str">
        <f>_xlfn.XLOOKUP(B213,'00_SKU_Master'!$B$2:$B$378,'00_SKU_Master'!$D$2:$D$378)</f>
        <v>LCL</v>
      </c>
      <c r="M213" s="138">
        <f t="shared" si="20"/>
        <v>0</v>
      </c>
      <c r="N213" t="str">
        <f>IFERROR(_xlfn.XLOOKUP(B213,'00_SKU_Master'!$B$2:$B$378,'00_SKU_Master'!$E$2:$E$378,""),"")</f>
        <v>Thigh</v>
      </c>
      <c r="O213">
        <f>IFERROR(_xlfn.XLOOKUP(B213,'00_SKU_Master'!$B$2:$B$378,'00_SKU_Master'!$F$2:$F$378,0),0)</f>
        <v>0</v>
      </c>
      <c r="P213">
        <f>IFERROR(_xlfn.XLOOKUP(N213,'00_Yield_Rates'!$B$2:$B$33,'00_Yield_Rates'!$E$2:$E$33,0)/100,0)</f>
        <v>0.191</v>
      </c>
      <c r="Q213">
        <f t="shared" si="21"/>
        <v>0</v>
      </c>
      <c r="R213">
        <f t="shared" si="22"/>
        <v>0</v>
      </c>
      <c r="S213">
        <f t="shared" si="23"/>
        <v>0</v>
      </c>
    </row>
    <row r="214" spans="1:19">
      <c r="A214" s="138" t="str">
        <f>'00_SKU_Master'!J306</f>
        <v>MS LEG BA PET8 BSK</v>
      </c>
      <c r="B214" s="138">
        <f>'00_SKU_Master'!B306</f>
        <v>7866</v>
      </c>
      <c r="C214" s="165">
        <f>_xlfn.XLOOKUP(B214,'02_TrayPack_Order'!$A$2:$A$265,'02_TrayPack_Order'!$C$2:$C$265)</f>
        <v>0</v>
      </c>
      <c r="D214" s="166">
        <f>_xlfn.XLOOKUP(B214,'02_TrayPack_Order'!$A$2:$A$265,'02_TrayPack_Order'!$L$2:$L$265,0)</f>
        <v>0</v>
      </c>
      <c r="E214" s="165">
        <f>SUMIF('13_Progress_Track'!$A$2:$A$108,B214,'13_Progress_Track'!$E$2:$E$108)</f>
        <v>0</v>
      </c>
      <c r="F214" s="165">
        <f t="shared" si="18"/>
        <v>0</v>
      </c>
      <c r="G214" s="167">
        <f t="shared" si="19"/>
        <v>0</v>
      </c>
      <c r="H214" s="138">
        <f>_xlfn.IFNA(_xlfn.XLOOKUP(B214,'00_SKU_Master'!$B$2:$B$378,'00_SKU_Master'!$C$2:$C$378),"")</f>
        <v>61061</v>
      </c>
      <c r="I214" s="138"/>
      <c r="J214" s="14" t="str">
        <f>_xlfn.IFNA(_xlfn.XLOOKUP(B214,'00_SKU_Master'!B$2:B$378,'00_SKU_Master'!H$2:H$378,0),"")</f>
        <v>PET 8</v>
      </c>
      <c r="K214" s="14" t="str">
        <f>_xlfn.IFNA(_xlfn.XLOOKUP(B214,'00_SKU_Master'!B$2:B$378,'00_SKU_Master'!K$2:K$378,0),"")</f>
        <v>Fast</v>
      </c>
      <c r="L214" s="138" t="str">
        <f>_xlfn.XLOOKUP(B214,'00_SKU_Master'!$B$2:$B$378,'00_SKU_Master'!$D$2:$D$378)</f>
        <v>LCL</v>
      </c>
      <c r="M214" s="138">
        <f t="shared" si="20"/>
        <v>0</v>
      </c>
      <c r="N214" t="str">
        <f>IFERROR(_xlfn.XLOOKUP(B214,'00_SKU_Master'!$B$2:$B$378,'00_SKU_Master'!$E$2:$E$378,""),"")</f>
        <v>BA</v>
      </c>
      <c r="O214">
        <f>IFERROR(_xlfn.XLOOKUP(B214,'00_SKU_Master'!$B$2:$B$378,'00_SKU_Master'!$F$2:$F$378,0),0)</f>
        <v>0</v>
      </c>
      <c r="P214">
        <f>IFERROR(_xlfn.XLOOKUP(N214,'00_Yield_Rates'!$B$2:$B$33,'00_Yield_Rates'!$E$2:$E$33,0)/100,0)</f>
        <v>0.42</v>
      </c>
      <c r="Q214">
        <f t="shared" si="21"/>
        <v>0</v>
      </c>
      <c r="R214">
        <f t="shared" si="22"/>
        <v>0</v>
      </c>
      <c r="S214">
        <f t="shared" si="23"/>
        <v>0</v>
      </c>
    </row>
    <row r="215" spans="1:19">
      <c r="A215" s="138" t="str">
        <f>'00_SKU_Master'!J307</f>
        <v>MS BSTHIGH PET8 BSK</v>
      </c>
      <c r="B215" s="138">
        <f>'00_SKU_Master'!B307</f>
        <v>7867</v>
      </c>
      <c r="C215" s="165">
        <f>_xlfn.XLOOKUP(B215,'02_TrayPack_Order'!$A$2:$A$265,'02_TrayPack_Order'!$C$2:$C$265)</f>
        <v>0</v>
      </c>
      <c r="D215" s="166">
        <f>_xlfn.XLOOKUP(B215,'02_TrayPack_Order'!$A$2:$A$265,'02_TrayPack_Order'!$L$2:$L$265,0)</f>
        <v>0</v>
      </c>
      <c r="E215" s="165">
        <f>SUMIF('13_Progress_Track'!$A$2:$A$108,B215,'13_Progress_Track'!$E$2:$E$108)</f>
        <v>0</v>
      </c>
      <c r="F215" s="165">
        <f t="shared" si="18"/>
        <v>0</v>
      </c>
      <c r="G215" s="167">
        <f t="shared" si="19"/>
        <v>0</v>
      </c>
      <c r="H215" s="138" t="str">
        <f>_xlfn.IFNA(_xlfn.XLOOKUP(B215,'00_SKU_Master'!$B$2:$B$378,'00_SKU_Master'!$C$2:$C$378),"")</f>
        <v>61086#2</v>
      </c>
      <c r="I215" s="138"/>
      <c r="J215" s="14" t="str">
        <f>_xlfn.IFNA(_xlfn.XLOOKUP(B215,'00_SKU_Master'!B$2:B$378,'00_SKU_Master'!H$2:H$378,0),"")</f>
        <v>PET 8</v>
      </c>
      <c r="K215" s="14" t="str">
        <f>_xlfn.IFNA(_xlfn.XLOOKUP(B215,'00_SKU_Master'!B$2:B$378,'00_SKU_Master'!K$2:K$378,0),"")</f>
        <v>Slow</v>
      </c>
      <c r="L215" s="138" t="str">
        <f>_xlfn.XLOOKUP(B215,'00_SKU_Master'!$B$2:$B$378,'00_SKU_Master'!$D$2:$D$378)</f>
        <v>LCL</v>
      </c>
      <c r="M215" s="138">
        <f t="shared" si="20"/>
        <v>0</v>
      </c>
      <c r="N215" t="str">
        <f>IFERROR(_xlfn.XLOOKUP(B215,'00_SKU_Master'!$B$2:$B$378,'00_SKU_Master'!$E$2:$E$378,""),"")</f>
        <v>ThighMeat</v>
      </c>
      <c r="O215">
        <f>IFERROR(_xlfn.XLOOKUP(B215,'00_SKU_Master'!$B$2:$B$378,'00_SKU_Master'!$F$2:$F$378,0),0)</f>
        <v>0</v>
      </c>
      <c r="P215">
        <f>IFERROR(_xlfn.XLOOKUP(N215,'00_Yield_Rates'!$B$2:$B$33,'00_Yield_Rates'!$E$2:$E$33,0)/100,0)</f>
        <v>0.105</v>
      </c>
      <c r="Q215">
        <f t="shared" si="21"/>
        <v>0</v>
      </c>
      <c r="R215">
        <f t="shared" si="22"/>
        <v>0</v>
      </c>
      <c r="S215">
        <f t="shared" si="23"/>
        <v>0</v>
      </c>
    </row>
    <row r="216" spans="1:19">
      <c r="A216" s="138" t="str">
        <f>'00_SKU_Master'!J308</f>
        <v>MS PC BM CUTLET AC PET6 BSK</v>
      </c>
      <c r="B216" s="138">
        <f>'00_SKU_Master'!B308</f>
        <v>7868</v>
      </c>
      <c r="C216" s="165">
        <f>_xlfn.XLOOKUP(B216,'02_TrayPack_Order'!$A$2:$A$265,'02_TrayPack_Order'!$C$2:$C$265)</f>
        <v>0</v>
      </c>
      <c r="D216" s="166">
        <f>_xlfn.XLOOKUP(B216,'02_TrayPack_Order'!$A$2:$A$265,'02_TrayPack_Order'!$L$2:$L$265,0)</f>
        <v>0</v>
      </c>
      <c r="E216" s="165">
        <f>SUMIF('13_Progress_Track'!$A$2:$A$108,B216,'13_Progress_Track'!$E$2:$E$108)</f>
        <v>0</v>
      </c>
      <c r="F216" s="165">
        <f t="shared" si="18"/>
        <v>0</v>
      </c>
      <c r="G216" s="167">
        <f t="shared" si="19"/>
        <v>0</v>
      </c>
      <c r="H216" s="138">
        <f>_xlfn.IFNA(_xlfn.XLOOKUP(B216,'00_SKU_Master'!$B$2:$B$378,'00_SKU_Master'!$C$2:$C$378),"")</f>
        <v>61064</v>
      </c>
      <c r="I216" s="138"/>
      <c r="J216" s="14" t="str">
        <f>_xlfn.IFNA(_xlfn.XLOOKUP(B216,'00_SKU_Master'!B$2:B$378,'00_SKU_Master'!H$2:H$378,0),"")</f>
        <v>PET 6</v>
      </c>
      <c r="K216" s="14" t="str">
        <f>_xlfn.IFNA(_xlfn.XLOOKUP(B216,'00_SKU_Master'!B$2:B$378,'00_SKU_Master'!K$2:K$378,0),"")</f>
        <v>Fast</v>
      </c>
      <c r="L216" s="138" t="str">
        <f>_xlfn.XLOOKUP(B216,'00_SKU_Master'!$B$2:$B$378,'00_SKU_Master'!$D$2:$D$378)</f>
        <v>LCL</v>
      </c>
      <c r="M216" s="138">
        <f t="shared" si="20"/>
        <v>0</v>
      </c>
      <c r="N216" t="str">
        <f>IFERROR(_xlfn.XLOOKUP(B216,'00_SKU_Master'!$B$2:$B$378,'00_SKU_Master'!$E$2:$E$378,""),"")</f>
        <v>BSB</v>
      </c>
      <c r="O216">
        <f>IFERROR(_xlfn.XLOOKUP(B216,'00_SKU_Master'!$B$2:$B$378,'00_SKU_Master'!$F$2:$F$378,0),0)</f>
        <v>3.73</v>
      </c>
      <c r="P216">
        <f>IFERROR(_xlfn.XLOOKUP(N216,'00_Yield_Rates'!$B$2:$B$33,'00_Yield_Rates'!$E$2:$E$33,0)/100,0)</f>
        <v>0.31</v>
      </c>
      <c r="Q216">
        <f t="shared" si="21"/>
        <v>0</v>
      </c>
      <c r="R216">
        <f t="shared" si="22"/>
        <v>0</v>
      </c>
      <c r="S216">
        <f t="shared" si="23"/>
        <v>0</v>
      </c>
    </row>
    <row r="217" spans="1:19">
      <c r="A217" s="138" t="str">
        <f>'00_SKU_Master'!J309</f>
        <v>MS PC BM CUTLET AC PET6 BSK</v>
      </c>
      <c r="B217" s="138">
        <f>'00_SKU_Master'!B309</f>
        <v>7869</v>
      </c>
      <c r="C217" s="165">
        <f>_xlfn.XLOOKUP(B217,'02_TrayPack_Order'!$A$2:$A$265,'02_TrayPack_Order'!$C$2:$C$265)</f>
        <v>21</v>
      </c>
      <c r="D217" s="166">
        <f>_xlfn.XLOOKUP(B217,'02_TrayPack_Order'!$A$2:$A$265,'02_TrayPack_Order'!$L$2:$L$265,0)</f>
        <v>0</v>
      </c>
      <c r="E217" s="165">
        <f>SUMIF('13_Progress_Track'!$A$2:$A$108,B217,'13_Progress_Track'!$E$2:$E$108)</f>
        <v>0</v>
      </c>
      <c r="F217" s="165">
        <f t="shared" si="18"/>
        <v>0</v>
      </c>
      <c r="G217" s="167">
        <f t="shared" si="19"/>
        <v>21</v>
      </c>
      <c r="H217" s="138">
        <f>_xlfn.IFNA(_xlfn.XLOOKUP(B217,'00_SKU_Master'!$B$2:$B$378,'00_SKU_Master'!$C$2:$C$378),"")</f>
        <v>61064</v>
      </c>
      <c r="I217" s="138"/>
      <c r="J217" s="14" t="str">
        <f>_xlfn.IFNA(_xlfn.XLOOKUP(B217,'00_SKU_Master'!B$2:B$378,'00_SKU_Master'!H$2:H$378,0),"")</f>
        <v>PET 6</v>
      </c>
      <c r="K217" s="14" t="str">
        <f>_xlfn.IFNA(_xlfn.XLOOKUP(B217,'00_SKU_Master'!B$2:B$378,'00_SKU_Master'!K$2:K$378,0),"")</f>
        <v>Fast</v>
      </c>
      <c r="L217" s="138" t="str">
        <f>_xlfn.XLOOKUP(B217,'00_SKU_Master'!$B$2:$B$378,'00_SKU_Master'!$D$2:$D$378)</f>
        <v>LCL</v>
      </c>
      <c r="M217" s="138">
        <f t="shared" si="20"/>
        <v>21</v>
      </c>
      <c r="N217" t="str">
        <f>IFERROR(_xlfn.XLOOKUP(B217,'00_SKU_Master'!$B$2:$B$378,'00_SKU_Master'!$E$2:$E$378,""),"")</f>
        <v>BSB</v>
      </c>
      <c r="O217">
        <f>IFERROR(_xlfn.XLOOKUP(B217,'00_SKU_Master'!$B$2:$B$378,'00_SKU_Master'!$F$2:$F$378,0),0)</f>
        <v>3.73</v>
      </c>
      <c r="P217">
        <f>IFERROR(_xlfn.XLOOKUP(N217,'00_Yield_Rates'!$B$2:$B$33,'00_Yield_Rates'!$E$2:$E$33,0)/100,0)</f>
        <v>0.31</v>
      </c>
      <c r="Q217">
        <f t="shared" si="21"/>
        <v>78.33</v>
      </c>
      <c r="R217">
        <f t="shared" si="22"/>
        <v>252.67741935483872</v>
      </c>
      <c r="S217">
        <f t="shared" si="23"/>
        <v>0.4</v>
      </c>
    </row>
    <row r="218" spans="1:19">
      <c r="A218" s="138" t="str">
        <f>'00_SKU_Master'!J310</f>
        <v>PB BSC HB LT PP BSK</v>
      </c>
      <c r="B218" s="138">
        <f>'00_SKU_Master'!B310</f>
        <v>7912</v>
      </c>
      <c r="C218" s="165">
        <f>_xlfn.XLOOKUP(B218,'02_TrayPack_Order'!$A$2:$A$265,'02_TrayPack_Order'!$C$2:$C$265)</f>
        <v>0</v>
      </c>
      <c r="D218" s="166">
        <f>_xlfn.XLOOKUP(B218,'02_TrayPack_Order'!$A$2:$A$265,'02_TrayPack_Order'!$L$2:$L$265,0)</f>
        <v>0</v>
      </c>
      <c r="E218" s="165">
        <f>SUMIF('13_Progress_Track'!$A$2:$A$108,B218,'13_Progress_Track'!$E$2:$E$108)</f>
        <v>0</v>
      </c>
      <c r="F218" s="165">
        <f t="shared" si="18"/>
        <v>0</v>
      </c>
      <c r="G218" s="167">
        <f t="shared" si="19"/>
        <v>0</v>
      </c>
      <c r="H218" s="138" t="str">
        <f>_xlfn.IFNA(_xlfn.XLOOKUP(B218,'00_SKU_Master'!$B$2:$B$378,'00_SKU_Master'!$C$2:$C$378),"")</f>
        <v>61040#2</v>
      </c>
      <c r="I218" s="138"/>
      <c r="J218" s="14" t="str">
        <f>_xlfn.IFNA(_xlfn.XLOOKUP(B218,'00_SKU_Master'!B$2:B$378,'00_SKU_Master'!H$2:H$378,0),"")</f>
        <v>LT 8XP</v>
      </c>
      <c r="K218" s="14" t="str">
        <f>_xlfn.IFNA(_xlfn.XLOOKUP(B218,'00_SKU_Master'!B$2:B$378,'00_SKU_Master'!K$2:K$378,0),"")</f>
        <v>Fast</v>
      </c>
      <c r="L218" s="138" t="str">
        <f>_xlfn.XLOOKUP(B218,'00_SKU_Master'!$B$2:$B$378,'00_SKU_Master'!$D$2:$D$378)</f>
        <v>FB</v>
      </c>
      <c r="M218" s="138">
        <f t="shared" si="20"/>
        <v>0</v>
      </c>
      <c r="N218" t="str">
        <f>IFERROR(_xlfn.XLOOKUP(B218,'00_SKU_Master'!$B$2:$B$378,'00_SKU_Master'!$E$2:$E$378,""),"")</f>
        <v>SplitBreast</v>
      </c>
      <c r="O218">
        <f>IFERROR(_xlfn.XLOOKUP(B218,'00_SKU_Master'!$B$2:$B$378,'00_SKU_Master'!$F$2:$F$378,0),0)</f>
        <v>0</v>
      </c>
      <c r="P218">
        <f>IFERROR(_xlfn.XLOOKUP(N218,'00_Yield_Rates'!$B$2:$B$33,'00_Yield_Rates'!$E$2:$E$33,0)/100,0)</f>
        <v>0.43</v>
      </c>
      <c r="Q218">
        <f t="shared" si="21"/>
        <v>0</v>
      </c>
      <c r="R218">
        <f t="shared" si="22"/>
        <v>0</v>
      </c>
      <c r="S218">
        <f t="shared" si="23"/>
        <v>0</v>
      </c>
    </row>
    <row r="219" spans="1:19">
      <c r="A219" s="138" t="str">
        <f>'00_SKU_Master'!J311</f>
        <v>MS WING AC GF LCP PP</v>
      </c>
      <c r="B219" s="138">
        <f>'00_SKU_Master'!B311</f>
        <v>7939</v>
      </c>
      <c r="C219" s="165">
        <f>_xlfn.XLOOKUP(B219,'02_TrayPack_Order'!$A$2:$A$265,'02_TrayPack_Order'!$C$2:$C$265)</f>
        <v>0</v>
      </c>
      <c r="D219" s="166">
        <f>_xlfn.XLOOKUP(B219,'02_TrayPack_Order'!$A$2:$A$265,'02_TrayPack_Order'!$L$2:$L$265,0)</f>
        <v>0</v>
      </c>
      <c r="E219" s="165">
        <f>SUMIF('13_Progress_Track'!$A$2:$A$108,B219,'13_Progress_Track'!$E$2:$E$108)</f>
        <v>0</v>
      </c>
      <c r="F219" s="165">
        <f t="shared" si="18"/>
        <v>0</v>
      </c>
      <c r="G219" s="167">
        <f t="shared" si="19"/>
        <v>0</v>
      </c>
      <c r="H219" s="138">
        <f>_xlfn.IFNA(_xlfn.XLOOKUP(B219,'00_SKU_Master'!$B$2:$B$378,'00_SKU_Master'!$C$2:$C$378),"")</f>
        <v>61010</v>
      </c>
      <c r="I219" s="138"/>
      <c r="J219" s="14" t="str">
        <f>_xlfn.IFNA(_xlfn.XLOOKUP(B219,'00_SKU_Master'!B$2:B$378,'00_SKU_Master'!H$2:H$378,0),"")</f>
        <v>LT 14D</v>
      </c>
      <c r="K219" s="14" t="str">
        <f>_xlfn.IFNA(_xlfn.XLOOKUP(B219,'00_SKU_Master'!B$2:B$378,'00_SKU_Master'!K$2:K$378,0),"")</f>
        <v>Fast</v>
      </c>
      <c r="L219" s="138" t="str">
        <f>_xlfn.XLOOKUP(B219,'00_SKU_Master'!$B$2:$B$378,'00_SKU_Master'!$D$2:$D$378)</f>
        <v>FB</v>
      </c>
      <c r="M219" s="138">
        <f t="shared" si="20"/>
        <v>0</v>
      </c>
      <c r="N219" t="str">
        <f>IFERROR(_xlfn.XLOOKUP(B219,'00_SKU_Master'!$B$2:$B$378,'00_SKU_Master'!$E$2:$E$378,""),"")</f>
        <v>Whole Wing-14D</v>
      </c>
      <c r="O219">
        <f>IFERROR(_xlfn.XLOOKUP(B219,'00_SKU_Master'!$B$2:$B$378,'00_SKU_Master'!$F$2:$F$378,0),0)</f>
        <v>0</v>
      </c>
      <c r="P219">
        <f>IFERROR(_xlfn.XLOOKUP(N219,'00_Yield_Rates'!$B$2:$B$33,'00_Yield_Rates'!$E$2:$E$33,0)/100,0)</f>
        <v>0</v>
      </c>
      <c r="Q219">
        <f t="shared" si="21"/>
        <v>0</v>
      </c>
      <c r="R219">
        <f t="shared" si="22"/>
        <v>0</v>
      </c>
      <c r="S219">
        <f t="shared" si="23"/>
        <v>0</v>
      </c>
    </row>
    <row r="220" spans="1:19">
      <c r="A220" s="138" t="str">
        <f>'00_SKU_Master'!J312</f>
        <v>PB BSC LEG BA FT PP BSK</v>
      </c>
      <c r="B220" s="138">
        <f>'00_SKU_Master'!B312</f>
        <v>7976</v>
      </c>
      <c r="C220" s="165">
        <f>_xlfn.XLOOKUP(B220,'02_TrayPack_Order'!$A$2:$A$265,'02_TrayPack_Order'!$C$2:$C$265)</f>
        <v>0</v>
      </c>
      <c r="D220" s="166">
        <f>_xlfn.XLOOKUP(B220,'02_TrayPack_Order'!$A$2:$A$265,'02_TrayPack_Order'!$L$2:$L$265,0)</f>
        <v>0</v>
      </c>
      <c r="E220" s="165">
        <f>SUMIF('13_Progress_Track'!$A$2:$A$108,B220,'13_Progress_Track'!$E$2:$E$108)</f>
        <v>0</v>
      </c>
      <c r="F220" s="165">
        <f t="shared" si="18"/>
        <v>0</v>
      </c>
      <c r="G220" s="167">
        <f t="shared" si="19"/>
        <v>0</v>
      </c>
      <c r="H220" s="138">
        <f>_xlfn.IFNA(_xlfn.XLOOKUP(B220,'00_SKU_Master'!$B$2:$B$378,'00_SKU_Master'!$C$2:$C$378),"")</f>
        <v>61061</v>
      </c>
      <c r="I220" s="138"/>
      <c r="J220" s="14" t="str">
        <f>_xlfn.IFNA(_xlfn.XLOOKUP(B220,'00_SKU_Master'!B$2:B$378,'00_SKU_Master'!H$2:H$378,0),"")</f>
        <v>LT 14D</v>
      </c>
      <c r="K220" s="14" t="str">
        <f>_xlfn.IFNA(_xlfn.XLOOKUP(B220,'00_SKU_Master'!B$2:B$378,'00_SKU_Master'!K$2:K$378,0),"")</f>
        <v>Fast</v>
      </c>
      <c r="L220" s="138" t="str">
        <f>_xlfn.XLOOKUP(B220,'00_SKU_Master'!$B$2:$B$378,'00_SKU_Master'!$D$2:$D$378)</f>
        <v>FB</v>
      </c>
      <c r="M220" s="138">
        <f t="shared" si="20"/>
        <v>0</v>
      </c>
      <c r="N220" t="str">
        <f>IFERROR(_xlfn.XLOOKUP(B220,'00_SKU_Master'!$B$2:$B$378,'00_SKU_Master'!$E$2:$E$378,""),"")</f>
        <v>BA</v>
      </c>
      <c r="O220">
        <f>IFERROR(_xlfn.XLOOKUP(B220,'00_SKU_Master'!$B$2:$B$378,'00_SKU_Master'!$F$2:$F$378,0),0)</f>
        <v>0</v>
      </c>
      <c r="P220">
        <f>IFERROR(_xlfn.XLOOKUP(N220,'00_Yield_Rates'!$B$2:$B$33,'00_Yield_Rates'!$E$2:$E$33,0)/100,0)</f>
        <v>0.42</v>
      </c>
      <c r="Q220">
        <f t="shared" si="21"/>
        <v>0</v>
      </c>
      <c r="R220">
        <f t="shared" si="22"/>
        <v>0</v>
      </c>
      <c r="S220">
        <f t="shared" si="23"/>
        <v>0</v>
      </c>
    </row>
    <row r="221" spans="1:19">
      <c r="A221" s="138" t="str">
        <f>'00_SKU_Master'!J313</f>
        <v>MS BSC BSHB ST PP BSK</v>
      </c>
      <c r="B221" s="138">
        <f>'00_SKU_Master'!B313</f>
        <v>7978</v>
      </c>
      <c r="C221" s="165">
        <f>_xlfn.XLOOKUP(B221,'02_TrayPack_Order'!$A$2:$A$265,'02_TrayPack_Order'!$C$2:$C$265)</f>
        <v>0</v>
      </c>
      <c r="D221" s="166">
        <f>_xlfn.XLOOKUP(B221,'02_TrayPack_Order'!$A$2:$A$265,'02_TrayPack_Order'!$L$2:$L$265,0)</f>
        <v>0</v>
      </c>
      <c r="E221" s="165">
        <f>SUMIF('13_Progress_Track'!$A$2:$A$108,B221,'13_Progress_Track'!$E$2:$E$108)</f>
        <v>0</v>
      </c>
      <c r="F221" s="165">
        <f t="shared" si="18"/>
        <v>0</v>
      </c>
      <c r="G221" s="167">
        <f t="shared" si="19"/>
        <v>0</v>
      </c>
      <c r="H221" s="138" t="str">
        <f>_xlfn.IFNA(_xlfn.XLOOKUP(B221,'00_SKU_Master'!$B$2:$B$378,'00_SKU_Master'!$C$2:$C$378),"")</f>
        <v>61050#2</v>
      </c>
      <c r="I221" s="138"/>
      <c r="J221" s="14" t="str">
        <f>_xlfn.IFNA(_xlfn.XLOOKUP(B221,'00_SKU_Master'!B$2:B$378,'00_SKU_Master'!H$2:H$378,0),"")</f>
        <v>ST 3XP</v>
      </c>
      <c r="K221" s="14" t="str">
        <f>_xlfn.IFNA(_xlfn.XLOOKUP(B221,'00_SKU_Master'!B$2:B$378,'00_SKU_Master'!K$2:K$378,0),"")</f>
        <v>Fast</v>
      </c>
      <c r="L221" s="138" t="str">
        <f>_xlfn.XLOOKUP(B221,'00_SKU_Master'!$B$2:$B$378,'00_SKU_Master'!$D$2:$D$378)</f>
        <v>FB</v>
      </c>
      <c r="M221" s="138">
        <f t="shared" si="20"/>
        <v>0</v>
      </c>
      <c r="N221" t="str">
        <f>IFERROR(_xlfn.XLOOKUP(B221,'00_SKU_Master'!$B$2:$B$378,'00_SKU_Master'!$E$2:$E$378,""),"")</f>
        <v>BSB</v>
      </c>
      <c r="O221">
        <f>IFERROR(_xlfn.XLOOKUP(B221,'00_SKU_Master'!$B$2:$B$378,'00_SKU_Master'!$F$2:$F$378,0),0)</f>
        <v>0</v>
      </c>
      <c r="P221">
        <f>IFERROR(_xlfn.XLOOKUP(N221,'00_Yield_Rates'!$B$2:$B$33,'00_Yield_Rates'!$E$2:$E$33,0)/100,0)</f>
        <v>0.31</v>
      </c>
      <c r="Q221">
        <f t="shared" si="21"/>
        <v>0</v>
      </c>
      <c r="R221">
        <f t="shared" si="22"/>
        <v>0</v>
      </c>
      <c r="S221">
        <f t="shared" si="23"/>
        <v>0</v>
      </c>
    </row>
    <row r="222" spans="1:19">
      <c r="A222" s="138" t="str">
        <f>'00_SKU_Master'!J314</f>
        <v>MS BSC BSHB LT PP BSK</v>
      </c>
      <c r="B222" s="138">
        <f>'00_SKU_Master'!B314</f>
        <v>7979</v>
      </c>
      <c r="C222" s="165">
        <f>_xlfn.XLOOKUP(B222,'02_TrayPack_Order'!$A$2:$A$265,'02_TrayPack_Order'!$C$2:$C$265)</f>
        <v>0</v>
      </c>
      <c r="D222" s="166">
        <f>_xlfn.XLOOKUP(B222,'02_TrayPack_Order'!$A$2:$A$265,'02_TrayPack_Order'!$L$2:$L$265,0)</f>
        <v>0</v>
      </c>
      <c r="E222" s="165">
        <f>SUMIF('13_Progress_Track'!$A$2:$A$108,B222,'13_Progress_Track'!$E$2:$E$108)</f>
        <v>0</v>
      </c>
      <c r="F222" s="165">
        <f t="shared" si="18"/>
        <v>0</v>
      </c>
      <c r="G222" s="167">
        <f t="shared" si="19"/>
        <v>0</v>
      </c>
      <c r="H222" s="138" t="str">
        <f>_xlfn.IFNA(_xlfn.XLOOKUP(B222,'00_SKU_Master'!$B$2:$B$378,'00_SKU_Master'!$C$2:$C$378),"")</f>
        <v>61050#2</v>
      </c>
      <c r="I222" s="138"/>
      <c r="J222" s="14" t="str">
        <f>_xlfn.IFNA(_xlfn.XLOOKUP(B222,'00_SKU_Master'!B$2:B$378,'00_SKU_Master'!H$2:H$378,0),"")</f>
        <v>LT 8XP</v>
      </c>
      <c r="K222" s="14" t="str">
        <f>_xlfn.IFNA(_xlfn.XLOOKUP(B222,'00_SKU_Master'!B$2:B$378,'00_SKU_Master'!K$2:K$378,0),"")</f>
        <v>Fast</v>
      </c>
      <c r="L222" s="138" t="str">
        <f>_xlfn.XLOOKUP(B222,'00_SKU_Master'!$B$2:$B$378,'00_SKU_Master'!$D$2:$D$378)</f>
        <v>FB</v>
      </c>
      <c r="M222" s="138">
        <f t="shared" si="20"/>
        <v>0</v>
      </c>
      <c r="N222" t="str">
        <f>IFERROR(_xlfn.XLOOKUP(B222,'00_SKU_Master'!$B$2:$B$378,'00_SKU_Master'!$E$2:$E$378,""),"")</f>
        <v>BSB</v>
      </c>
      <c r="O222">
        <f>IFERROR(_xlfn.XLOOKUP(B222,'00_SKU_Master'!$B$2:$B$378,'00_SKU_Master'!$F$2:$F$378,0),0)</f>
        <v>0</v>
      </c>
      <c r="P222">
        <f>IFERROR(_xlfn.XLOOKUP(N222,'00_Yield_Rates'!$B$2:$B$33,'00_Yield_Rates'!$E$2:$E$33,0)/100,0)</f>
        <v>0.31</v>
      </c>
      <c r="Q222">
        <f t="shared" si="21"/>
        <v>0</v>
      </c>
      <c r="R222">
        <f t="shared" si="22"/>
        <v>0</v>
      </c>
      <c r="S222">
        <f t="shared" si="23"/>
        <v>0</v>
      </c>
    </row>
    <row r="223" spans="1:19">
      <c r="A223" s="138" t="str">
        <f>'00_SKU_Master'!J315</f>
        <v>MS ZH LEG BA AC LT</v>
      </c>
      <c r="B223" s="138">
        <f>'00_SKU_Master'!B315</f>
        <v>200168</v>
      </c>
      <c r="C223" s="165">
        <f>_xlfn.XLOOKUP(B223,'02_TrayPack_Order'!$A$2:$A$265,'02_TrayPack_Order'!$C$2:$C$265)</f>
        <v>143</v>
      </c>
      <c r="D223" s="166">
        <f>_xlfn.XLOOKUP(B223,'02_TrayPack_Order'!$A$2:$A$265,'02_TrayPack_Order'!$L$2:$L$265,0)</f>
        <v>0</v>
      </c>
      <c r="E223" s="165">
        <f>SUMIF('13_Progress_Track'!$A$2:$A$108,B223,'13_Progress_Track'!$E$2:$E$108)</f>
        <v>114</v>
      </c>
      <c r="F223" s="165">
        <f t="shared" si="18"/>
        <v>0</v>
      </c>
      <c r="G223" s="167">
        <f t="shared" si="19"/>
        <v>29</v>
      </c>
      <c r="H223" s="138">
        <f>_xlfn.IFNA(_xlfn.XLOOKUP(B223,'00_SKU_Master'!$B$2:$B$378,'00_SKU_Master'!$C$2:$C$378),"")</f>
        <v>61061</v>
      </c>
      <c r="I223" s="138"/>
      <c r="J223" s="14" t="str">
        <f>_xlfn.IFNA(_xlfn.XLOOKUP(B223,'00_SKU_Master'!B$2:B$378,'00_SKU_Master'!H$2:H$378,0),"")</f>
        <v>LT 8XP</v>
      </c>
      <c r="K223" s="14" t="str">
        <f>_xlfn.IFNA(_xlfn.XLOOKUP(B223,'00_SKU_Master'!B$2:B$378,'00_SKU_Master'!K$2:K$378,0),"")</f>
        <v>Fast</v>
      </c>
      <c r="L223" s="138" t="str">
        <f>_xlfn.XLOOKUP(B223,'00_SKU_Master'!$B$2:$B$378,'00_SKU_Master'!$D$2:$D$378)</f>
        <v>FB</v>
      </c>
      <c r="M223" s="138">
        <f t="shared" si="20"/>
        <v>29</v>
      </c>
      <c r="N223" t="str">
        <f>IFERROR(_xlfn.XLOOKUP(B223,'00_SKU_Master'!$B$2:$B$378,'00_SKU_Master'!$E$2:$E$378,""),"")</f>
        <v>BA</v>
      </c>
      <c r="O223">
        <f>IFERROR(_xlfn.XLOOKUP(B223,'00_SKU_Master'!$B$2:$B$378,'00_SKU_Master'!$F$2:$F$378,0),0)</f>
        <v>9.1657597549607104</v>
      </c>
      <c r="P223">
        <f>IFERROR(_xlfn.XLOOKUP(N223,'00_Yield_Rates'!$B$2:$B$33,'00_Yield_Rates'!$E$2:$E$33,0)/100,0)</f>
        <v>0.42</v>
      </c>
      <c r="Q223">
        <f t="shared" si="21"/>
        <v>265.80703289386059</v>
      </c>
      <c r="R223">
        <f t="shared" si="22"/>
        <v>632.87388784252528</v>
      </c>
      <c r="S223">
        <f t="shared" si="23"/>
        <v>1</v>
      </c>
    </row>
    <row r="224" spans="1:19">
      <c r="A224" s="138" t="str">
        <f>'00_SKU_Master'!J316</f>
        <v>MS ZH BSHB AC ST PP</v>
      </c>
      <c r="B224" s="138">
        <f>'00_SKU_Master'!B316</f>
        <v>200703</v>
      </c>
      <c r="C224" s="165">
        <f>_xlfn.XLOOKUP(B224,'02_TrayPack_Order'!$A$2:$A$265,'02_TrayPack_Order'!$C$2:$C$265)</f>
        <v>8</v>
      </c>
      <c r="D224" s="166">
        <f>_xlfn.XLOOKUP(B224,'02_TrayPack_Order'!$A$2:$A$265,'02_TrayPack_Order'!$L$2:$L$265,0)</f>
        <v>0</v>
      </c>
      <c r="E224" s="165">
        <f>SUMIF('13_Progress_Track'!$A$2:$A$108,B224,'13_Progress_Track'!$E$2:$E$108)</f>
        <v>0</v>
      </c>
      <c r="F224" s="165">
        <f t="shared" si="18"/>
        <v>0</v>
      </c>
      <c r="G224" s="167">
        <f t="shared" si="19"/>
        <v>8</v>
      </c>
      <c r="H224" s="138" t="str">
        <f>_xlfn.IFNA(_xlfn.XLOOKUP(B224,'00_SKU_Master'!$B$2:$B$378,'00_SKU_Master'!$C$2:$C$378),"")</f>
        <v>61050F</v>
      </c>
      <c r="I224" s="138"/>
      <c r="J224" s="14" t="str">
        <f>_xlfn.IFNA(_xlfn.XLOOKUP(B224,'00_SKU_Master'!B$2:B$378,'00_SKU_Master'!H$2:H$378,0),"")</f>
        <v>ST 3D</v>
      </c>
      <c r="K224" s="14" t="str">
        <f>_xlfn.IFNA(_xlfn.XLOOKUP(B224,'00_SKU_Master'!B$2:B$378,'00_SKU_Master'!K$2:K$378,0),"")</f>
        <v>Fast</v>
      </c>
      <c r="L224" s="138" t="str">
        <f>_xlfn.XLOOKUP(B224,'00_SKU_Master'!$B$2:$B$378,'00_SKU_Master'!$D$2:$D$378)</f>
        <v>FB</v>
      </c>
      <c r="M224" s="138">
        <f t="shared" si="20"/>
        <v>8</v>
      </c>
      <c r="N224" t="str">
        <f>IFERROR(_xlfn.XLOOKUP(B224,'00_SKU_Master'!$B$2:$B$378,'00_SKU_Master'!$E$2:$E$378,""),"")</f>
        <v>BSB</v>
      </c>
      <c r="O224">
        <f>IFERROR(_xlfn.XLOOKUP(B224,'00_SKU_Master'!$B$2:$B$378,'00_SKU_Master'!$F$2:$F$378,0),0)</f>
        <v>3.6839776525642201</v>
      </c>
      <c r="P224">
        <f>IFERROR(_xlfn.XLOOKUP(N224,'00_Yield_Rates'!$B$2:$B$33,'00_Yield_Rates'!$E$2:$E$33,0)/100,0)</f>
        <v>0.31</v>
      </c>
      <c r="Q224">
        <f t="shared" si="21"/>
        <v>29.47182122051376</v>
      </c>
      <c r="R224">
        <f t="shared" si="22"/>
        <v>95.070391033915357</v>
      </c>
      <c r="S224">
        <f t="shared" si="23"/>
        <v>0.2</v>
      </c>
    </row>
    <row r="225" spans="1:19">
      <c r="A225" s="138" t="str">
        <f>'00_SKU_Master'!J317</f>
        <v>MS ZH FRY WOG AC TI ST PP</v>
      </c>
      <c r="B225" s="138">
        <f>'00_SKU_Master'!B317</f>
        <v>200704</v>
      </c>
      <c r="C225" s="165">
        <f>_xlfn.XLOOKUP(B225,'02_TrayPack_Order'!$A$2:$A$265,'02_TrayPack_Order'!$C$2:$C$265)</f>
        <v>130</v>
      </c>
      <c r="D225" s="166">
        <f>_xlfn.XLOOKUP(B225,'02_TrayPack_Order'!$A$2:$A$265,'02_TrayPack_Order'!$L$2:$L$265,0)</f>
        <v>0</v>
      </c>
      <c r="E225" s="165">
        <f>SUMIF('13_Progress_Track'!$A$2:$A$108,B225,'13_Progress_Track'!$E$2:$E$108)</f>
        <v>0</v>
      </c>
      <c r="F225" s="165">
        <f t="shared" si="18"/>
        <v>0</v>
      </c>
      <c r="G225" s="167">
        <f t="shared" si="19"/>
        <v>130</v>
      </c>
      <c r="H225" s="138">
        <f>_xlfn.IFNA(_xlfn.XLOOKUP(B225,'00_SKU_Master'!$B$2:$B$378,'00_SKU_Master'!$C$2:$C$378),"")</f>
        <v>203021</v>
      </c>
      <c r="I225" s="138"/>
      <c r="J225" s="14" t="str">
        <f>_xlfn.IFNA(_xlfn.XLOOKUP(B225,'00_SKU_Master'!B$2:B$378,'00_SKU_Master'!H$2:H$378,0),"")</f>
        <v>ST 3XP</v>
      </c>
      <c r="K225" s="14" t="str">
        <f>_xlfn.IFNA(_xlfn.XLOOKUP(B225,'00_SKU_Master'!B$2:B$378,'00_SKU_Master'!K$2:K$378,0),"")</f>
        <v>Fast</v>
      </c>
      <c r="L225" s="138" t="str">
        <f>_xlfn.XLOOKUP(B225,'00_SKU_Master'!$B$2:$B$378,'00_SKU_Master'!$D$2:$D$378)</f>
        <v>FB</v>
      </c>
      <c r="M225" s="138">
        <f t="shared" si="20"/>
        <v>130</v>
      </c>
      <c r="N225" t="str">
        <f>IFERROR(_xlfn.XLOOKUP(B225,'00_SKU_Master'!$B$2:$B$378,'00_SKU_Master'!$E$2:$E$378,""),"")</f>
        <v>Whole Bird-Small</v>
      </c>
      <c r="O225">
        <f>IFERROR(_xlfn.XLOOKUP(B225,'00_SKU_Master'!$B$2:$B$378,'00_SKU_Master'!$F$2:$F$378,0),0)</f>
        <v>8.6019644137391609</v>
      </c>
      <c r="P225">
        <f>IFERROR(_xlfn.XLOOKUP(N225,'00_Yield_Rates'!$B$2:$B$33,'00_Yield_Rates'!$E$2:$E$33,0)/100,0)</f>
        <v>0</v>
      </c>
      <c r="Q225">
        <f t="shared" si="21"/>
        <v>1118.255373786091</v>
      </c>
      <c r="R225">
        <f t="shared" si="22"/>
        <v>0</v>
      </c>
      <c r="S225">
        <f t="shared" si="23"/>
        <v>0</v>
      </c>
    </row>
    <row r="226" spans="1:19">
      <c r="A226" s="138" t="str">
        <f>'00_SKU_Master'!J318</f>
        <v>MS ZH DRUM AC ST PP</v>
      </c>
      <c r="B226" s="138">
        <f>'00_SKU_Master'!B318</f>
        <v>200705</v>
      </c>
      <c r="C226" s="165">
        <f>_xlfn.XLOOKUP(B226,'02_TrayPack_Order'!$A$2:$A$265,'02_TrayPack_Order'!$C$2:$C$265)</f>
        <v>0</v>
      </c>
      <c r="D226" s="166">
        <f>_xlfn.XLOOKUP(B226,'02_TrayPack_Order'!$A$2:$A$265,'02_TrayPack_Order'!$L$2:$L$265,0)</f>
        <v>0</v>
      </c>
      <c r="E226" s="165">
        <f>SUMIF('13_Progress_Track'!$A$2:$A$108,B226,'13_Progress_Track'!$E$2:$E$108)</f>
        <v>0</v>
      </c>
      <c r="F226" s="165">
        <f t="shared" si="18"/>
        <v>0</v>
      </c>
      <c r="G226" s="167">
        <f t="shared" si="19"/>
        <v>0</v>
      </c>
      <c r="H226" s="138">
        <f>_xlfn.IFNA(_xlfn.XLOOKUP(B226,'00_SKU_Master'!$B$2:$B$378,'00_SKU_Master'!$C$2:$C$378),"")</f>
        <v>61072</v>
      </c>
      <c r="I226" s="138"/>
      <c r="J226" s="14" t="str">
        <f>_xlfn.IFNA(_xlfn.XLOOKUP(B226,'00_SKU_Master'!B$2:B$378,'00_SKU_Master'!H$2:H$378,0),"")</f>
        <v>ST 3D</v>
      </c>
      <c r="K226" s="14" t="str">
        <f>_xlfn.IFNA(_xlfn.XLOOKUP(B226,'00_SKU_Master'!B$2:B$378,'00_SKU_Master'!K$2:K$378,0),"")</f>
        <v>Fast</v>
      </c>
      <c r="L226" s="138" t="str">
        <f>_xlfn.XLOOKUP(B226,'00_SKU_Master'!$B$2:$B$378,'00_SKU_Master'!$D$2:$D$378)</f>
        <v>FB</v>
      </c>
      <c r="M226" s="138">
        <f t="shared" si="20"/>
        <v>0</v>
      </c>
      <c r="N226" t="str">
        <f>IFERROR(_xlfn.XLOOKUP(B226,'00_SKU_Master'!$B$2:$B$378,'00_SKU_Master'!$E$2:$E$378,""),"")</f>
        <v>Drum</v>
      </c>
      <c r="O226">
        <f>IFERROR(_xlfn.XLOOKUP(B226,'00_SKU_Master'!$B$2:$B$378,'00_SKU_Master'!$F$2:$F$378,0),0)</f>
        <v>3.84381518404907</v>
      </c>
      <c r="P226">
        <f>IFERROR(_xlfn.XLOOKUP(N226,'00_Yield_Rates'!$B$2:$B$33,'00_Yield_Rates'!$E$2:$E$33,0)/100,0)</f>
        <v>0.128</v>
      </c>
      <c r="Q226">
        <f t="shared" si="21"/>
        <v>0</v>
      </c>
      <c r="R226">
        <f t="shared" si="22"/>
        <v>0</v>
      </c>
      <c r="S226">
        <f t="shared" si="23"/>
        <v>0</v>
      </c>
    </row>
    <row r="227" spans="1:19">
      <c r="A227" s="138" t="str">
        <f>'00_SKU_Master'!J319</f>
        <v>MS ZH BSTHIGH AC ST PP</v>
      </c>
      <c r="B227" s="138">
        <f>'00_SKU_Master'!B319</f>
        <v>200706</v>
      </c>
      <c r="C227" s="165">
        <f>_xlfn.XLOOKUP(B227,'02_TrayPack_Order'!$A$2:$A$265,'02_TrayPack_Order'!$C$2:$C$265)</f>
        <v>2</v>
      </c>
      <c r="D227" s="166">
        <f>_xlfn.XLOOKUP(B227,'02_TrayPack_Order'!$A$2:$A$265,'02_TrayPack_Order'!$L$2:$L$265,0)</f>
        <v>0</v>
      </c>
      <c r="E227" s="165">
        <f>SUMIF('13_Progress_Track'!$A$2:$A$108,B227,'13_Progress_Track'!$E$2:$E$108)</f>
        <v>0</v>
      </c>
      <c r="F227" s="165">
        <f t="shared" si="18"/>
        <v>0</v>
      </c>
      <c r="G227" s="167">
        <f t="shared" si="19"/>
        <v>2</v>
      </c>
      <c r="H227" s="138" t="str">
        <f>_xlfn.IFNA(_xlfn.XLOOKUP(B227,'00_SKU_Master'!$B$2:$B$378,'00_SKU_Master'!$C$2:$C$378),"")</f>
        <v>61086F</v>
      </c>
      <c r="I227" s="138"/>
      <c r="J227" s="14" t="str">
        <f>_xlfn.IFNA(_xlfn.XLOOKUP(B227,'00_SKU_Master'!B$2:B$378,'00_SKU_Master'!H$2:H$378,0),"")</f>
        <v>ST 3D</v>
      </c>
      <c r="K227" s="14" t="str">
        <f>_xlfn.IFNA(_xlfn.XLOOKUP(B227,'00_SKU_Master'!B$2:B$378,'00_SKU_Master'!K$2:K$378,0),"")</f>
        <v>Slow</v>
      </c>
      <c r="L227" s="138" t="str">
        <f>_xlfn.XLOOKUP(B227,'00_SKU_Master'!$B$2:$B$378,'00_SKU_Master'!$D$2:$D$378)</f>
        <v>FB</v>
      </c>
      <c r="M227" s="138">
        <f t="shared" si="20"/>
        <v>2</v>
      </c>
      <c r="N227" t="str">
        <f>IFERROR(_xlfn.XLOOKUP(B227,'00_SKU_Master'!$B$2:$B$378,'00_SKU_Master'!$E$2:$E$378,""),"")</f>
        <v>ThighMeat</v>
      </c>
      <c r="O227">
        <f>IFERROR(_xlfn.XLOOKUP(B227,'00_SKU_Master'!$B$2:$B$378,'00_SKU_Master'!$F$2:$F$378,0),0)</f>
        <v>4.13464986498649</v>
      </c>
      <c r="P227">
        <f>IFERROR(_xlfn.XLOOKUP(N227,'00_Yield_Rates'!$B$2:$B$33,'00_Yield_Rates'!$E$2:$E$33,0)/100,0)</f>
        <v>0.105</v>
      </c>
      <c r="Q227">
        <f t="shared" si="21"/>
        <v>8.26929972997298</v>
      </c>
      <c r="R227">
        <f t="shared" si="22"/>
        <v>78.755235523552187</v>
      </c>
      <c r="S227">
        <f t="shared" si="23"/>
        <v>0.2</v>
      </c>
    </row>
    <row r="228" spans="1:19">
      <c r="A228" s="138" t="str">
        <f>'00_SKU_Master'!J320</f>
        <v>MS ZH THIGH AC ST PP</v>
      </c>
      <c r="B228" s="138">
        <f>'00_SKU_Master'!B320</f>
        <v>200707</v>
      </c>
      <c r="C228" s="165">
        <f>_xlfn.XLOOKUP(B228,'02_TrayPack_Order'!$A$2:$A$265,'02_TrayPack_Order'!$C$2:$C$265)</f>
        <v>0</v>
      </c>
      <c r="D228" s="166">
        <f>_xlfn.XLOOKUP(B228,'02_TrayPack_Order'!$A$2:$A$265,'02_TrayPack_Order'!$L$2:$L$265,0)</f>
        <v>0</v>
      </c>
      <c r="E228" s="165">
        <f>SUMIF('13_Progress_Track'!$A$2:$A$108,B228,'13_Progress_Track'!$E$2:$E$108)</f>
        <v>0</v>
      </c>
      <c r="F228" s="165">
        <f t="shared" si="18"/>
        <v>0</v>
      </c>
      <c r="G228" s="167">
        <f t="shared" si="19"/>
        <v>0</v>
      </c>
      <c r="H228" s="138">
        <f>_xlfn.IFNA(_xlfn.XLOOKUP(B228,'00_SKU_Master'!$B$2:$B$378,'00_SKU_Master'!$C$2:$C$378),"")</f>
        <v>61077</v>
      </c>
      <c r="I228" s="138"/>
      <c r="J228" s="14" t="str">
        <f>_xlfn.IFNA(_xlfn.XLOOKUP(B228,'00_SKU_Master'!B$2:B$378,'00_SKU_Master'!H$2:H$378,0),"")</f>
        <v>ST 3D</v>
      </c>
      <c r="K228" s="14" t="str">
        <f>_xlfn.IFNA(_xlfn.XLOOKUP(B228,'00_SKU_Master'!B$2:B$378,'00_SKU_Master'!K$2:K$378,0),"")</f>
        <v>Fast</v>
      </c>
      <c r="L228" s="138" t="str">
        <f>_xlfn.XLOOKUP(B228,'00_SKU_Master'!$B$2:$B$378,'00_SKU_Master'!$D$2:$D$378)</f>
        <v>FB</v>
      </c>
      <c r="M228" s="138">
        <f t="shared" si="20"/>
        <v>0</v>
      </c>
      <c r="N228" t="str">
        <f>IFERROR(_xlfn.XLOOKUP(B228,'00_SKU_Master'!$B$2:$B$378,'00_SKU_Master'!$E$2:$E$378,""),"")</f>
        <v>Thigh</v>
      </c>
      <c r="O228">
        <f>IFERROR(_xlfn.XLOOKUP(B228,'00_SKU_Master'!$B$2:$B$378,'00_SKU_Master'!$F$2:$F$378,0),0)</f>
        <v>4.2676022972002796</v>
      </c>
      <c r="P228">
        <f>IFERROR(_xlfn.XLOOKUP(N228,'00_Yield_Rates'!$B$2:$B$33,'00_Yield_Rates'!$E$2:$E$33,0)/100,0)</f>
        <v>0.191</v>
      </c>
      <c r="Q228">
        <f t="shared" si="21"/>
        <v>0</v>
      </c>
      <c r="R228">
        <f t="shared" si="22"/>
        <v>0</v>
      </c>
      <c r="S228">
        <f t="shared" si="23"/>
        <v>0</v>
      </c>
    </row>
    <row r="229" spans="1:19">
      <c r="A229" s="138" t="str">
        <f>'00_SKU_Master'!J321</f>
        <v>MS ZH SPL WING AC ST PP</v>
      </c>
      <c r="B229" s="138">
        <f>'00_SKU_Master'!B321</f>
        <v>200708</v>
      </c>
      <c r="C229" s="165">
        <f>_xlfn.XLOOKUP(B229,'02_TrayPack_Order'!$A$2:$A$265,'02_TrayPack_Order'!$C$2:$C$265)</f>
        <v>0</v>
      </c>
      <c r="D229" s="166">
        <f>_xlfn.XLOOKUP(B229,'02_TrayPack_Order'!$A$2:$A$265,'02_TrayPack_Order'!$L$2:$L$265,0)</f>
        <v>0</v>
      </c>
      <c r="E229" s="165">
        <f>SUMIF('13_Progress_Track'!$A$2:$A$108,B229,'13_Progress_Track'!$E$2:$E$108)</f>
        <v>0</v>
      </c>
      <c r="F229" s="165">
        <f t="shared" si="18"/>
        <v>0</v>
      </c>
      <c r="G229" s="167">
        <f t="shared" si="19"/>
        <v>0</v>
      </c>
      <c r="H229" s="138">
        <f>_xlfn.IFNA(_xlfn.XLOOKUP(B229,'00_SKU_Master'!$B$2:$B$378,'00_SKU_Master'!$C$2:$C$378),"")</f>
        <v>61014</v>
      </c>
      <c r="I229" s="138"/>
      <c r="J229" s="14" t="str">
        <f>_xlfn.IFNA(_xlfn.XLOOKUP(B229,'00_SKU_Master'!B$2:B$378,'00_SKU_Master'!H$2:H$378,0),"")</f>
        <v>ST 3D</v>
      </c>
      <c r="K229" s="14" t="str">
        <f>_xlfn.IFNA(_xlfn.XLOOKUP(B229,'00_SKU_Master'!B$2:B$378,'00_SKU_Master'!K$2:K$378,0),"")</f>
        <v>Slow</v>
      </c>
      <c r="L229" s="138" t="str">
        <f>_xlfn.XLOOKUP(B229,'00_SKU_Master'!$B$2:$B$378,'00_SKU_Master'!$D$2:$D$378)</f>
        <v>FB</v>
      </c>
      <c r="M229" s="138">
        <f t="shared" si="20"/>
        <v>0</v>
      </c>
      <c r="N229" t="str">
        <f>IFERROR(_xlfn.XLOOKUP(B229,'00_SKU_Master'!$B$2:$B$378,'00_SKU_Master'!$E$2:$E$378,""),"")</f>
        <v>SplitWing</v>
      </c>
      <c r="O229">
        <f>IFERROR(_xlfn.XLOOKUP(B229,'00_SKU_Master'!$B$2:$B$378,'00_SKU_Master'!$F$2:$F$378,0),0)</f>
        <v>0</v>
      </c>
      <c r="P229">
        <f>IFERROR(_xlfn.XLOOKUP(N229,'00_Yield_Rates'!$B$2:$B$33,'00_Yield_Rates'!$E$2:$E$33,0)/100,0)</f>
        <v>9.6000000000000002E-2</v>
      </c>
      <c r="Q229">
        <f t="shared" si="21"/>
        <v>0</v>
      </c>
      <c r="R229">
        <f t="shared" si="22"/>
        <v>0</v>
      </c>
      <c r="S229">
        <f t="shared" si="23"/>
        <v>0</v>
      </c>
    </row>
    <row r="230" spans="1:19">
      <c r="A230" s="138" t="str">
        <f>'00_SKU_Master'!J322</f>
        <v>MS ZH BSHB AC ST</v>
      </c>
      <c r="B230" s="138">
        <f>'00_SKU_Master'!B322</f>
        <v>200709</v>
      </c>
      <c r="C230" s="165">
        <f>_xlfn.XLOOKUP(B230,'02_TrayPack_Order'!$A$2:$A$265,'02_TrayPack_Order'!$C$2:$C$265)</f>
        <v>193</v>
      </c>
      <c r="D230" s="166">
        <f>_xlfn.XLOOKUP(B230,'02_TrayPack_Order'!$A$2:$A$265,'02_TrayPack_Order'!$L$2:$L$265,0)</f>
        <v>0</v>
      </c>
      <c r="E230" s="165">
        <f>SUMIF('13_Progress_Track'!$A$2:$A$108,B230,'13_Progress_Track'!$E$2:$E$108)</f>
        <v>0</v>
      </c>
      <c r="F230" s="165">
        <f t="shared" si="18"/>
        <v>0</v>
      </c>
      <c r="G230" s="167">
        <f t="shared" si="19"/>
        <v>193</v>
      </c>
      <c r="H230" s="138" t="str">
        <f>_xlfn.IFNA(_xlfn.XLOOKUP(B230,'00_SKU_Master'!$B$2:$B$378,'00_SKU_Master'!$C$2:$C$378),"")</f>
        <v>61050F</v>
      </c>
      <c r="I230" s="138"/>
      <c r="J230" s="14" t="str">
        <f>_xlfn.IFNA(_xlfn.XLOOKUP(B230,'00_SKU_Master'!B$2:B$378,'00_SKU_Master'!H$2:H$378,0),"")</f>
        <v>ST 3D</v>
      </c>
      <c r="K230" s="14" t="str">
        <f>_xlfn.IFNA(_xlfn.XLOOKUP(B230,'00_SKU_Master'!B$2:B$378,'00_SKU_Master'!K$2:K$378,0),"")</f>
        <v>Fast</v>
      </c>
      <c r="L230" s="138" t="str">
        <f>_xlfn.XLOOKUP(B230,'00_SKU_Master'!$B$2:$B$378,'00_SKU_Master'!$D$2:$D$378)</f>
        <v>METRO</v>
      </c>
      <c r="M230" s="138">
        <f t="shared" si="20"/>
        <v>193</v>
      </c>
      <c r="N230" t="str">
        <f>IFERROR(_xlfn.XLOOKUP(B230,'00_SKU_Master'!$B$2:$B$378,'00_SKU_Master'!$E$2:$E$378,""),"")</f>
        <v>BSB</v>
      </c>
      <c r="O230">
        <f>IFERROR(_xlfn.XLOOKUP(B230,'00_SKU_Master'!$B$2:$B$378,'00_SKU_Master'!$F$2:$F$378,0),0)</f>
        <v>3.7843751633303699</v>
      </c>
      <c r="P230">
        <f>IFERROR(_xlfn.XLOOKUP(N230,'00_Yield_Rates'!$B$2:$B$33,'00_Yield_Rates'!$E$2:$E$33,0)/100,0)</f>
        <v>0.31</v>
      </c>
      <c r="Q230">
        <f t="shared" si="21"/>
        <v>730.38440652276142</v>
      </c>
      <c r="R230">
        <f t="shared" si="22"/>
        <v>2356.0787307185851</v>
      </c>
      <c r="S230">
        <f t="shared" si="23"/>
        <v>3.5</v>
      </c>
    </row>
    <row r="231" spans="1:19">
      <c r="A231" s="138" t="str">
        <f>'00_SKU_Master'!J323</f>
        <v>MS ZH FRY WOG AC TI ST</v>
      </c>
      <c r="B231" s="138">
        <f>'00_SKU_Master'!B323</f>
        <v>200710</v>
      </c>
      <c r="C231" s="165">
        <f>_xlfn.XLOOKUP(B231,'02_TrayPack_Order'!$A$2:$A$265,'02_TrayPack_Order'!$C$2:$C$265)</f>
        <v>80</v>
      </c>
      <c r="D231" s="166">
        <f>_xlfn.XLOOKUP(B231,'02_TrayPack_Order'!$A$2:$A$265,'02_TrayPack_Order'!$L$2:$L$265,0)</f>
        <v>0</v>
      </c>
      <c r="E231" s="165">
        <f>SUMIF('13_Progress_Track'!$A$2:$A$108,B231,'13_Progress_Track'!$E$2:$E$108)</f>
        <v>0</v>
      </c>
      <c r="F231" s="165">
        <f t="shared" si="18"/>
        <v>0</v>
      </c>
      <c r="G231" s="167">
        <f t="shared" si="19"/>
        <v>80</v>
      </c>
      <c r="H231" s="138">
        <f>_xlfn.IFNA(_xlfn.XLOOKUP(B231,'00_SKU_Master'!$B$2:$B$378,'00_SKU_Master'!$C$2:$C$378),"")</f>
        <v>203021</v>
      </c>
      <c r="I231" s="138"/>
      <c r="J231" s="14" t="str">
        <f>_xlfn.IFNA(_xlfn.XLOOKUP(B231,'00_SKU_Master'!B$2:B$378,'00_SKU_Master'!H$2:H$378,0),"")</f>
        <v>ST 3XP</v>
      </c>
      <c r="K231" s="14" t="str">
        <f>_xlfn.IFNA(_xlfn.XLOOKUP(B231,'00_SKU_Master'!B$2:B$378,'00_SKU_Master'!K$2:K$378,0),"")</f>
        <v>Fast</v>
      </c>
      <c r="L231" s="138" t="str">
        <f>_xlfn.XLOOKUP(B231,'00_SKU_Master'!$B$2:$B$378,'00_SKU_Master'!$D$2:$D$378)</f>
        <v>METRO</v>
      </c>
      <c r="M231" s="138">
        <f t="shared" si="20"/>
        <v>80</v>
      </c>
      <c r="N231" t="str">
        <f>IFERROR(_xlfn.XLOOKUP(B231,'00_SKU_Master'!$B$2:$B$378,'00_SKU_Master'!$E$2:$E$378,""),"")</f>
        <v>Whole Bird-Small</v>
      </c>
      <c r="O231">
        <f>IFERROR(_xlfn.XLOOKUP(B231,'00_SKU_Master'!$B$2:$B$378,'00_SKU_Master'!$F$2:$F$378,0),0)</f>
        <v>8.5554342813220607</v>
      </c>
      <c r="P231">
        <f>IFERROR(_xlfn.XLOOKUP(N231,'00_Yield_Rates'!$B$2:$B$33,'00_Yield_Rates'!$E$2:$E$33,0)/100,0)</f>
        <v>0</v>
      </c>
      <c r="Q231">
        <f t="shared" si="21"/>
        <v>684.43474250576492</v>
      </c>
      <c r="R231">
        <f t="shared" si="22"/>
        <v>0</v>
      </c>
      <c r="S231">
        <f t="shared" si="23"/>
        <v>0</v>
      </c>
    </row>
    <row r="232" spans="1:19">
      <c r="A232" s="138" t="str">
        <f>'00_SKU_Master'!J324</f>
        <v>MS ZH DRUM AC ST</v>
      </c>
      <c r="B232" s="138">
        <f>'00_SKU_Master'!B324</f>
        <v>200711</v>
      </c>
      <c r="C232" s="165">
        <f>_xlfn.XLOOKUP(B232,'02_TrayPack_Order'!$A$2:$A$265,'02_TrayPack_Order'!$C$2:$C$265)</f>
        <v>89</v>
      </c>
      <c r="D232" s="166">
        <f>_xlfn.XLOOKUP(B232,'02_TrayPack_Order'!$A$2:$A$265,'02_TrayPack_Order'!$L$2:$L$265,0)</f>
        <v>0</v>
      </c>
      <c r="E232" s="165">
        <f>SUMIF('13_Progress_Track'!$A$2:$A$108,B232,'13_Progress_Track'!$E$2:$E$108)</f>
        <v>0</v>
      </c>
      <c r="F232" s="165">
        <f t="shared" si="18"/>
        <v>0</v>
      </c>
      <c r="G232" s="167">
        <f t="shared" si="19"/>
        <v>89</v>
      </c>
      <c r="H232" s="138">
        <f>_xlfn.IFNA(_xlfn.XLOOKUP(B232,'00_SKU_Master'!$B$2:$B$378,'00_SKU_Master'!$C$2:$C$378),"")</f>
        <v>61072</v>
      </c>
      <c r="I232" s="138"/>
      <c r="J232" s="14" t="str">
        <f>_xlfn.IFNA(_xlfn.XLOOKUP(B232,'00_SKU_Master'!B$2:B$378,'00_SKU_Master'!H$2:H$378,0),"")</f>
        <v>ST 3D</v>
      </c>
      <c r="K232" s="14" t="str">
        <f>_xlfn.IFNA(_xlfn.XLOOKUP(B232,'00_SKU_Master'!B$2:B$378,'00_SKU_Master'!K$2:K$378,0),"")</f>
        <v>Fast</v>
      </c>
      <c r="L232" s="138" t="str">
        <f>_xlfn.XLOOKUP(B232,'00_SKU_Master'!$B$2:$B$378,'00_SKU_Master'!$D$2:$D$378)</f>
        <v>METRO</v>
      </c>
      <c r="M232" s="138">
        <f t="shared" si="20"/>
        <v>89</v>
      </c>
      <c r="N232" t="str">
        <f>IFERROR(_xlfn.XLOOKUP(B232,'00_SKU_Master'!$B$2:$B$378,'00_SKU_Master'!$E$2:$E$378,""),"")</f>
        <v>Drum</v>
      </c>
      <c r="O232">
        <f>IFERROR(_xlfn.XLOOKUP(B232,'00_SKU_Master'!$B$2:$B$378,'00_SKU_Master'!$F$2:$F$378,0),0)</f>
        <v>3.88366227596631</v>
      </c>
      <c r="P232">
        <f>IFERROR(_xlfn.XLOOKUP(N232,'00_Yield_Rates'!$B$2:$B$33,'00_Yield_Rates'!$E$2:$E$33,0)/100,0)</f>
        <v>0.128</v>
      </c>
      <c r="Q232">
        <f t="shared" si="21"/>
        <v>345.64594256100156</v>
      </c>
      <c r="R232">
        <f t="shared" si="22"/>
        <v>2700.3589262578248</v>
      </c>
      <c r="S232">
        <f t="shared" si="23"/>
        <v>4</v>
      </c>
    </row>
    <row r="233" spans="1:19">
      <c r="A233" s="138" t="str">
        <f>'00_SKU_Master'!J325</f>
        <v>MS ZH BSTHIGH AC ST</v>
      </c>
      <c r="B233" s="138">
        <f>'00_SKU_Master'!B325</f>
        <v>200712</v>
      </c>
      <c r="C233" s="165">
        <f>_xlfn.XLOOKUP(B233,'02_TrayPack_Order'!$A$2:$A$265,'02_TrayPack_Order'!$C$2:$C$265)</f>
        <v>95</v>
      </c>
      <c r="D233" s="166">
        <f>_xlfn.XLOOKUP(B233,'02_TrayPack_Order'!$A$2:$A$265,'02_TrayPack_Order'!$L$2:$L$265,0)</f>
        <v>0</v>
      </c>
      <c r="E233" s="165">
        <f>SUMIF('13_Progress_Track'!$A$2:$A$108,B233,'13_Progress_Track'!$E$2:$E$108)</f>
        <v>0</v>
      </c>
      <c r="F233" s="165">
        <f t="shared" si="18"/>
        <v>0</v>
      </c>
      <c r="G233" s="167">
        <f t="shared" si="19"/>
        <v>95</v>
      </c>
      <c r="H233" s="138" t="str">
        <f>_xlfn.IFNA(_xlfn.XLOOKUP(B233,'00_SKU_Master'!$B$2:$B$378,'00_SKU_Master'!$C$2:$C$378),"")</f>
        <v>61086F</v>
      </c>
      <c r="I233" s="138"/>
      <c r="J233" s="14" t="str">
        <f>_xlfn.IFNA(_xlfn.XLOOKUP(B233,'00_SKU_Master'!B$2:B$378,'00_SKU_Master'!H$2:H$378,0),"")</f>
        <v>ST 3D</v>
      </c>
      <c r="K233" s="14" t="str">
        <f>_xlfn.IFNA(_xlfn.XLOOKUP(B233,'00_SKU_Master'!B$2:B$378,'00_SKU_Master'!K$2:K$378,0),"")</f>
        <v>Slow</v>
      </c>
      <c r="L233" s="138" t="str">
        <f>_xlfn.XLOOKUP(B233,'00_SKU_Master'!$B$2:$B$378,'00_SKU_Master'!$D$2:$D$378)</f>
        <v>METRO</v>
      </c>
      <c r="M233" s="138">
        <f t="shared" si="20"/>
        <v>95</v>
      </c>
      <c r="N233" t="str">
        <f>IFERROR(_xlfn.XLOOKUP(B233,'00_SKU_Master'!$B$2:$B$378,'00_SKU_Master'!$E$2:$E$378,""),"")</f>
        <v>ThighMeat</v>
      </c>
      <c r="O233">
        <f>IFERROR(_xlfn.XLOOKUP(B233,'00_SKU_Master'!$B$2:$B$378,'00_SKU_Master'!$F$2:$F$378,0),0)</f>
        <v>4.2083100203458796</v>
      </c>
      <c r="P233">
        <f>IFERROR(_xlfn.XLOOKUP(N233,'00_Yield_Rates'!$B$2:$B$33,'00_Yield_Rates'!$E$2:$E$33,0)/100,0)</f>
        <v>0.105</v>
      </c>
      <c r="Q233">
        <f t="shared" si="21"/>
        <v>399.78945193285858</v>
      </c>
      <c r="R233">
        <f t="shared" si="22"/>
        <v>3807.5185898367486</v>
      </c>
      <c r="S233">
        <f t="shared" si="23"/>
        <v>5.6</v>
      </c>
    </row>
    <row r="234" spans="1:19">
      <c r="A234" s="138" t="str">
        <f>'00_SKU_Master'!J326</f>
        <v>MS ZH THIGH AC ST</v>
      </c>
      <c r="B234" s="138">
        <f>'00_SKU_Master'!B326</f>
        <v>200713</v>
      </c>
      <c r="C234" s="165">
        <f>_xlfn.XLOOKUP(B234,'02_TrayPack_Order'!$A$2:$A$265,'02_TrayPack_Order'!$C$2:$C$265)</f>
        <v>102</v>
      </c>
      <c r="D234" s="166">
        <f>_xlfn.XLOOKUP(B234,'02_TrayPack_Order'!$A$2:$A$265,'02_TrayPack_Order'!$L$2:$L$265,0)</f>
        <v>0</v>
      </c>
      <c r="E234" s="165">
        <f>SUMIF('13_Progress_Track'!$A$2:$A$108,B234,'13_Progress_Track'!$E$2:$E$108)</f>
        <v>0</v>
      </c>
      <c r="F234" s="165">
        <f t="shared" si="18"/>
        <v>0</v>
      </c>
      <c r="G234" s="167">
        <f t="shared" si="19"/>
        <v>102</v>
      </c>
      <c r="H234" s="138">
        <f>_xlfn.IFNA(_xlfn.XLOOKUP(B234,'00_SKU_Master'!$B$2:$B$378,'00_SKU_Master'!$C$2:$C$378),"")</f>
        <v>61077</v>
      </c>
      <c r="I234" s="138"/>
      <c r="J234" s="14" t="str">
        <f>_xlfn.IFNA(_xlfn.XLOOKUP(B234,'00_SKU_Master'!B$2:B$378,'00_SKU_Master'!H$2:H$378,0),"")</f>
        <v>ST 3D</v>
      </c>
      <c r="K234" s="14" t="str">
        <f>_xlfn.IFNA(_xlfn.XLOOKUP(B234,'00_SKU_Master'!B$2:B$378,'00_SKU_Master'!K$2:K$378,0),"")</f>
        <v>Fast</v>
      </c>
      <c r="L234" s="138" t="str">
        <f>_xlfn.XLOOKUP(B234,'00_SKU_Master'!$B$2:$B$378,'00_SKU_Master'!$D$2:$D$378)</f>
        <v>METRO</v>
      </c>
      <c r="M234" s="138">
        <f t="shared" si="20"/>
        <v>102</v>
      </c>
      <c r="N234" t="str">
        <f>IFERROR(_xlfn.XLOOKUP(B234,'00_SKU_Master'!$B$2:$B$378,'00_SKU_Master'!$E$2:$E$378,""),"")</f>
        <v>Thigh</v>
      </c>
      <c r="O234">
        <f>IFERROR(_xlfn.XLOOKUP(B234,'00_SKU_Master'!$B$2:$B$378,'00_SKU_Master'!$F$2:$F$378,0),0)</f>
        <v>4.2918690909090902</v>
      </c>
      <c r="P234">
        <f>IFERROR(_xlfn.XLOOKUP(N234,'00_Yield_Rates'!$B$2:$B$33,'00_Yield_Rates'!$E$2:$E$33,0)/100,0)</f>
        <v>0.191</v>
      </c>
      <c r="Q234">
        <f t="shared" si="21"/>
        <v>437.77064727272722</v>
      </c>
      <c r="R234">
        <f t="shared" si="22"/>
        <v>2291.9929176582577</v>
      </c>
      <c r="S234">
        <f t="shared" si="23"/>
        <v>3.4</v>
      </c>
    </row>
    <row r="235" spans="1:19">
      <c r="A235" s="138" t="str">
        <f>'00_SKU_Master'!J327</f>
        <v>MS ZH SPL WING AC ST</v>
      </c>
      <c r="B235" s="138">
        <f>'00_SKU_Master'!B327</f>
        <v>200714</v>
      </c>
      <c r="C235" s="165">
        <f>_xlfn.XLOOKUP(B235,'02_TrayPack_Order'!$A$2:$A$265,'02_TrayPack_Order'!$C$2:$C$265)</f>
        <v>31</v>
      </c>
      <c r="D235" s="166">
        <f>_xlfn.XLOOKUP(B235,'02_TrayPack_Order'!$A$2:$A$265,'02_TrayPack_Order'!$L$2:$L$265,0)</f>
        <v>0</v>
      </c>
      <c r="E235" s="165">
        <f>SUMIF('13_Progress_Track'!$A$2:$A$108,B235,'13_Progress_Track'!$E$2:$E$108)</f>
        <v>0</v>
      </c>
      <c r="F235" s="165">
        <f t="shared" si="18"/>
        <v>0</v>
      </c>
      <c r="G235" s="167">
        <f t="shared" si="19"/>
        <v>31</v>
      </c>
      <c r="H235" s="138">
        <f>_xlfn.IFNA(_xlfn.XLOOKUP(B235,'00_SKU_Master'!$B$2:$B$378,'00_SKU_Master'!$C$2:$C$378),"")</f>
        <v>61014</v>
      </c>
      <c r="I235" s="138"/>
      <c r="J235" s="14" t="str">
        <f>_xlfn.IFNA(_xlfn.XLOOKUP(B235,'00_SKU_Master'!B$2:B$378,'00_SKU_Master'!H$2:H$378,0),"")</f>
        <v>ST 3D</v>
      </c>
      <c r="K235" s="14" t="str">
        <f>_xlfn.IFNA(_xlfn.XLOOKUP(B235,'00_SKU_Master'!B$2:B$378,'00_SKU_Master'!K$2:K$378,0),"")</f>
        <v>Slow</v>
      </c>
      <c r="L235" s="138" t="str">
        <f>_xlfn.XLOOKUP(B235,'00_SKU_Master'!$B$2:$B$378,'00_SKU_Master'!$D$2:$D$378)</f>
        <v>METRO</v>
      </c>
      <c r="M235" s="138">
        <f t="shared" si="20"/>
        <v>31</v>
      </c>
      <c r="N235" t="str">
        <f>IFERROR(_xlfn.XLOOKUP(B235,'00_SKU_Master'!$B$2:$B$378,'00_SKU_Master'!$E$2:$E$378,""),"")</f>
        <v>SplitWing</v>
      </c>
      <c r="O235">
        <f>IFERROR(_xlfn.XLOOKUP(B235,'00_SKU_Master'!$B$2:$B$378,'00_SKU_Master'!$F$2:$F$378,0),0)</f>
        <v>3.7048650269946002</v>
      </c>
      <c r="P235">
        <f>IFERROR(_xlfn.XLOOKUP(N235,'00_Yield_Rates'!$B$2:$B$33,'00_Yield_Rates'!$E$2:$E$33,0)/100,0)</f>
        <v>9.6000000000000002E-2</v>
      </c>
      <c r="Q235">
        <f t="shared" si="21"/>
        <v>114.85081583683261</v>
      </c>
      <c r="R235">
        <f t="shared" si="22"/>
        <v>1196.3626649670064</v>
      </c>
      <c r="S235">
        <f t="shared" si="23"/>
        <v>1.8</v>
      </c>
    </row>
    <row r="236" spans="1:19">
      <c r="A236" s="138" t="str">
        <f>'00_SKU_Master'!J328</f>
        <v>MS ZH BSHB AC LT PP</v>
      </c>
      <c r="B236" s="138">
        <f>'00_SKU_Master'!B328</f>
        <v>200715</v>
      </c>
      <c r="C236" s="165">
        <f>_xlfn.XLOOKUP(B236,'02_TrayPack_Order'!$A$2:$A$265,'02_TrayPack_Order'!$C$2:$C$265)</f>
        <v>8</v>
      </c>
      <c r="D236" s="166">
        <f>_xlfn.XLOOKUP(B236,'02_TrayPack_Order'!$A$2:$A$265,'02_TrayPack_Order'!$L$2:$L$265,0)</f>
        <v>0</v>
      </c>
      <c r="E236" s="165">
        <f>SUMIF('13_Progress_Track'!$A$2:$A$108,B236,'13_Progress_Track'!$E$2:$E$108)</f>
        <v>5</v>
      </c>
      <c r="F236" s="165">
        <f t="shared" si="18"/>
        <v>0</v>
      </c>
      <c r="G236" s="167">
        <f t="shared" si="19"/>
        <v>3</v>
      </c>
      <c r="H236" s="138" t="str">
        <f>_xlfn.IFNA(_xlfn.XLOOKUP(B236,'00_SKU_Master'!$B$2:$B$378,'00_SKU_Master'!$C$2:$C$378),"")</f>
        <v>61050F</v>
      </c>
      <c r="I236" s="138"/>
      <c r="J236" s="14" t="str">
        <f>_xlfn.IFNA(_xlfn.XLOOKUP(B236,'00_SKU_Master'!B$2:B$378,'00_SKU_Master'!H$2:H$378,0),"")</f>
        <v>LT 8XP</v>
      </c>
      <c r="K236" s="14" t="str">
        <f>_xlfn.IFNA(_xlfn.XLOOKUP(B236,'00_SKU_Master'!B$2:B$378,'00_SKU_Master'!K$2:K$378,0),"")</f>
        <v>Fast</v>
      </c>
      <c r="L236" s="138" t="str">
        <f>_xlfn.XLOOKUP(B236,'00_SKU_Master'!$B$2:$B$378,'00_SKU_Master'!$D$2:$D$378)</f>
        <v>FB</v>
      </c>
      <c r="M236" s="138">
        <f t="shared" si="20"/>
        <v>3</v>
      </c>
      <c r="N236" t="str">
        <f>IFERROR(_xlfn.XLOOKUP(B236,'00_SKU_Master'!$B$2:$B$378,'00_SKU_Master'!$E$2:$E$378,""),"")</f>
        <v>BSB</v>
      </c>
      <c r="O236">
        <f>IFERROR(_xlfn.XLOOKUP(B236,'00_SKU_Master'!$B$2:$B$378,'00_SKU_Master'!$F$2:$F$378,0),0)</f>
        <v>8.9776693730866501</v>
      </c>
      <c r="P236">
        <f>IFERROR(_xlfn.XLOOKUP(N236,'00_Yield_Rates'!$B$2:$B$33,'00_Yield_Rates'!$E$2:$E$33,0)/100,0)</f>
        <v>0.31</v>
      </c>
      <c r="Q236">
        <f t="shared" si="21"/>
        <v>26.933008119259952</v>
      </c>
      <c r="R236">
        <f t="shared" si="22"/>
        <v>86.880671352451458</v>
      </c>
      <c r="S236">
        <f t="shared" si="23"/>
        <v>0.2</v>
      </c>
    </row>
    <row r="237" spans="1:19">
      <c r="A237" s="138" t="str">
        <f>'00_SKU_Master'!J329</f>
        <v>MS ZH THIGH AC LT PP</v>
      </c>
      <c r="B237" s="138">
        <f>'00_SKU_Master'!B329</f>
        <v>200716</v>
      </c>
      <c r="C237" s="165">
        <f>_xlfn.XLOOKUP(B237,'02_TrayPack_Order'!$A$2:$A$265,'02_TrayPack_Order'!$C$2:$C$265)</f>
        <v>39</v>
      </c>
      <c r="D237" s="166">
        <f>_xlfn.XLOOKUP(B237,'02_TrayPack_Order'!$A$2:$A$265,'02_TrayPack_Order'!$L$2:$L$265,0)</f>
        <v>0</v>
      </c>
      <c r="E237" s="165">
        <f>SUMIF('13_Progress_Track'!$A$2:$A$108,B237,'13_Progress_Track'!$E$2:$E$108)</f>
        <v>0</v>
      </c>
      <c r="F237" s="165">
        <f t="shared" si="18"/>
        <v>0</v>
      </c>
      <c r="G237" s="167">
        <f t="shared" si="19"/>
        <v>39</v>
      </c>
      <c r="H237" s="138">
        <f>_xlfn.IFNA(_xlfn.XLOOKUP(B237,'00_SKU_Master'!$B$2:$B$378,'00_SKU_Master'!$C$2:$C$378),"")</f>
        <v>61077</v>
      </c>
      <c r="I237" s="138"/>
      <c r="J237" s="14" t="str">
        <f>_xlfn.IFNA(_xlfn.XLOOKUP(B237,'00_SKU_Master'!B$2:B$378,'00_SKU_Master'!H$2:H$378,0),"")</f>
        <v>LT 8XP</v>
      </c>
      <c r="K237" s="14" t="str">
        <f>_xlfn.IFNA(_xlfn.XLOOKUP(B237,'00_SKU_Master'!B$2:B$378,'00_SKU_Master'!K$2:K$378,0),"")</f>
        <v>Fast</v>
      </c>
      <c r="L237" s="138" t="str">
        <f>_xlfn.XLOOKUP(B237,'00_SKU_Master'!$B$2:$B$378,'00_SKU_Master'!$D$2:$D$378)</f>
        <v>FB</v>
      </c>
      <c r="M237" s="138">
        <f t="shared" si="20"/>
        <v>39</v>
      </c>
      <c r="N237" t="str">
        <f>IFERROR(_xlfn.XLOOKUP(B237,'00_SKU_Master'!$B$2:$B$378,'00_SKU_Master'!$E$2:$E$378,""),"")</f>
        <v>Thigh</v>
      </c>
      <c r="O237">
        <f>IFERROR(_xlfn.XLOOKUP(B237,'00_SKU_Master'!$B$2:$B$378,'00_SKU_Master'!$F$2:$F$378,0),0)</f>
        <v>8.5537448737319206</v>
      </c>
      <c r="P237">
        <f>IFERROR(_xlfn.XLOOKUP(N237,'00_Yield_Rates'!$B$2:$B$33,'00_Yield_Rates'!$E$2:$E$33,0)/100,0)</f>
        <v>0.191</v>
      </c>
      <c r="Q237">
        <f t="shared" si="21"/>
        <v>333.59605007554489</v>
      </c>
      <c r="R237">
        <f t="shared" si="22"/>
        <v>1746.5761784059941</v>
      </c>
      <c r="S237">
        <f t="shared" si="23"/>
        <v>2.6</v>
      </c>
    </row>
    <row r="238" spans="1:19">
      <c r="A238" s="138" t="str">
        <f>'00_SKU_Master'!J330</f>
        <v>MS ZH DRUM AC LT PP</v>
      </c>
      <c r="B238" s="138">
        <f>'00_SKU_Master'!B330</f>
        <v>200717</v>
      </c>
      <c r="C238" s="165">
        <f>_xlfn.XLOOKUP(B238,'02_TrayPack_Order'!$A$2:$A$265,'02_TrayPack_Order'!$C$2:$C$265)</f>
        <v>21</v>
      </c>
      <c r="D238" s="166">
        <f>_xlfn.XLOOKUP(B238,'02_TrayPack_Order'!$A$2:$A$265,'02_TrayPack_Order'!$L$2:$L$265,0)</f>
        <v>0</v>
      </c>
      <c r="E238" s="165">
        <f>SUMIF('13_Progress_Track'!$A$2:$A$108,B238,'13_Progress_Track'!$E$2:$E$108)</f>
        <v>0</v>
      </c>
      <c r="F238" s="165">
        <f t="shared" si="18"/>
        <v>0</v>
      </c>
      <c r="G238" s="167">
        <f t="shared" si="19"/>
        <v>21</v>
      </c>
      <c r="H238" s="138">
        <f>_xlfn.IFNA(_xlfn.XLOOKUP(B238,'00_SKU_Master'!$B$2:$B$378,'00_SKU_Master'!$C$2:$C$378),"")</f>
        <v>61072</v>
      </c>
      <c r="I238" s="138"/>
      <c r="J238" s="14" t="str">
        <f>_xlfn.IFNA(_xlfn.XLOOKUP(B238,'00_SKU_Master'!B$2:B$378,'00_SKU_Master'!H$2:H$378,0),"")</f>
        <v>LT 8XP</v>
      </c>
      <c r="K238" s="14" t="str">
        <f>_xlfn.IFNA(_xlfn.XLOOKUP(B238,'00_SKU_Master'!B$2:B$378,'00_SKU_Master'!K$2:K$378,0),"")</f>
        <v>Fast</v>
      </c>
      <c r="L238" s="138" t="str">
        <f>_xlfn.XLOOKUP(B238,'00_SKU_Master'!$B$2:$B$378,'00_SKU_Master'!$D$2:$D$378)</f>
        <v>FB</v>
      </c>
      <c r="M238" s="138">
        <f t="shared" si="20"/>
        <v>21</v>
      </c>
      <c r="N238" t="str">
        <f>IFERROR(_xlfn.XLOOKUP(B238,'00_SKU_Master'!$B$2:$B$378,'00_SKU_Master'!$E$2:$E$378,""),"")</f>
        <v>Drum</v>
      </c>
      <c r="O238">
        <f>IFERROR(_xlfn.XLOOKUP(B238,'00_SKU_Master'!$B$2:$B$378,'00_SKU_Master'!$F$2:$F$378,0),0)</f>
        <v>7.7917399080224801</v>
      </c>
      <c r="P238">
        <f>IFERROR(_xlfn.XLOOKUP(N238,'00_Yield_Rates'!$B$2:$B$33,'00_Yield_Rates'!$E$2:$E$33,0)/100,0)</f>
        <v>0.128</v>
      </c>
      <c r="Q238">
        <f t="shared" si="21"/>
        <v>163.62653806847209</v>
      </c>
      <c r="R238">
        <f t="shared" si="22"/>
        <v>1278.3323286599382</v>
      </c>
      <c r="S238">
        <f t="shared" si="23"/>
        <v>1.9000000000000001</v>
      </c>
    </row>
    <row r="239" spans="1:19">
      <c r="A239" s="138" t="str">
        <f>'00_SKU_Master'!J331</f>
        <v>MS ZH BSHB AC LT</v>
      </c>
      <c r="B239" s="138">
        <f>'00_SKU_Master'!B331</f>
        <v>200718</v>
      </c>
      <c r="C239" s="165">
        <f>_xlfn.XLOOKUP(B239,'02_TrayPack_Order'!$A$2:$A$265,'02_TrayPack_Order'!$C$2:$C$265)</f>
        <v>0</v>
      </c>
      <c r="D239" s="166">
        <f>_xlfn.XLOOKUP(B239,'02_TrayPack_Order'!$A$2:$A$265,'02_TrayPack_Order'!$L$2:$L$265,0)</f>
        <v>0</v>
      </c>
      <c r="E239" s="165">
        <f>SUMIF('13_Progress_Track'!$A$2:$A$108,B239,'13_Progress_Track'!$E$2:$E$108)</f>
        <v>0</v>
      </c>
      <c r="F239" s="165">
        <f t="shared" si="18"/>
        <v>0</v>
      </c>
      <c r="G239" s="167">
        <f t="shared" si="19"/>
        <v>0</v>
      </c>
      <c r="H239" s="138">
        <f>_xlfn.IFNA(_xlfn.XLOOKUP(B239,'00_SKU_Master'!$B$2:$B$378,'00_SKU_Master'!$C$2:$C$378),"")</f>
        <v>61050</v>
      </c>
      <c r="I239" s="138"/>
      <c r="J239" s="14" t="str">
        <f>_xlfn.IFNA(_xlfn.XLOOKUP(B239,'00_SKU_Master'!B$2:B$378,'00_SKU_Master'!H$2:H$378,0),"")</f>
        <v>LT 8XP</v>
      </c>
      <c r="K239" s="14" t="str">
        <f>_xlfn.IFNA(_xlfn.XLOOKUP(B239,'00_SKU_Master'!B$2:B$378,'00_SKU_Master'!K$2:K$378,0),"")</f>
        <v>Fast</v>
      </c>
      <c r="L239" s="138" t="str">
        <f>_xlfn.XLOOKUP(B239,'00_SKU_Master'!$B$2:$B$378,'00_SKU_Master'!$D$2:$D$378)</f>
        <v>FB</v>
      </c>
      <c r="M239" s="138">
        <f t="shared" si="20"/>
        <v>0</v>
      </c>
      <c r="N239" t="str">
        <f>IFERROR(_xlfn.XLOOKUP(B239,'00_SKU_Master'!$B$2:$B$378,'00_SKU_Master'!$E$2:$E$378,""),"")</f>
        <v>BSB</v>
      </c>
      <c r="O239">
        <f>IFERROR(_xlfn.XLOOKUP(B239,'00_SKU_Master'!$B$2:$B$378,'00_SKU_Master'!$F$2:$F$378,0),0)</f>
        <v>0</v>
      </c>
      <c r="P239">
        <f>IFERROR(_xlfn.XLOOKUP(N239,'00_Yield_Rates'!$B$2:$B$33,'00_Yield_Rates'!$E$2:$E$33,0)/100,0)</f>
        <v>0.31</v>
      </c>
      <c r="Q239">
        <f t="shared" si="21"/>
        <v>0</v>
      </c>
      <c r="R239">
        <f t="shared" si="22"/>
        <v>0</v>
      </c>
      <c r="S239">
        <f t="shared" si="23"/>
        <v>0</v>
      </c>
    </row>
    <row r="240" spans="1:19">
      <c r="A240" s="138" t="str">
        <f>'00_SKU_Master'!J332</f>
        <v>MS ZH THIGH AC LT</v>
      </c>
      <c r="B240" s="138">
        <f>'00_SKU_Master'!B332</f>
        <v>200721</v>
      </c>
      <c r="C240" s="165">
        <f>_xlfn.XLOOKUP(B240,'02_TrayPack_Order'!$A$2:$A$265,'02_TrayPack_Order'!$C$2:$C$265)</f>
        <v>0</v>
      </c>
      <c r="D240" s="166">
        <f>_xlfn.XLOOKUP(B240,'02_TrayPack_Order'!$A$2:$A$265,'02_TrayPack_Order'!$L$2:$L$265,0)</f>
        <v>0</v>
      </c>
      <c r="E240" s="165">
        <f>SUMIF('13_Progress_Track'!$A$2:$A$108,B240,'13_Progress_Track'!$E$2:$E$108)</f>
        <v>0</v>
      </c>
      <c r="F240" s="165">
        <f t="shared" si="18"/>
        <v>0</v>
      </c>
      <c r="G240" s="167">
        <f t="shared" si="19"/>
        <v>0</v>
      </c>
      <c r="H240" s="138">
        <f>_xlfn.IFNA(_xlfn.XLOOKUP(B240,'00_SKU_Master'!$B$2:$B$378,'00_SKU_Master'!$C$2:$C$378),"")</f>
        <v>61077</v>
      </c>
      <c r="I240" s="138"/>
      <c r="J240" s="14" t="str">
        <f>_xlfn.IFNA(_xlfn.XLOOKUP(B240,'00_SKU_Master'!B$2:B$378,'00_SKU_Master'!H$2:H$378,0),"")</f>
        <v>LT 8XP</v>
      </c>
      <c r="K240" s="14" t="str">
        <f>_xlfn.IFNA(_xlfn.XLOOKUP(B240,'00_SKU_Master'!B$2:B$378,'00_SKU_Master'!K$2:K$378,0),"")</f>
        <v>Fast</v>
      </c>
      <c r="L240" s="138" t="str">
        <f>_xlfn.XLOOKUP(B240,'00_SKU_Master'!$B$2:$B$378,'00_SKU_Master'!$D$2:$D$378)</f>
        <v>FB</v>
      </c>
      <c r="M240" s="138">
        <f t="shared" si="20"/>
        <v>0</v>
      </c>
      <c r="N240" t="str">
        <f>IFERROR(_xlfn.XLOOKUP(B240,'00_SKU_Master'!$B$2:$B$378,'00_SKU_Master'!$E$2:$E$378,""),"")</f>
        <v>Thigh</v>
      </c>
      <c r="O240">
        <f>IFERROR(_xlfn.XLOOKUP(B240,'00_SKU_Master'!$B$2:$B$378,'00_SKU_Master'!$F$2:$F$378,0),0)</f>
        <v>0</v>
      </c>
      <c r="P240">
        <f>IFERROR(_xlfn.XLOOKUP(N240,'00_Yield_Rates'!$B$2:$B$33,'00_Yield_Rates'!$E$2:$E$33,0)/100,0)</f>
        <v>0.191</v>
      </c>
      <c r="Q240">
        <f t="shared" si="21"/>
        <v>0</v>
      </c>
      <c r="R240">
        <f t="shared" si="22"/>
        <v>0</v>
      </c>
      <c r="S240">
        <f t="shared" si="23"/>
        <v>0</v>
      </c>
    </row>
    <row r="241" spans="1:19">
      <c r="A241" s="138" t="str">
        <f>'00_SKU_Master'!J333</f>
        <v>MS ZH DRUM AC LT</v>
      </c>
      <c r="B241" s="138">
        <f>'00_SKU_Master'!B333</f>
        <v>200722</v>
      </c>
      <c r="C241" s="165">
        <f>_xlfn.XLOOKUP(B241,'02_TrayPack_Order'!$A$2:$A$265,'02_TrayPack_Order'!$C$2:$C$265)</f>
        <v>0</v>
      </c>
      <c r="D241" s="166">
        <f>_xlfn.XLOOKUP(B241,'02_TrayPack_Order'!$A$2:$A$265,'02_TrayPack_Order'!$L$2:$L$265,0)</f>
        <v>0</v>
      </c>
      <c r="E241" s="165">
        <f>SUMIF('13_Progress_Track'!$A$2:$A$108,B241,'13_Progress_Track'!$E$2:$E$108)</f>
        <v>0</v>
      </c>
      <c r="F241" s="165">
        <f t="shared" si="18"/>
        <v>0</v>
      </c>
      <c r="G241" s="167">
        <f t="shared" si="19"/>
        <v>0</v>
      </c>
      <c r="H241" s="138">
        <f>_xlfn.IFNA(_xlfn.XLOOKUP(B241,'00_SKU_Master'!$B$2:$B$378,'00_SKU_Master'!$C$2:$C$378),"")</f>
        <v>61072</v>
      </c>
      <c r="I241" s="138"/>
      <c r="J241" s="14" t="str">
        <f>_xlfn.IFNA(_xlfn.XLOOKUP(B241,'00_SKU_Master'!B$2:B$378,'00_SKU_Master'!H$2:H$378,0),"")</f>
        <v>LT 8XP</v>
      </c>
      <c r="K241" s="14" t="str">
        <f>_xlfn.IFNA(_xlfn.XLOOKUP(B241,'00_SKU_Master'!B$2:B$378,'00_SKU_Master'!K$2:K$378,0),"")</f>
        <v>Fast</v>
      </c>
      <c r="L241" s="138" t="str">
        <f>_xlfn.XLOOKUP(B241,'00_SKU_Master'!$B$2:$B$378,'00_SKU_Master'!$D$2:$D$378)</f>
        <v>FB</v>
      </c>
      <c r="M241" s="138">
        <f t="shared" si="20"/>
        <v>0</v>
      </c>
      <c r="N241" t="str">
        <f>IFERROR(_xlfn.XLOOKUP(B241,'00_SKU_Master'!$B$2:$B$378,'00_SKU_Master'!$E$2:$E$378,""),"")</f>
        <v>Drum</v>
      </c>
      <c r="O241">
        <f>IFERROR(_xlfn.XLOOKUP(B241,'00_SKU_Master'!$B$2:$B$378,'00_SKU_Master'!$F$2:$F$378,0),0)</f>
        <v>0</v>
      </c>
      <c r="P241">
        <f>IFERROR(_xlfn.XLOOKUP(N241,'00_Yield_Rates'!$B$2:$B$33,'00_Yield_Rates'!$E$2:$E$33,0)/100,0)</f>
        <v>0.128</v>
      </c>
      <c r="Q241">
        <f t="shared" si="21"/>
        <v>0</v>
      </c>
      <c r="R241">
        <f t="shared" si="22"/>
        <v>0</v>
      </c>
      <c r="S241">
        <f t="shared" si="23"/>
        <v>0</v>
      </c>
    </row>
    <row r="242" spans="1:19">
      <c r="A242" s="138" t="str">
        <f>'00_SKU_Master'!J334</f>
        <v>MS ZH BSHB AC LT PP</v>
      </c>
      <c r="B242" s="138">
        <f>'00_SKU_Master'!B334</f>
        <v>200723</v>
      </c>
      <c r="C242" s="165">
        <f>_xlfn.XLOOKUP(B242,'02_TrayPack_Order'!$A$2:$A$265,'02_TrayPack_Order'!$C$2:$C$265)</f>
        <v>0</v>
      </c>
      <c r="D242" s="166">
        <f>_xlfn.XLOOKUP(B242,'02_TrayPack_Order'!$A$2:$A$265,'02_TrayPack_Order'!$L$2:$L$265,0)</f>
        <v>0</v>
      </c>
      <c r="E242" s="165">
        <f>SUMIF('13_Progress_Track'!$A$2:$A$108,B242,'13_Progress_Track'!$E$2:$E$108)</f>
        <v>0</v>
      </c>
      <c r="F242" s="165">
        <f t="shared" si="18"/>
        <v>0</v>
      </c>
      <c r="G242" s="167">
        <f t="shared" si="19"/>
        <v>0</v>
      </c>
      <c r="H242" s="138" t="str">
        <f>_xlfn.IFNA(_xlfn.XLOOKUP(B242,'00_SKU_Master'!$B$2:$B$378,'00_SKU_Master'!$C$2:$C$378),"")</f>
        <v>61050F</v>
      </c>
      <c r="I242" s="138"/>
      <c r="J242" s="14" t="str">
        <f>_xlfn.IFNA(_xlfn.XLOOKUP(B242,'00_SKU_Master'!B$2:B$378,'00_SKU_Master'!H$2:H$378,0),"")</f>
        <v>LT 8XP</v>
      </c>
      <c r="K242" s="14" t="str">
        <f>_xlfn.IFNA(_xlfn.XLOOKUP(B242,'00_SKU_Master'!B$2:B$378,'00_SKU_Master'!K$2:K$378,0),"")</f>
        <v>Fast</v>
      </c>
      <c r="L242" s="138" t="str">
        <f>_xlfn.XLOOKUP(B242,'00_SKU_Master'!$B$2:$B$378,'00_SKU_Master'!$D$2:$D$378)</f>
        <v>FB</v>
      </c>
      <c r="M242" s="138">
        <f t="shared" si="20"/>
        <v>0</v>
      </c>
      <c r="N242" t="str">
        <f>IFERROR(_xlfn.XLOOKUP(B242,'00_SKU_Master'!$B$2:$B$378,'00_SKU_Master'!$E$2:$E$378,""),"")</f>
        <v>BSB</v>
      </c>
      <c r="O242">
        <f>IFERROR(_xlfn.XLOOKUP(B242,'00_SKU_Master'!$B$2:$B$378,'00_SKU_Master'!$F$2:$F$378,0),0)</f>
        <v>9.3194408602150496</v>
      </c>
      <c r="P242">
        <f>IFERROR(_xlfn.XLOOKUP(N242,'00_Yield_Rates'!$B$2:$B$33,'00_Yield_Rates'!$E$2:$E$33,0)/100,0)</f>
        <v>0.31</v>
      </c>
      <c r="Q242">
        <f t="shared" si="21"/>
        <v>0</v>
      </c>
      <c r="R242">
        <f t="shared" si="22"/>
        <v>0</v>
      </c>
      <c r="S242">
        <f t="shared" si="23"/>
        <v>0</v>
      </c>
    </row>
    <row r="243" spans="1:19">
      <c r="A243" s="138" t="str">
        <f>'00_SKU_Master'!J335</f>
        <v>MS ZH SKLS DRUM AC 3D PP</v>
      </c>
      <c r="B243" s="138">
        <f>'00_SKU_Master'!B335</f>
        <v>200724</v>
      </c>
      <c r="C243" s="165">
        <f>_xlfn.XLOOKUP(B243,'02_TrayPack_Order'!$A$2:$A$265,'02_TrayPack_Order'!$C$2:$C$265)</f>
        <v>13</v>
      </c>
      <c r="D243" s="166">
        <f>_xlfn.XLOOKUP(B243,'02_TrayPack_Order'!$A$2:$A$265,'02_TrayPack_Order'!$L$2:$L$265,0)</f>
        <v>0</v>
      </c>
      <c r="E243" s="165">
        <f>SUMIF('13_Progress_Track'!$A$2:$A$108,B243,'13_Progress_Track'!$E$2:$E$108)</f>
        <v>0</v>
      </c>
      <c r="F243" s="165">
        <f t="shared" si="18"/>
        <v>0</v>
      </c>
      <c r="G243" s="167">
        <f t="shared" si="19"/>
        <v>13</v>
      </c>
      <c r="H243" s="138">
        <f>_xlfn.IFNA(_xlfn.XLOOKUP(B243,'00_SKU_Master'!$B$2:$B$378,'00_SKU_Master'!$C$2:$C$378),"")</f>
        <v>61071</v>
      </c>
      <c r="I243" s="169"/>
      <c r="J243" s="14" t="str">
        <f>_xlfn.IFNA(_xlfn.XLOOKUP(B243,'00_SKU_Master'!B$2:B$378,'00_SKU_Master'!H$2:H$378,0),"")</f>
        <v>ST 3D</v>
      </c>
      <c r="K243" s="14" t="str">
        <f>_xlfn.IFNA(_xlfn.XLOOKUP(B243,'00_SKU_Master'!B$2:B$378,'00_SKU_Master'!K$2:K$378,0),"")</f>
        <v>Fast</v>
      </c>
      <c r="L243" s="138" t="str">
        <f>_xlfn.XLOOKUP(B243,'00_SKU_Master'!$B$2:$B$378,'00_SKU_Master'!$D$2:$D$378)</f>
        <v>FB</v>
      </c>
      <c r="M243" s="138">
        <f t="shared" si="20"/>
        <v>13</v>
      </c>
      <c r="N243" t="str">
        <f>IFERROR(_xlfn.XLOOKUP(B243,'00_SKU_Master'!$B$2:$B$378,'00_SKU_Master'!$E$2:$E$378,""),"")</f>
        <v>Drum</v>
      </c>
      <c r="O243">
        <f>IFERROR(_xlfn.XLOOKUP(B243,'00_SKU_Master'!$B$2:$B$378,'00_SKU_Master'!$F$2:$F$378,0),0)</f>
        <v>3.70871594281089</v>
      </c>
      <c r="P243">
        <f>IFERROR(_xlfn.XLOOKUP(N243,'00_Yield_Rates'!$B$2:$B$33,'00_Yield_Rates'!$E$2:$E$33,0)/100,0)</f>
        <v>0.128</v>
      </c>
      <c r="Q243">
        <f t="shared" si="21"/>
        <v>48.213307256541569</v>
      </c>
      <c r="R243">
        <f t="shared" si="22"/>
        <v>376.66646294173103</v>
      </c>
      <c r="S243">
        <f t="shared" si="23"/>
        <v>0.6</v>
      </c>
    </row>
    <row r="244" spans="1:19">
      <c r="A244" s="138" t="str">
        <f>'00_SKU_Master'!J336</f>
        <v>MS ZH BSHB AC 8XP</v>
      </c>
      <c r="B244" s="138">
        <f>'00_SKU_Master'!B336</f>
        <v>200725</v>
      </c>
      <c r="C244" s="165">
        <f>_xlfn.XLOOKUP(B244,'02_TrayPack_Order'!$A$2:$A$265,'02_TrayPack_Order'!$C$2:$C$265)</f>
        <v>0</v>
      </c>
      <c r="D244" s="166">
        <f>_xlfn.XLOOKUP(B244,'02_TrayPack_Order'!$A$2:$A$265,'02_TrayPack_Order'!$L$2:$L$265,0)</f>
        <v>0</v>
      </c>
      <c r="E244" s="165">
        <f>SUMIF('13_Progress_Track'!$A$2:$A$108,B244,'13_Progress_Track'!$E$2:$E$108)</f>
        <v>0</v>
      </c>
      <c r="F244" s="165">
        <f t="shared" si="18"/>
        <v>0</v>
      </c>
      <c r="G244" s="167">
        <f t="shared" si="19"/>
        <v>0</v>
      </c>
      <c r="H244" s="138">
        <f>_xlfn.IFNA(_xlfn.XLOOKUP(B244,'00_SKU_Master'!$B$2:$B$378,'00_SKU_Master'!$C$2:$C$378),"")</f>
        <v>61050</v>
      </c>
      <c r="I244" s="169"/>
      <c r="J244" s="14" t="str">
        <f>_xlfn.IFNA(_xlfn.XLOOKUP(B244,'00_SKU_Master'!B$2:B$378,'00_SKU_Master'!H$2:H$378,0),"")</f>
        <v>LT 8XP</v>
      </c>
      <c r="K244" s="14" t="str">
        <f>_xlfn.IFNA(_xlfn.XLOOKUP(B244,'00_SKU_Master'!B$2:B$378,'00_SKU_Master'!K$2:K$378,0),"")</f>
        <v>Fast</v>
      </c>
      <c r="L244" s="138" t="str">
        <f>_xlfn.XLOOKUP(B244,'00_SKU_Master'!$B$2:$B$378,'00_SKU_Master'!$D$2:$D$378)</f>
        <v>METRO</v>
      </c>
      <c r="M244" s="138">
        <f t="shared" si="20"/>
        <v>0</v>
      </c>
      <c r="N244" t="str">
        <f>IFERROR(_xlfn.XLOOKUP(B244,'00_SKU_Master'!$B$2:$B$378,'00_SKU_Master'!$E$2:$E$378,""),"")</f>
        <v>BSB</v>
      </c>
      <c r="O244">
        <f>IFERROR(_xlfn.XLOOKUP(B244,'00_SKU_Master'!$B$2:$B$378,'00_SKU_Master'!$F$2:$F$378,0),0)</f>
        <v>9.3194408602150496</v>
      </c>
      <c r="P244">
        <f>IFERROR(_xlfn.XLOOKUP(N244,'00_Yield_Rates'!$B$2:$B$33,'00_Yield_Rates'!$E$2:$E$33,0)/100,0)</f>
        <v>0.31</v>
      </c>
      <c r="Q244">
        <f t="shared" si="21"/>
        <v>0</v>
      </c>
      <c r="R244">
        <f t="shared" si="22"/>
        <v>0</v>
      </c>
      <c r="S244">
        <f t="shared" si="23"/>
        <v>0</v>
      </c>
    </row>
    <row r="245" spans="1:19">
      <c r="A245" s="138" t="str">
        <f>'00_SKU_Master'!J337</f>
        <v>MS ZH THIGH AC 8XP</v>
      </c>
      <c r="B245" s="138">
        <f>'00_SKU_Master'!B337</f>
        <v>200726</v>
      </c>
      <c r="C245" s="165">
        <f>_xlfn.XLOOKUP(B245,'02_TrayPack_Order'!$A$2:$A$265,'02_TrayPack_Order'!$C$2:$C$265)</f>
        <v>0</v>
      </c>
      <c r="D245" s="166">
        <f>_xlfn.XLOOKUP(B245,'02_TrayPack_Order'!$A$2:$A$265,'02_TrayPack_Order'!$L$2:$L$265,0)</f>
        <v>0</v>
      </c>
      <c r="E245" s="165">
        <f>SUMIF('13_Progress_Track'!$A$2:$A$108,B245,'13_Progress_Track'!$E$2:$E$108)</f>
        <v>0</v>
      </c>
      <c r="F245" s="165">
        <f t="shared" si="18"/>
        <v>0</v>
      </c>
      <c r="G245" s="167">
        <f t="shared" si="19"/>
        <v>0</v>
      </c>
      <c r="H245" s="138">
        <f>_xlfn.IFNA(_xlfn.XLOOKUP(B245,'00_SKU_Master'!$B$2:$B$378,'00_SKU_Master'!$C$2:$C$378),"")</f>
        <v>61077</v>
      </c>
      <c r="I245" s="169"/>
      <c r="J245" s="14" t="str">
        <f>_xlfn.IFNA(_xlfn.XLOOKUP(B245,'00_SKU_Master'!B$2:B$378,'00_SKU_Master'!H$2:H$378,0),"")</f>
        <v>LT 8XP</v>
      </c>
      <c r="K245" s="14" t="str">
        <f>_xlfn.IFNA(_xlfn.XLOOKUP(B245,'00_SKU_Master'!B$2:B$378,'00_SKU_Master'!K$2:K$378,0),"")</f>
        <v>Fast</v>
      </c>
      <c r="L245" s="138" t="str">
        <f>_xlfn.XLOOKUP(B245,'00_SKU_Master'!$B$2:$B$378,'00_SKU_Master'!$D$2:$D$378)</f>
        <v>METRO</v>
      </c>
      <c r="M245" s="138">
        <f t="shared" si="20"/>
        <v>0</v>
      </c>
      <c r="N245" t="str">
        <f>IFERROR(_xlfn.XLOOKUP(B245,'00_SKU_Master'!$B$2:$B$378,'00_SKU_Master'!$E$2:$E$378,""),"")</f>
        <v>Thigh</v>
      </c>
      <c r="O245">
        <f>IFERROR(_xlfn.XLOOKUP(B245,'00_SKU_Master'!$B$2:$B$378,'00_SKU_Master'!$F$2:$F$378,0),0)</f>
        <v>8.5537448737319206</v>
      </c>
      <c r="P245">
        <f>IFERROR(_xlfn.XLOOKUP(N245,'00_Yield_Rates'!$B$2:$B$33,'00_Yield_Rates'!$E$2:$E$33,0)/100,0)</f>
        <v>0.191</v>
      </c>
      <c r="Q245">
        <f t="shared" si="21"/>
        <v>0</v>
      </c>
      <c r="R245">
        <f t="shared" si="22"/>
        <v>0</v>
      </c>
      <c r="S245">
        <f t="shared" si="23"/>
        <v>0</v>
      </c>
    </row>
    <row r="246" spans="1:19">
      <c r="A246" s="138" t="str">
        <f>'00_SKU_Master'!J338</f>
        <v>MS ZH DRUM AC 8XP</v>
      </c>
      <c r="B246" s="138">
        <f>'00_SKU_Master'!B338</f>
        <v>200727</v>
      </c>
      <c r="C246" s="165">
        <f>_xlfn.XLOOKUP(B246,'02_TrayPack_Order'!$A$2:$A$265,'02_TrayPack_Order'!$C$2:$C$265)</f>
        <v>0</v>
      </c>
      <c r="D246" s="166">
        <f>_xlfn.XLOOKUP(B246,'02_TrayPack_Order'!$A$2:$A$265,'02_TrayPack_Order'!$L$2:$L$265,0)</f>
        <v>0</v>
      </c>
      <c r="E246" s="165">
        <f>SUMIF('13_Progress_Track'!$A$2:$A$108,B246,'13_Progress_Track'!$E$2:$E$108)</f>
        <v>0</v>
      </c>
      <c r="F246" s="165">
        <f t="shared" si="18"/>
        <v>0</v>
      </c>
      <c r="G246" s="167">
        <f t="shared" si="19"/>
        <v>0</v>
      </c>
      <c r="H246" s="138">
        <f>_xlfn.IFNA(_xlfn.XLOOKUP(B246,'00_SKU_Master'!$B$2:$B$378,'00_SKU_Master'!$C$2:$C$378),"")</f>
        <v>61072</v>
      </c>
      <c r="I246" s="169"/>
      <c r="J246" s="14" t="str">
        <f>_xlfn.IFNA(_xlfn.XLOOKUP(B246,'00_SKU_Master'!B$2:B$378,'00_SKU_Master'!H$2:H$378,0),"")</f>
        <v>LT 8XP</v>
      </c>
      <c r="K246" s="14" t="str">
        <f>_xlfn.IFNA(_xlfn.XLOOKUP(B246,'00_SKU_Master'!B$2:B$378,'00_SKU_Master'!K$2:K$378,0),"")</f>
        <v>Fast</v>
      </c>
      <c r="L246" s="138" t="str">
        <f>_xlfn.XLOOKUP(B246,'00_SKU_Master'!$B$2:$B$378,'00_SKU_Master'!$D$2:$D$378)</f>
        <v>METRO</v>
      </c>
      <c r="M246" s="138">
        <f t="shared" si="20"/>
        <v>0</v>
      </c>
      <c r="N246" t="str">
        <f>IFERROR(_xlfn.XLOOKUP(B246,'00_SKU_Master'!$B$2:$B$378,'00_SKU_Master'!$E$2:$E$378,""),"")</f>
        <v>Drum</v>
      </c>
      <c r="O246">
        <f>IFERROR(_xlfn.XLOOKUP(B246,'00_SKU_Master'!$B$2:$B$378,'00_SKU_Master'!$F$2:$F$378,0),0)</f>
        <v>8.0399191303195003</v>
      </c>
      <c r="P246">
        <f>IFERROR(_xlfn.XLOOKUP(N246,'00_Yield_Rates'!$B$2:$B$33,'00_Yield_Rates'!$E$2:$E$33,0)/100,0)</f>
        <v>0.128</v>
      </c>
      <c r="Q246">
        <f t="shared" si="21"/>
        <v>0</v>
      </c>
      <c r="R246">
        <f t="shared" si="22"/>
        <v>0</v>
      </c>
      <c r="S246">
        <f t="shared" si="23"/>
        <v>0</v>
      </c>
    </row>
    <row r="247" spans="1:19">
      <c r="A247" s="138" t="str">
        <f>'00_SKU_Master'!J339</f>
        <v>MS ZH THIGH AC 8D PP</v>
      </c>
      <c r="B247" s="138">
        <f>'00_SKU_Master'!B339</f>
        <v>200736</v>
      </c>
      <c r="C247" s="165">
        <f>_xlfn.XLOOKUP(B247,'02_TrayPack_Order'!$A$2:$A$265,'02_TrayPack_Order'!$C$2:$C$265)</f>
        <v>0</v>
      </c>
      <c r="D247" s="166">
        <f>_xlfn.XLOOKUP(B247,'02_TrayPack_Order'!$A$2:$A$265,'02_TrayPack_Order'!$L$2:$L$265,0)</f>
        <v>0</v>
      </c>
      <c r="E247" s="165">
        <f>SUMIF('13_Progress_Track'!$A$2:$A$108,B247,'13_Progress_Track'!$E$2:$E$108)</f>
        <v>0</v>
      </c>
      <c r="F247" s="165">
        <f t="shared" si="18"/>
        <v>0</v>
      </c>
      <c r="G247" s="167">
        <f t="shared" si="19"/>
        <v>0</v>
      </c>
      <c r="H247" s="138">
        <f>_xlfn.IFNA(_xlfn.XLOOKUP(B247,'00_SKU_Master'!$B$2:$B$378,'00_SKU_Master'!$C$2:$C$378),"")</f>
        <v>61077</v>
      </c>
      <c r="I247" s="169"/>
      <c r="J247" s="14" t="str">
        <f>_xlfn.IFNA(_xlfn.XLOOKUP(B247,'00_SKU_Master'!B$2:B$378,'00_SKU_Master'!H$2:H$378,0),"")</f>
        <v>LT 8XP</v>
      </c>
      <c r="K247" s="14" t="str">
        <f>_xlfn.IFNA(_xlfn.XLOOKUP(B247,'00_SKU_Master'!B$2:B$378,'00_SKU_Master'!K$2:K$378,0),"")</f>
        <v>Fast</v>
      </c>
      <c r="L247" s="138" t="str">
        <f>_xlfn.XLOOKUP(B247,'00_SKU_Master'!$B$2:$B$378,'00_SKU_Master'!$D$2:$D$378)</f>
        <v>FB</v>
      </c>
      <c r="M247" s="138">
        <f t="shared" si="20"/>
        <v>0</v>
      </c>
      <c r="N247" t="str">
        <f>IFERROR(_xlfn.XLOOKUP(B247,'00_SKU_Master'!$B$2:$B$378,'00_SKU_Master'!$E$2:$E$378,""),"")</f>
        <v>Thigh</v>
      </c>
      <c r="O247">
        <f>IFERROR(_xlfn.XLOOKUP(B247,'00_SKU_Master'!$B$2:$B$378,'00_SKU_Master'!$F$2:$F$378,0),0)</f>
        <v>0</v>
      </c>
      <c r="P247">
        <f>IFERROR(_xlfn.XLOOKUP(N247,'00_Yield_Rates'!$B$2:$B$33,'00_Yield_Rates'!$E$2:$E$33,0)/100,0)</f>
        <v>0.191</v>
      </c>
      <c r="Q247">
        <f t="shared" si="21"/>
        <v>0</v>
      </c>
      <c r="R247">
        <f t="shared" si="22"/>
        <v>0</v>
      </c>
      <c r="S247">
        <f t="shared" si="23"/>
        <v>0</v>
      </c>
    </row>
    <row r="248" spans="1:19">
      <c r="A248" s="138" t="str">
        <f>'00_SKU_Master'!J340</f>
        <v>MS ZH DRUM AC 8D PP</v>
      </c>
      <c r="B248" s="138">
        <f>'00_SKU_Master'!B340</f>
        <v>200737</v>
      </c>
      <c r="C248" s="165">
        <f>_xlfn.XLOOKUP(B248,'02_TrayPack_Order'!$A$2:$A$265,'02_TrayPack_Order'!$C$2:$C$265)</f>
        <v>0</v>
      </c>
      <c r="D248" s="166">
        <f>_xlfn.XLOOKUP(B248,'02_TrayPack_Order'!$A$2:$A$265,'02_TrayPack_Order'!$L$2:$L$265,0)</f>
        <v>0</v>
      </c>
      <c r="E248" s="165">
        <f>SUMIF('13_Progress_Track'!$A$2:$A$108,B248,'13_Progress_Track'!$E$2:$E$108)</f>
        <v>0</v>
      </c>
      <c r="F248" s="165">
        <f t="shared" si="18"/>
        <v>0</v>
      </c>
      <c r="G248" s="167">
        <f t="shared" si="19"/>
        <v>0</v>
      </c>
      <c r="H248" s="138">
        <f>_xlfn.IFNA(_xlfn.XLOOKUP(B248,'00_SKU_Master'!$B$2:$B$378,'00_SKU_Master'!$C$2:$C$378),"")</f>
        <v>61072</v>
      </c>
      <c r="I248" s="169"/>
      <c r="J248" s="14" t="str">
        <f>_xlfn.IFNA(_xlfn.XLOOKUP(B248,'00_SKU_Master'!B$2:B$378,'00_SKU_Master'!H$2:H$378,0),"")</f>
        <v>LT 8XP</v>
      </c>
      <c r="K248" s="14" t="str">
        <f>_xlfn.IFNA(_xlfn.XLOOKUP(B248,'00_SKU_Master'!B$2:B$378,'00_SKU_Master'!K$2:K$378,0),"")</f>
        <v>Fast</v>
      </c>
      <c r="L248" s="138" t="str">
        <f>_xlfn.XLOOKUP(B248,'00_SKU_Master'!$B$2:$B$378,'00_SKU_Master'!$D$2:$D$378)</f>
        <v>FB</v>
      </c>
      <c r="M248" s="138">
        <f t="shared" si="20"/>
        <v>0</v>
      </c>
      <c r="N248" t="str">
        <f>IFERROR(_xlfn.XLOOKUP(B248,'00_SKU_Master'!$B$2:$B$378,'00_SKU_Master'!$E$2:$E$378,""),"")</f>
        <v>Drum</v>
      </c>
      <c r="O248">
        <f>IFERROR(_xlfn.XLOOKUP(B248,'00_SKU_Master'!$B$2:$B$378,'00_SKU_Master'!$F$2:$F$378,0),0)</f>
        <v>0</v>
      </c>
      <c r="P248">
        <f>IFERROR(_xlfn.XLOOKUP(N248,'00_Yield_Rates'!$B$2:$B$33,'00_Yield_Rates'!$E$2:$E$33,0)/100,0)</f>
        <v>0.128</v>
      </c>
      <c r="Q248">
        <f t="shared" si="21"/>
        <v>0</v>
      </c>
      <c r="R248">
        <f t="shared" si="22"/>
        <v>0</v>
      </c>
      <c r="S248">
        <f t="shared" si="23"/>
        <v>0</v>
      </c>
    </row>
    <row r="249" spans="1:19">
      <c r="A249" s="138" t="str">
        <f>'00_SKU_Master'!J341</f>
        <v>MS ZH FRY WOG AC TI 3XP PP</v>
      </c>
      <c r="B249" s="138">
        <f>'00_SKU_Master'!B341</f>
        <v>200738</v>
      </c>
      <c r="C249" s="165">
        <f>_xlfn.XLOOKUP(B249,'02_TrayPack_Order'!$A$2:$A$265,'02_TrayPack_Order'!$C$2:$C$265)</f>
        <v>0</v>
      </c>
      <c r="D249" s="166">
        <f>_xlfn.XLOOKUP(B249,'02_TrayPack_Order'!$A$2:$A$265,'02_TrayPack_Order'!$L$2:$L$265,0)</f>
        <v>0</v>
      </c>
      <c r="E249" s="165">
        <f>SUMIF('13_Progress_Track'!$A$2:$A$108,B249,'13_Progress_Track'!$E$2:$E$108)</f>
        <v>0</v>
      </c>
      <c r="F249" s="165">
        <f t="shared" si="18"/>
        <v>0</v>
      </c>
      <c r="G249" s="167">
        <f t="shared" si="19"/>
        <v>0</v>
      </c>
      <c r="H249" s="138">
        <f>_xlfn.IFNA(_xlfn.XLOOKUP(B249,'00_SKU_Master'!$B$2:$B$378,'00_SKU_Master'!$C$2:$C$378),"")</f>
        <v>203021</v>
      </c>
      <c r="I249" s="169"/>
      <c r="J249" s="14" t="str">
        <f>_xlfn.IFNA(_xlfn.XLOOKUP(B249,'00_SKU_Master'!B$2:B$378,'00_SKU_Master'!H$2:H$378,0),"")</f>
        <v>ST 3XP</v>
      </c>
      <c r="K249" s="14" t="str">
        <f>_xlfn.IFNA(_xlfn.XLOOKUP(B249,'00_SKU_Master'!B$2:B$378,'00_SKU_Master'!K$2:K$378,0),"")</f>
        <v>Fast</v>
      </c>
      <c r="L249" s="138" t="str">
        <f>_xlfn.XLOOKUP(B249,'00_SKU_Master'!$B$2:$B$378,'00_SKU_Master'!$D$2:$D$378)</f>
        <v>FB</v>
      </c>
      <c r="M249" s="138">
        <f t="shared" si="20"/>
        <v>0</v>
      </c>
      <c r="N249" t="str">
        <f>IFERROR(_xlfn.XLOOKUP(B249,'00_SKU_Master'!$B$2:$B$378,'00_SKU_Master'!$E$2:$E$378,""),"")</f>
        <v>Whole Bird-Small</v>
      </c>
      <c r="O249">
        <f>IFERROR(_xlfn.XLOOKUP(B249,'00_SKU_Master'!$B$2:$B$378,'00_SKU_Master'!$F$2:$F$378,0),0)</f>
        <v>0</v>
      </c>
      <c r="P249">
        <f>IFERROR(_xlfn.XLOOKUP(N249,'00_Yield_Rates'!$B$2:$B$33,'00_Yield_Rates'!$E$2:$E$33,0)/100,0)</f>
        <v>0</v>
      </c>
      <c r="Q249">
        <f t="shared" si="21"/>
        <v>0</v>
      </c>
      <c r="R249">
        <f t="shared" si="22"/>
        <v>0</v>
      </c>
      <c r="S249">
        <f t="shared" si="23"/>
        <v>0</v>
      </c>
    </row>
    <row r="250" spans="1:19">
      <c r="A250" s="138" t="str">
        <f>'00_SKU_Master'!J342</f>
        <v>MS HA BSHB AC 3D SHP</v>
      </c>
      <c r="B250" s="138">
        <f>'00_SKU_Master'!B342</f>
        <v>200745</v>
      </c>
      <c r="C250" s="165">
        <f>_xlfn.XLOOKUP(B250,'02_TrayPack_Order'!$A$2:$A$265,'02_TrayPack_Order'!$C$2:$C$265)</f>
        <v>0</v>
      </c>
      <c r="D250" s="166">
        <f>_xlfn.XLOOKUP(B250,'02_TrayPack_Order'!$A$2:$A$265,'02_TrayPack_Order'!$L$2:$L$265,0)</f>
        <v>0</v>
      </c>
      <c r="E250" s="165">
        <f>SUMIF('13_Progress_Track'!$A$2:$A$108,B250,'13_Progress_Track'!$E$2:$E$108)</f>
        <v>0</v>
      </c>
      <c r="F250" s="165">
        <f t="shared" si="18"/>
        <v>0</v>
      </c>
      <c r="G250" s="167">
        <f t="shared" si="19"/>
        <v>0</v>
      </c>
      <c r="H250" s="138" t="str">
        <f>_xlfn.IFNA(_xlfn.XLOOKUP(B250,'00_SKU_Master'!$B$2:$B$378,'00_SKU_Master'!$C$2:$C$378),"")</f>
        <v>61050F</v>
      </c>
      <c r="I250" s="169"/>
      <c r="J250" s="14" t="str">
        <f>_xlfn.IFNA(_xlfn.XLOOKUP(B250,'00_SKU_Master'!B$2:B$378,'00_SKU_Master'!H$2:H$378,0),"")</f>
        <v>ST 3D</v>
      </c>
      <c r="K250" s="14" t="str">
        <f>_xlfn.IFNA(_xlfn.XLOOKUP(B250,'00_SKU_Master'!B$2:B$378,'00_SKU_Master'!K$2:K$378,0),"")</f>
        <v>Fast</v>
      </c>
      <c r="L250" s="138" t="str">
        <f>_xlfn.XLOOKUP(B250,'00_SKU_Master'!$B$2:$B$378,'00_SKU_Master'!$D$2:$D$378)</f>
        <v>SHP</v>
      </c>
      <c r="M250" s="138">
        <f t="shared" si="20"/>
        <v>0</v>
      </c>
      <c r="N250" t="str">
        <f>IFERROR(_xlfn.XLOOKUP(B250,'00_SKU_Master'!$B$2:$B$378,'00_SKU_Master'!$E$2:$E$378,""),"")</f>
        <v>BSB</v>
      </c>
      <c r="O250">
        <f>IFERROR(_xlfn.XLOOKUP(B250,'00_SKU_Master'!$B$2:$B$378,'00_SKU_Master'!$F$2:$F$378,0),0)</f>
        <v>3.2316666666666669</v>
      </c>
      <c r="P250">
        <f>IFERROR(_xlfn.XLOOKUP(N250,'00_Yield_Rates'!$B$2:$B$33,'00_Yield_Rates'!$E$2:$E$33,0)/100,0)</f>
        <v>0.31</v>
      </c>
      <c r="Q250">
        <f t="shared" si="21"/>
        <v>0</v>
      </c>
      <c r="R250">
        <f t="shared" si="22"/>
        <v>0</v>
      </c>
      <c r="S250">
        <f t="shared" si="23"/>
        <v>0</v>
      </c>
    </row>
    <row r="251" spans="1:19">
      <c r="A251" s="138" t="str">
        <f>'00_SKU_Master'!J343</f>
        <v>MS HA THIGH AC 3D SHP</v>
      </c>
      <c r="B251" s="138">
        <f>'00_SKU_Master'!B343</f>
        <v>200746</v>
      </c>
      <c r="C251" s="165">
        <f>_xlfn.XLOOKUP(B251,'02_TrayPack_Order'!$A$2:$A$265,'02_TrayPack_Order'!$C$2:$C$265)</f>
        <v>0</v>
      </c>
      <c r="D251" s="166">
        <f>_xlfn.XLOOKUP(B251,'02_TrayPack_Order'!$A$2:$A$265,'02_TrayPack_Order'!$L$2:$L$265,0)</f>
        <v>0</v>
      </c>
      <c r="E251" s="165">
        <f>SUMIF('13_Progress_Track'!$A$2:$A$108,B251,'13_Progress_Track'!$E$2:$E$108)</f>
        <v>0</v>
      </c>
      <c r="F251" s="165">
        <f t="shared" si="18"/>
        <v>0</v>
      </c>
      <c r="G251" s="167">
        <f t="shared" si="19"/>
        <v>0</v>
      </c>
      <c r="H251" s="138">
        <f>_xlfn.IFNA(_xlfn.XLOOKUP(B251,'00_SKU_Master'!$B$2:$B$378,'00_SKU_Master'!$C$2:$C$378),"")</f>
        <v>61077</v>
      </c>
      <c r="I251" s="169"/>
      <c r="J251" s="14" t="str">
        <f>_xlfn.IFNA(_xlfn.XLOOKUP(B251,'00_SKU_Master'!B$2:B$378,'00_SKU_Master'!H$2:H$378,0),"")</f>
        <v>ST 3D</v>
      </c>
      <c r="K251" s="14" t="str">
        <f>_xlfn.IFNA(_xlfn.XLOOKUP(B251,'00_SKU_Master'!B$2:B$378,'00_SKU_Master'!K$2:K$378,0),"")</f>
        <v>Fast</v>
      </c>
      <c r="L251" s="138" t="str">
        <f>_xlfn.XLOOKUP(B251,'00_SKU_Master'!$B$2:$B$378,'00_SKU_Master'!$D$2:$D$378)</f>
        <v>SHP</v>
      </c>
      <c r="M251" s="138">
        <f t="shared" si="20"/>
        <v>0</v>
      </c>
      <c r="N251" t="str">
        <f>IFERROR(_xlfn.XLOOKUP(B251,'00_SKU_Master'!$B$2:$B$378,'00_SKU_Master'!$E$2:$E$378,""),"")</f>
        <v>Thigh</v>
      </c>
      <c r="O251">
        <f>IFERROR(_xlfn.XLOOKUP(B251,'00_SKU_Master'!$B$2:$B$378,'00_SKU_Master'!$F$2:$F$378,0),0)</f>
        <v>4.1749999999999998</v>
      </c>
      <c r="P251">
        <f>IFERROR(_xlfn.XLOOKUP(N251,'00_Yield_Rates'!$B$2:$B$33,'00_Yield_Rates'!$E$2:$E$33,0)/100,0)</f>
        <v>0.191</v>
      </c>
      <c r="Q251">
        <f t="shared" si="21"/>
        <v>0</v>
      </c>
      <c r="R251">
        <f t="shared" si="22"/>
        <v>0</v>
      </c>
      <c r="S251">
        <f t="shared" si="23"/>
        <v>0</v>
      </c>
    </row>
    <row r="252" spans="1:19">
      <c r="A252" s="138" t="str">
        <f>'00_SKU_Master'!J344</f>
        <v>MS HA BSTHIGH AC 3D SHP</v>
      </c>
      <c r="B252" s="138">
        <f>'00_SKU_Master'!B344</f>
        <v>200747</v>
      </c>
      <c r="C252" s="165">
        <f>_xlfn.XLOOKUP(B252,'02_TrayPack_Order'!$A$2:$A$265,'02_TrayPack_Order'!$C$2:$C$265)</f>
        <v>0</v>
      </c>
      <c r="D252" s="166">
        <f>_xlfn.XLOOKUP(B252,'02_TrayPack_Order'!$A$2:$A$265,'02_TrayPack_Order'!$L$2:$L$265,0)</f>
        <v>0</v>
      </c>
      <c r="E252" s="165">
        <f>SUMIF('13_Progress_Track'!$A$2:$A$108,B252,'13_Progress_Track'!$E$2:$E$108)</f>
        <v>0</v>
      </c>
      <c r="F252" s="165">
        <f t="shared" si="18"/>
        <v>0</v>
      </c>
      <c r="G252" s="167">
        <f t="shared" si="19"/>
        <v>0</v>
      </c>
      <c r="H252" s="138" t="str">
        <f>_xlfn.IFNA(_xlfn.XLOOKUP(B252,'00_SKU_Master'!$B$2:$B$378,'00_SKU_Master'!$C$2:$C$378),"")</f>
        <v>61086F</v>
      </c>
      <c r="I252" s="169"/>
      <c r="J252" s="14" t="str">
        <f>_xlfn.IFNA(_xlfn.XLOOKUP(B252,'00_SKU_Master'!B$2:B$378,'00_SKU_Master'!H$2:H$378,0),"")</f>
        <v>ST 3D</v>
      </c>
      <c r="K252" s="14" t="str">
        <f>_xlfn.IFNA(_xlfn.XLOOKUP(B252,'00_SKU_Master'!B$2:B$378,'00_SKU_Master'!K$2:K$378,0),"")</f>
        <v>Slow</v>
      </c>
      <c r="L252" s="138" t="str">
        <f>_xlfn.XLOOKUP(B252,'00_SKU_Master'!$B$2:$B$378,'00_SKU_Master'!$D$2:$D$378)</f>
        <v>SHP</v>
      </c>
      <c r="M252" s="138">
        <f t="shared" si="20"/>
        <v>0</v>
      </c>
      <c r="N252" t="str">
        <f>IFERROR(_xlfn.XLOOKUP(B252,'00_SKU_Master'!$B$2:$B$378,'00_SKU_Master'!$E$2:$E$378,""),"")</f>
        <v>ThighMeat</v>
      </c>
      <c r="O252">
        <f>IFERROR(_xlfn.XLOOKUP(B252,'00_SKU_Master'!$B$2:$B$378,'00_SKU_Master'!$F$2:$F$378,0),0)</f>
        <v>3.4783333333333331</v>
      </c>
      <c r="P252">
        <f>IFERROR(_xlfn.XLOOKUP(N252,'00_Yield_Rates'!$B$2:$B$33,'00_Yield_Rates'!$E$2:$E$33,0)/100,0)</f>
        <v>0.105</v>
      </c>
      <c r="Q252">
        <f t="shared" si="21"/>
        <v>0</v>
      </c>
      <c r="R252">
        <f t="shared" si="22"/>
        <v>0</v>
      </c>
      <c r="S252">
        <f t="shared" si="23"/>
        <v>0</v>
      </c>
    </row>
    <row r="253" spans="1:19">
      <c r="A253" s="138" t="str">
        <f>'00_SKU_Master'!J345</f>
        <v>MS HA DRUM AC 3D SHP</v>
      </c>
      <c r="B253" s="138">
        <f>'00_SKU_Master'!B345</f>
        <v>200748</v>
      </c>
      <c r="C253" s="165">
        <f>_xlfn.XLOOKUP(B253,'02_TrayPack_Order'!$A$2:$A$265,'02_TrayPack_Order'!$C$2:$C$265)</f>
        <v>0</v>
      </c>
      <c r="D253" s="166">
        <f>_xlfn.XLOOKUP(B253,'02_TrayPack_Order'!$A$2:$A$265,'02_TrayPack_Order'!$L$2:$L$265,0)</f>
        <v>0</v>
      </c>
      <c r="E253" s="165">
        <f>SUMIF('13_Progress_Track'!$A$2:$A$108,B253,'13_Progress_Track'!$E$2:$E$108)</f>
        <v>0</v>
      </c>
      <c r="F253" s="165">
        <f t="shared" si="18"/>
        <v>0</v>
      </c>
      <c r="G253" s="167">
        <f t="shared" si="19"/>
        <v>0</v>
      </c>
      <c r="H253" s="138">
        <f>_xlfn.IFNA(_xlfn.XLOOKUP(B253,'00_SKU_Master'!$B$2:$B$378,'00_SKU_Master'!$C$2:$C$378),"")</f>
        <v>61072</v>
      </c>
      <c r="I253" s="169"/>
      <c r="J253" s="14" t="str">
        <f>_xlfn.IFNA(_xlfn.XLOOKUP(B253,'00_SKU_Master'!B$2:B$378,'00_SKU_Master'!H$2:H$378,0),"")</f>
        <v>ST 3D</v>
      </c>
      <c r="K253" s="14" t="str">
        <f>_xlfn.IFNA(_xlfn.XLOOKUP(B253,'00_SKU_Master'!B$2:B$378,'00_SKU_Master'!K$2:K$378,0),"")</f>
        <v>Fast</v>
      </c>
      <c r="L253" s="138" t="str">
        <f>_xlfn.XLOOKUP(B253,'00_SKU_Master'!$B$2:$B$378,'00_SKU_Master'!$D$2:$D$378)</f>
        <v>SHP</v>
      </c>
      <c r="M253" s="138">
        <f t="shared" si="20"/>
        <v>0</v>
      </c>
      <c r="N253" t="str">
        <f>IFERROR(_xlfn.XLOOKUP(B253,'00_SKU_Master'!$B$2:$B$378,'00_SKU_Master'!$E$2:$E$378,""),"")</f>
        <v>Drum</v>
      </c>
      <c r="O253">
        <f>IFERROR(_xlfn.XLOOKUP(B253,'00_SKU_Master'!$B$2:$B$378,'00_SKU_Master'!$F$2:$F$378,0),0)</f>
        <v>3.6074999999999999</v>
      </c>
      <c r="P253">
        <f>IFERROR(_xlfn.XLOOKUP(N253,'00_Yield_Rates'!$B$2:$B$33,'00_Yield_Rates'!$E$2:$E$33,0)/100,0)</f>
        <v>0.128</v>
      </c>
      <c r="Q253">
        <f t="shared" si="21"/>
        <v>0</v>
      </c>
      <c r="R253">
        <f t="shared" si="22"/>
        <v>0</v>
      </c>
      <c r="S253">
        <f t="shared" si="23"/>
        <v>0</v>
      </c>
    </row>
    <row r="254" spans="1:19">
      <c r="A254" s="138" t="str">
        <f>'00_SKU_Master'!J346</f>
        <v>MB COS HA THIGH AC</v>
      </c>
      <c r="B254" s="138">
        <f>'00_SKU_Master'!B346</f>
        <v>201851</v>
      </c>
      <c r="C254" s="165">
        <f>_xlfn.XLOOKUP(B254,'02_TrayPack_Order'!$A$2:$A$265,'02_TrayPack_Order'!$C$2:$C$265)</f>
        <v>0</v>
      </c>
      <c r="D254" s="166">
        <f>_xlfn.XLOOKUP(B254,'02_TrayPack_Order'!$A$2:$A$265,'02_TrayPack_Order'!$L$2:$L$265,0)</f>
        <v>0</v>
      </c>
      <c r="E254" s="165">
        <f>SUMIF('13_Progress_Track'!$A$2:$A$108,B254,'13_Progress_Track'!$E$2:$E$108)</f>
        <v>0</v>
      </c>
      <c r="F254" s="165">
        <f t="shared" si="18"/>
        <v>0</v>
      </c>
      <c r="G254" s="167">
        <f t="shared" si="19"/>
        <v>0</v>
      </c>
      <c r="H254" s="138">
        <f>_xlfn.IFNA(_xlfn.XLOOKUP(B254,'00_SKU_Master'!$B$2:$B$378,'00_SKU_Master'!$C$2:$C$378),"")</f>
        <v>61078</v>
      </c>
      <c r="I254" s="169"/>
      <c r="J254" s="14" t="str">
        <f>_xlfn.IFNA(_xlfn.XLOOKUP(B254,'00_SKU_Master'!B$2:B$378,'00_SKU_Master'!H$2:H$378,0),"")</f>
        <v>LT 14D</v>
      </c>
      <c r="K254" s="14" t="str">
        <f>_xlfn.IFNA(_xlfn.XLOOKUP(B254,'00_SKU_Master'!B$2:B$378,'00_SKU_Master'!K$2:K$378,0),"")</f>
        <v>Fast</v>
      </c>
      <c r="L254" s="138" t="str">
        <f>_xlfn.XLOOKUP(B254,'00_SKU_Master'!$B$2:$B$378,'00_SKU_Master'!$D$2:$D$378)</f>
        <v>COSTCO</v>
      </c>
      <c r="M254" s="138">
        <f t="shared" si="20"/>
        <v>0</v>
      </c>
      <c r="N254" t="str">
        <f>IFERROR(_xlfn.XLOOKUP(B254,'00_SKU_Master'!$B$2:$B$378,'00_SKU_Master'!$E$2:$E$378,""),"")</f>
        <v>Thigh</v>
      </c>
      <c r="O254">
        <f>IFERROR(_xlfn.XLOOKUP(B254,'00_SKU_Master'!$B$2:$B$378,'00_SKU_Master'!$F$2:$F$378,0),0)</f>
        <v>20.395613023255802</v>
      </c>
      <c r="P254">
        <f>IFERROR(_xlfn.XLOOKUP(N254,'00_Yield_Rates'!$B$2:$B$33,'00_Yield_Rates'!$E$2:$E$33,0)/100,0)</f>
        <v>0.191</v>
      </c>
      <c r="Q254">
        <f t="shared" si="21"/>
        <v>0</v>
      </c>
      <c r="R254">
        <f t="shared" si="22"/>
        <v>0</v>
      </c>
      <c r="S254">
        <f t="shared" si="23"/>
        <v>0</v>
      </c>
    </row>
    <row r="255" spans="1:19">
      <c r="A255" s="138" t="str">
        <f>'00_SKU_Master'!J347</f>
        <v>MB COS HA BSHB AC</v>
      </c>
      <c r="B255" s="138">
        <f>'00_SKU_Master'!B347</f>
        <v>201853</v>
      </c>
      <c r="C255" s="165">
        <f>_xlfn.XLOOKUP(B255,'02_TrayPack_Order'!$A$2:$A$265,'02_TrayPack_Order'!$C$2:$C$265)</f>
        <v>805</v>
      </c>
      <c r="D255" s="166">
        <f>_xlfn.XLOOKUP(B255,'02_TrayPack_Order'!$A$2:$A$265,'02_TrayPack_Order'!$L$2:$L$265,0)</f>
        <v>0</v>
      </c>
      <c r="E255" s="165">
        <f>SUMIF('13_Progress_Track'!$A$2:$A$108,B255,'13_Progress_Track'!$E$2:$E$108)</f>
        <v>0</v>
      </c>
      <c r="F255" s="165">
        <f t="shared" si="18"/>
        <v>0</v>
      </c>
      <c r="G255" s="167">
        <f t="shared" si="19"/>
        <v>805</v>
      </c>
      <c r="H255" s="138" t="str">
        <f>_xlfn.IFNA(_xlfn.XLOOKUP(B255,'00_SKU_Master'!$B$2:$B$378,'00_SKU_Master'!$C$2:$C$378),"")</f>
        <v>61050C</v>
      </c>
      <c r="I255" s="169"/>
      <c r="J255" s="14" t="str">
        <f>_xlfn.IFNA(_xlfn.XLOOKUP(B255,'00_SKU_Master'!B$2:B$378,'00_SKU_Master'!H$2:H$378,0),"")</f>
        <v>LT 14D</v>
      </c>
      <c r="K255" s="14" t="str">
        <f>_xlfn.IFNA(_xlfn.XLOOKUP(B255,'00_SKU_Master'!B$2:B$378,'00_SKU_Master'!K$2:K$378,0),"")</f>
        <v>Fast</v>
      </c>
      <c r="L255" s="138" t="str">
        <f>_xlfn.XLOOKUP(B255,'00_SKU_Master'!$B$2:$B$378,'00_SKU_Master'!$D$2:$D$378)</f>
        <v>COSTCO</v>
      </c>
      <c r="M255" s="138">
        <f t="shared" si="20"/>
        <v>805</v>
      </c>
      <c r="N255" t="str">
        <f>IFERROR(_xlfn.XLOOKUP(B255,'00_SKU_Master'!$B$2:$B$378,'00_SKU_Master'!$E$2:$E$378,""),"")</f>
        <v>SplitBreast</v>
      </c>
      <c r="O255">
        <f>IFERROR(_xlfn.XLOOKUP(B255,'00_SKU_Master'!$B$2:$B$378,'00_SKU_Master'!$F$2:$F$378,0),0)</f>
        <v>12.9150411673895</v>
      </c>
      <c r="P255">
        <f>IFERROR(_xlfn.XLOOKUP(N255,'00_Yield_Rates'!$B$2:$B$33,'00_Yield_Rates'!$E$2:$E$33,0)/100,0)</f>
        <v>0.43</v>
      </c>
      <c r="Q255">
        <f t="shared" si="21"/>
        <v>10396.608139748547</v>
      </c>
      <c r="R255">
        <f t="shared" si="22"/>
        <v>24178.158464531505</v>
      </c>
      <c r="S255">
        <f t="shared" si="23"/>
        <v>35.6</v>
      </c>
    </row>
    <row r="256" spans="1:19">
      <c r="A256" s="138" t="str">
        <f>'00_SKU_Master'!J348</f>
        <v>MB COS HA BSTHIGH AC</v>
      </c>
      <c r="B256" s="138">
        <f>'00_SKU_Master'!B348</f>
        <v>201854</v>
      </c>
      <c r="C256" s="165">
        <f>_xlfn.XLOOKUP(B256,'02_TrayPack_Order'!$A$2:$A$265,'02_TrayPack_Order'!$C$2:$C$265)</f>
        <v>0</v>
      </c>
      <c r="D256" s="166">
        <f>_xlfn.XLOOKUP(B256,'02_TrayPack_Order'!$A$2:$A$265,'02_TrayPack_Order'!$L$2:$L$265,0)</f>
        <v>0</v>
      </c>
      <c r="E256" s="165">
        <f>SUMIF('13_Progress_Track'!$A$2:$A$108,B256,'13_Progress_Track'!$E$2:$E$108)</f>
        <v>0</v>
      </c>
      <c r="F256" s="165">
        <f t="shared" si="18"/>
        <v>0</v>
      </c>
      <c r="G256" s="167">
        <f t="shared" si="19"/>
        <v>0</v>
      </c>
      <c r="H256" s="138" t="str">
        <f>_xlfn.IFNA(_xlfn.XLOOKUP(B256,'00_SKU_Master'!$B$2:$B$378,'00_SKU_Master'!$C$2:$C$378),"")</f>
        <v>61086C</v>
      </c>
      <c r="I256" s="169"/>
      <c r="J256" s="14" t="str">
        <f>_xlfn.IFNA(_xlfn.XLOOKUP(B256,'00_SKU_Master'!B$2:B$378,'00_SKU_Master'!H$2:H$378,0),"")</f>
        <v>LT 14D</v>
      </c>
      <c r="K256" s="14" t="str">
        <f>_xlfn.IFNA(_xlfn.XLOOKUP(B256,'00_SKU_Master'!B$2:B$378,'00_SKU_Master'!K$2:K$378,0),"")</f>
        <v>Slow</v>
      </c>
      <c r="L256" s="138" t="str">
        <f>_xlfn.XLOOKUP(B256,'00_SKU_Master'!$B$2:$B$378,'00_SKU_Master'!$D$2:$D$378)</f>
        <v>COSTCO</v>
      </c>
      <c r="M256" s="138">
        <f t="shared" si="20"/>
        <v>0</v>
      </c>
      <c r="N256" t="str">
        <f>IFERROR(_xlfn.XLOOKUP(B256,'00_SKU_Master'!$B$2:$B$378,'00_SKU_Master'!$E$2:$E$378,""),"")</f>
        <v>ThighMeat</v>
      </c>
      <c r="O256">
        <f>IFERROR(_xlfn.XLOOKUP(B256,'00_SKU_Master'!$B$2:$B$378,'00_SKU_Master'!$F$2:$F$378,0),0)</f>
        <v>11.996411544824999</v>
      </c>
      <c r="P256">
        <f>IFERROR(_xlfn.XLOOKUP(N256,'00_Yield_Rates'!$B$2:$B$33,'00_Yield_Rates'!$E$2:$E$33,0)/100,0)</f>
        <v>0.105</v>
      </c>
      <c r="Q256">
        <f t="shared" si="21"/>
        <v>0</v>
      </c>
      <c r="R256">
        <f t="shared" si="22"/>
        <v>0</v>
      </c>
      <c r="S256">
        <f t="shared" si="23"/>
        <v>0</v>
      </c>
    </row>
    <row r="257" spans="1:19">
      <c r="A257" s="138" t="str">
        <f>'00_SKU_Master'!J349</f>
        <v>MB COS HA DRUMS AC</v>
      </c>
      <c r="B257" s="138">
        <f>'00_SKU_Master'!B349</f>
        <v>201855</v>
      </c>
      <c r="C257" s="165">
        <f>_xlfn.XLOOKUP(B257,'02_TrayPack_Order'!$A$2:$A$265,'02_TrayPack_Order'!$C$2:$C$265)</f>
        <v>0</v>
      </c>
      <c r="D257" s="166">
        <f>_xlfn.XLOOKUP(B257,'02_TrayPack_Order'!$A$2:$A$265,'02_TrayPack_Order'!$L$2:$L$265,0)</f>
        <v>0</v>
      </c>
      <c r="E257" s="165">
        <f>SUMIF('13_Progress_Track'!$A$2:$A$108,B257,'13_Progress_Track'!$E$2:$E$108)</f>
        <v>0</v>
      </c>
      <c r="F257" s="165">
        <f t="shared" si="18"/>
        <v>0</v>
      </c>
      <c r="G257" s="167">
        <f t="shared" si="19"/>
        <v>0</v>
      </c>
      <c r="H257" s="138">
        <f>_xlfn.IFNA(_xlfn.XLOOKUP(B257,'00_SKU_Master'!$B$2:$B$378,'00_SKU_Master'!$C$2:$C$378),"")</f>
        <v>61072</v>
      </c>
      <c r="I257" s="169"/>
      <c r="J257" s="14" t="str">
        <f>_xlfn.IFNA(_xlfn.XLOOKUP(B257,'00_SKU_Master'!B$2:B$378,'00_SKU_Master'!H$2:H$378,0),"")</f>
        <v>LT 14D</v>
      </c>
      <c r="K257" s="14" t="str">
        <f>_xlfn.IFNA(_xlfn.XLOOKUP(B257,'00_SKU_Master'!B$2:B$378,'00_SKU_Master'!K$2:K$378,0),"")</f>
        <v>Fast</v>
      </c>
      <c r="L257" s="138" t="str">
        <f>_xlfn.XLOOKUP(B257,'00_SKU_Master'!$B$2:$B$378,'00_SKU_Master'!$D$2:$D$378)</f>
        <v>COSTCO</v>
      </c>
      <c r="M257" s="138">
        <f t="shared" si="20"/>
        <v>0</v>
      </c>
      <c r="N257" t="str">
        <f>IFERROR(_xlfn.XLOOKUP(B257,'00_SKU_Master'!$B$2:$B$378,'00_SKU_Master'!$E$2:$E$378,""),"")</f>
        <v>Drum</v>
      </c>
      <c r="O257">
        <f>IFERROR(_xlfn.XLOOKUP(B257,'00_SKU_Master'!$B$2:$B$378,'00_SKU_Master'!$F$2:$F$378,0),0)</f>
        <v>16.608195976638498</v>
      </c>
      <c r="P257">
        <f>IFERROR(_xlfn.XLOOKUP(N257,'00_Yield_Rates'!$B$2:$B$33,'00_Yield_Rates'!$E$2:$E$33,0)/100,0)</f>
        <v>0.128</v>
      </c>
      <c r="Q257">
        <f t="shared" si="21"/>
        <v>0</v>
      </c>
      <c r="R257">
        <f t="shared" si="22"/>
        <v>0</v>
      </c>
      <c r="S257">
        <f t="shared" si="23"/>
        <v>0</v>
      </c>
    </row>
    <row r="258" spans="1:19">
      <c r="A258" s="138" t="str">
        <f>'00_SKU_Master'!J350</f>
        <v>MB COS HA SPLIT WING AC</v>
      </c>
      <c r="B258" s="138">
        <f>'00_SKU_Master'!B350</f>
        <v>201856</v>
      </c>
      <c r="C258" s="165">
        <f>_xlfn.XLOOKUP(B258,'02_TrayPack_Order'!$A$2:$A$265,'02_TrayPack_Order'!$C$2:$C$265)</f>
        <v>95</v>
      </c>
      <c r="D258" s="166">
        <f>_xlfn.XLOOKUP(B258,'02_TrayPack_Order'!$A$2:$A$265,'02_TrayPack_Order'!$L$2:$L$265,0)</f>
        <v>0</v>
      </c>
      <c r="E258" s="165">
        <f>SUMIF('13_Progress_Track'!$A$2:$A$108,B258,'13_Progress_Track'!$E$2:$E$108)</f>
        <v>0</v>
      </c>
      <c r="F258" s="165">
        <f t="shared" ref="F258:F264" si="24">IF(E258&gt;(C258+D258),(E258-(C258+D258)),0)</f>
        <v>0</v>
      </c>
      <c r="G258" s="167">
        <f t="shared" ref="G258:G264" si="25">IF(F258&gt;0,0,C258+D258-E258)</f>
        <v>95</v>
      </c>
      <c r="H258" s="138">
        <f>_xlfn.IFNA(_xlfn.XLOOKUP(B258,'00_SKU_Master'!$B$2:$B$378,'00_SKU_Master'!$C$2:$C$378),"")</f>
        <v>61014</v>
      </c>
      <c r="I258" s="169"/>
      <c r="J258" s="14" t="str">
        <f>_xlfn.IFNA(_xlfn.XLOOKUP(B258,'00_SKU_Master'!B$2:B$378,'00_SKU_Master'!H$2:H$378,0),"")</f>
        <v>LT 14D</v>
      </c>
      <c r="K258" s="14" t="str">
        <f>_xlfn.IFNA(_xlfn.XLOOKUP(B258,'00_SKU_Master'!B$2:B$378,'00_SKU_Master'!K$2:K$378,0),"")</f>
        <v>Slow</v>
      </c>
      <c r="L258" s="138" t="str">
        <f>_xlfn.XLOOKUP(B258,'00_SKU_Master'!$B$2:$B$378,'00_SKU_Master'!$D$2:$D$378)</f>
        <v>COSTCO</v>
      </c>
      <c r="M258" s="138">
        <f t="shared" ref="M258:M264" si="26">IF((C258-E258)&lt;0,0,C258-E258)</f>
        <v>95</v>
      </c>
      <c r="N258" t="str">
        <f>IFERROR(_xlfn.XLOOKUP(B258,'00_SKU_Master'!$B$2:$B$378,'00_SKU_Master'!$E$2:$E$378,""),"")</f>
        <v>SplitWing</v>
      </c>
      <c r="O258">
        <f>IFERROR(_xlfn.XLOOKUP(B258,'00_SKU_Master'!$B$2:$B$378,'00_SKU_Master'!$F$2:$F$378,0),0)</f>
        <v>13.193755725190799</v>
      </c>
      <c r="P258">
        <f>IFERROR(_xlfn.XLOOKUP(N258,'00_Yield_Rates'!$B$2:$B$33,'00_Yield_Rates'!$E$2:$E$33,0)/100,0)</f>
        <v>9.6000000000000002E-2</v>
      </c>
      <c r="Q258">
        <f t="shared" ref="Q258:Q321" si="27">IF(AND(ISNUMBER(M258),ISNUMBER(O258)),M258*O258,0)</f>
        <v>1253.406793893126</v>
      </c>
      <c r="R258">
        <f t="shared" ref="R258:R321" si="28">IF(AND(ISNUMBER(Q258),P258&gt;0),Q258/P258,0)</f>
        <v>13056.320769720061</v>
      </c>
      <c r="S258">
        <f t="shared" ref="S258:S321" si="29">IF(R258&gt;0,ROUNDUP(R258/680,1),0)</f>
        <v>19.3</v>
      </c>
    </row>
    <row r="259" spans="1:19">
      <c r="A259" s="138" t="str">
        <f>'00_SKU_Master'!J351</f>
        <v>MS ZH THIGH AC LT PP BSK</v>
      </c>
      <c r="B259" s="138">
        <f>'00_SKU_Master'!B351</f>
        <v>207101</v>
      </c>
      <c r="C259" s="165">
        <f>_xlfn.XLOOKUP(B259,'02_TrayPack_Order'!$A$2:$A$265,'02_TrayPack_Order'!$C$2:$C$265)</f>
        <v>0</v>
      </c>
      <c r="D259" s="166">
        <f>_xlfn.XLOOKUP(B259,'02_TrayPack_Order'!$A$2:$A$265,'02_TrayPack_Order'!$L$2:$L$265,0)</f>
        <v>0</v>
      </c>
      <c r="E259" s="165">
        <f>SUMIF('13_Progress_Track'!$A$2:$A$108,B259,'13_Progress_Track'!$E$2:$E$108)</f>
        <v>0</v>
      </c>
      <c r="F259" s="165">
        <f t="shared" si="24"/>
        <v>0</v>
      </c>
      <c r="G259" s="167">
        <f t="shared" si="25"/>
        <v>0</v>
      </c>
      <c r="H259" s="138">
        <f>_xlfn.IFNA(_xlfn.XLOOKUP(B259,'00_SKU_Master'!$B$2:$B$378,'00_SKU_Master'!$C$2:$C$378),"")</f>
        <v>61077</v>
      </c>
      <c r="I259" s="169"/>
      <c r="J259" s="14" t="str">
        <f>_xlfn.IFNA(_xlfn.XLOOKUP(B259,'00_SKU_Master'!B$2:B$378,'00_SKU_Master'!H$2:H$378,0),"")</f>
        <v>LT 8XP</v>
      </c>
      <c r="K259" s="14" t="str">
        <f>_xlfn.IFNA(_xlfn.XLOOKUP(B259,'00_SKU_Master'!B$2:B$378,'00_SKU_Master'!K$2:K$378,0),"")</f>
        <v>Fast</v>
      </c>
      <c r="L259" s="138" t="str">
        <f>_xlfn.XLOOKUP(B259,'00_SKU_Master'!$B$2:$B$378,'00_SKU_Master'!$D$2:$D$378)</f>
        <v>LCL</v>
      </c>
      <c r="M259" s="138">
        <f t="shared" si="26"/>
        <v>0</v>
      </c>
      <c r="N259" t="str">
        <f>IFERROR(_xlfn.XLOOKUP(B259,'00_SKU_Master'!$B$2:$B$378,'00_SKU_Master'!$E$2:$E$378,""),"")</f>
        <v>Thigh</v>
      </c>
      <c r="O259">
        <f>IFERROR(_xlfn.XLOOKUP(B259,'00_SKU_Master'!$B$2:$B$378,'00_SKU_Master'!$F$2:$F$378,0),0)</f>
        <v>0</v>
      </c>
      <c r="P259">
        <f>IFERROR(_xlfn.XLOOKUP(N259,'00_Yield_Rates'!$B$2:$B$33,'00_Yield_Rates'!$E$2:$E$33,0)/100,0)</f>
        <v>0.191</v>
      </c>
      <c r="Q259">
        <f t="shared" si="27"/>
        <v>0</v>
      </c>
      <c r="R259">
        <f t="shared" si="28"/>
        <v>0</v>
      </c>
      <c r="S259">
        <f t="shared" si="29"/>
        <v>0</v>
      </c>
    </row>
    <row r="260" spans="1:19">
      <c r="A260" s="138" t="str">
        <f>'00_SKU_Master'!J352</f>
        <v>MS ZH DRUM AC LT PP BSK</v>
      </c>
      <c r="B260" s="138">
        <f>'00_SKU_Master'!B352</f>
        <v>207102</v>
      </c>
      <c r="C260" s="165">
        <f>_xlfn.XLOOKUP(B260,'02_TrayPack_Order'!$A$2:$A$265,'02_TrayPack_Order'!$C$2:$C$265)</f>
        <v>0</v>
      </c>
      <c r="D260" s="166">
        <f>_xlfn.XLOOKUP(B260,'02_TrayPack_Order'!$A$2:$A$265,'02_TrayPack_Order'!$L$2:$L$265,0)</f>
        <v>0</v>
      </c>
      <c r="E260" s="165">
        <f>SUMIF('13_Progress_Track'!$A$2:$A$108,B260,'13_Progress_Track'!$E$2:$E$108)</f>
        <v>0</v>
      </c>
      <c r="F260" s="165">
        <f t="shared" si="24"/>
        <v>0</v>
      </c>
      <c r="G260" s="167">
        <f t="shared" si="25"/>
        <v>0</v>
      </c>
      <c r="H260" s="138">
        <f>_xlfn.IFNA(_xlfn.XLOOKUP(B260,'00_SKU_Master'!$B$2:$B$378,'00_SKU_Master'!$C$2:$C$378),"")</f>
        <v>61072</v>
      </c>
      <c r="I260" s="169"/>
      <c r="J260" s="14" t="str">
        <f>_xlfn.IFNA(_xlfn.XLOOKUP(B260,'00_SKU_Master'!B$2:B$378,'00_SKU_Master'!H$2:H$378,0),"")</f>
        <v>LT 8XP</v>
      </c>
      <c r="K260" s="14" t="str">
        <f>_xlfn.IFNA(_xlfn.XLOOKUP(B260,'00_SKU_Master'!B$2:B$378,'00_SKU_Master'!K$2:K$378,0),"")</f>
        <v>Fast</v>
      </c>
      <c r="L260" s="138" t="str">
        <f>_xlfn.XLOOKUP(B260,'00_SKU_Master'!$B$2:$B$378,'00_SKU_Master'!$D$2:$D$378)</f>
        <v>LCL</v>
      </c>
      <c r="M260" s="138">
        <f t="shared" si="26"/>
        <v>0</v>
      </c>
      <c r="N260" t="str">
        <f>IFERROR(_xlfn.XLOOKUP(B260,'00_SKU_Master'!$B$2:$B$378,'00_SKU_Master'!$E$2:$E$378,""),"")</f>
        <v>Drum</v>
      </c>
      <c r="O260">
        <f>IFERROR(_xlfn.XLOOKUP(B260,'00_SKU_Master'!$B$2:$B$378,'00_SKU_Master'!$F$2:$F$378,0),0)</f>
        <v>0</v>
      </c>
      <c r="P260">
        <f>IFERROR(_xlfn.XLOOKUP(N260,'00_Yield_Rates'!$B$2:$B$33,'00_Yield_Rates'!$E$2:$E$33,0)/100,0)</f>
        <v>0.128</v>
      </c>
      <c r="Q260">
        <f t="shared" si="27"/>
        <v>0</v>
      </c>
      <c r="R260">
        <f t="shared" si="28"/>
        <v>0</v>
      </c>
      <c r="S260">
        <f t="shared" si="29"/>
        <v>0</v>
      </c>
    </row>
    <row r="261" spans="1:19">
      <c r="A261" s="138" t="str">
        <f>'00_SKU_Master'!J353</f>
        <v>HALAL MS ZH FRY WOG AC TI ST</v>
      </c>
      <c r="B261" s="138">
        <f>'00_SKU_Master'!B353</f>
        <v>207103</v>
      </c>
      <c r="C261" s="165">
        <f>_xlfn.XLOOKUP(B261,'02_TrayPack_Order'!$A$2:$A$265,'02_TrayPack_Order'!$C$2:$C$265)</f>
        <v>0</v>
      </c>
      <c r="D261" s="166">
        <f>_xlfn.XLOOKUP(B261,'02_TrayPack_Order'!$A$2:$A$265,'02_TrayPack_Order'!$L$2:$L$265,0)</f>
        <v>0</v>
      </c>
      <c r="E261" s="165">
        <f>SUMIF('13_Progress_Track'!$A$2:$A$108,B261,'13_Progress_Track'!$E$2:$E$108)</f>
        <v>0</v>
      </c>
      <c r="F261" s="165">
        <f t="shared" si="24"/>
        <v>0</v>
      </c>
      <c r="G261" s="167">
        <f t="shared" si="25"/>
        <v>0</v>
      </c>
      <c r="H261" s="138">
        <f>_xlfn.IFNA(_xlfn.XLOOKUP(B261,'00_SKU_Master'!$B$2:$B$378,'00_SKU_Master'!$C$2:$C$378),"")</f>
        <v>203136</v>
      </c>
      <c r="I261" s="169"/>
      <c r="J261" s="14" t="str">
        <f>_xlfn.IFNA(_xlfn.XLOOKUP(B261,'00_SKU_Master'!B$2:B$378,'00_SKU_Master'!H$2:H$378,0),"")</f>
        <v>ST 3XP</v>
      </c>
      <c r="K261" s="14" t="str">
        <f>_xlfn.IFNA(_xlfn.XLOOKUP(B261,'00_SKU_Master'!B$2:B$378,'00_SKU_Master'!K$2:K$378,0),"")</f>
        <v>Fast</v>
      </c>
      <c r="L261" s="138" t="str">
        <f>_xlfn.XLOOKUP(B261,'00_SKU_Master'!$B$2:$B$378,'00_SKU_Master'!$D$2:$D$378)</f>
        <v>LCL</v>
      </c>
      <c r="M261" s="138">
        <f t="shared" si="26"/>
        <v>0</v>
      </c>
      <c r="N261" t="str">
        <f>IFERROR(_xlfn.XLOOKUP(B261,'00_SKU_Master'!$B$2:$B$378,'00_SKU_Master'!$E$2:$E$378,""),"")</f>
        <v>Whole Bird-Small</v>
      </c>
      <c r="O261">
        <f>IFERROR(_xlfn.XLOOKUP(B261,'00_SKU_Master'!$B$2:$B$378,'00_SKU_Master'!$F$2:$F$378,0),0)</f>
        <v>0</v>
      </c>
      <c r="P261">
        <f>IFERROR(_xlfn.XLOOKUP(N261,'00_Yield_Rates'!$B$2:$B$33,'00_Yield_Rates'!$E$2:$E$33,0)/100,0)</f>
        <v>0</v>
      </c>
      <c r="Q261">
        <f t="shared" si="27"/>
        <v>0</v>
      </c>
      <c r="R261">
        <f t="shared" si="28"/>
        <v>0</v>
      </c>
      <c r="S261">
        <f t="shared" si="29"/>
        <v>0</v>
      </c>
    </row>
    <row r="262" spans="1:19">
      <c r="A262" s="138" t="str">
        <f>'00_SKU_Master'!J354</f>
        <v>MS LCL BSHB AC 8D  BSK</v>
      </c>
      <c r="B262" s="138">
        <f>'00_SKU_Master'!B354</f>
        <v>207104</v>
      </c>
      <c r="C262" s="165">
        <f>_xlfn.XLOOKUP(B262,'02_TrayPack_Order'!$A$2:$A$265,'02_TrayPack_Order'!$C$2:$C$265)</f>
        <v>0</v>
      </c>
      <c r="D262" s="166">
        <f>_xlfn.XLOOKUP(B262,'02_TrayPack_Order'!$A$2:$A$265,'02_TrayPack_Order'!$L$2:$L$265,0)</f>
        <v>0</v>
      </c>
      <c r="E262" s="165">
        <f>SUMIF('13_Progress_Track'!$A$2:$A$108,B262,'13_Progress_Track'!$E$2:$E$108)</f>
        <v>0</v>
      </c>
      <c r="F262" s="165">
        <f t="shared" si="24"/>
        <v>0</v>
      </c>
      <c r="G262" s="167">
        <f t="shared" si="25"/>
        <v>0</v>
      </c>
      <c r="H262" s="138">
        <f>_xlfn.IFNA(_xlfn.XLOOKUP(B262,'00_SKU_Master'!$B$2:$B$378,'00_SKU_Master'!$C$2:$C$378),"")</f>
        <v>61050</v>
      </c>
      <c r="I262" s="169"/>
      <c r="J262" s="14" t="str">
        <f>_xlfn.IFNA(_xlfn.XLOOKUP(B262,'00_SKU_Master'!B$2:B$378,'00_SKU_Master'!H$2:H$378,0),"")</f>
        <v>PET 8</v>
      </c>
      <c r="K262" s="14" t="str">
        <f>_xlfn.IFNA(_xlfn.XLOOKUP(B262,'00_SKU_Master'!B$2:B$378,'00_SKU_Master'!K$2:K$378,0),"")</f>
        <v>Fast</v>
      </c>
      <c r="L262" s="138" t="str">
        <f>_xlfn.XLOOKUP(B262,'00_SKU_Master'!$B$2:$B$378,'00_SKU_Master'!$D$2:$D$378)</f>
        <v>LCL</v>
      </c>
      <c r="M262" s="138">
        <f t="shared" si="26"/>
        <v>0</v>
      </c>
      <c r="N262" t="str">
        <f>IFERROR(_xlfn.XLOOKUP(B262,'00_SKU_Master'!$B$2:$B$378,'00_SKU_Master'!$E$2:$E$378,""),"")</f>
        <v>BSB</v>
      </c>
      <c r="O262">
        <f>IFERROR(_xlfn.XLOOKUP(B262,'00_SKU_Master'!$B$2:$B$378,'00_SKU_Master'!$F$2:$F$378,0),0)</f>
        <v>0</v>
      </c>
      <c r="P262">
        <f>IFERROR(_xlfn.XLOOKUP(N262,'00_Yield_Rates'!$B$2:$B$33,'00_Yield_Rates'!$E$2:$E$33,0)/100,0)</f>
        <v>0.31</v>
      </c>
      <c r="Q262">
        <f t="shared" si="27"/>
        <v>0</v>
      </c>
      <c r="R262">
        <f t="shared" si="28"/>
        <v>0</v>
      </c>
      <c r="S262">
        <f t="shared" si="29"/>
        <v>0</v>
      </c>
    </row>
    <row r="263" spans="1:19">
      <c r="A263" s="138" t="str">
        <f>'00_SKU_Master'!J355</f>
        <v>MS ZH LCL SPL WING AC 6D BSK</v>
      </c>
      <c r="B263" s="138">
        <f>'00_SKU_Master'!B355</f>
        <v>207127</v>
      </c>
      <c r="C263" s="165">
        <f>_xlfn.XLOOKUP(B263,'02_TrayPack_Order'!$A$2:$A$265,'02_TrayPack_Order'!$C$2:$C$265)</f>
        <v>0</v>
      </c>
      <c r="D263" s="166">
        <f>_xlfn.XLOOKUP(B263,'02_TrayPack_Order'!$A$2:$A$265,'02_TrayPack_Order'!$L$2:$L$265,0)</f>
        <v>0</v>
      </c>
      <c r="E263" s="165">
        <f>SUMIF('13_Progress_Track'!$A$2:$A$108,B263,'13_Progress_Track'!$E$2:$E$108)</f>
        <v>0</v>
      </c>
      <c r="F263" s="165">
        <f t="shared" si="24"/>
        <v>0</v>
      </c>
      <c r="G263" s="167">
        <f t="shared" si="25"/>
        <v>0</v>
      </c>
      <c r="H263" s="138">
        <f>_xlfn.IFNA(_xlfn.XLOOKUP(B263,'00_SKU_Master'!$B$2:$B$378,'00_SKU_Master'!$C$2:$C$378),"")</f>
        <v>61014</v>
      </c>
      <c r="I263" s="169"/>
      <c r="J263" s="14" t="str">
        <f>_xlfn.IFNA(_xlfn.XLOOKUP(B263,'00_SKU_Master'!B$2:B$378,'00_SKU_Master'!H$2:H$378,0),"")</f>
        <v>LT 6D</v>
      </c>
      <c r="K263" s="14" t="str">
        <f>_xlfn.IFNA(_xlfn.XLOOKUP(B263,'00_SKU_Master'!B$2:B$378,'00_SKU_Master'!K$2:K$378,0),"")</f>
        <v>Slow</v>
      </c>
      <c r="L263" s="138" t="str">
        <f>_xlfn.XLOOKUP(B263,'00_SKU_Master'!$B$2:$B$378,'00_SKU_Master'!$D$2:$D$378)</f>
        <v>LCL</v>
      </c>
      <c r="M263" s="138">
        <f t="shared" si="26"/>
        <v>0</v>
      </c>
      <c r="N263" t="str">
        <f>IFERROR(_xlfn.XLOOKUP(B263,'00_SKU_Master'!$B$2:$B$378,'00_SKU_Master'!$E$2:$E$378,""),"")</f>
        <v>SplitWing</v>
      </c>
      <c r="O263">
        <f>IFERROR(_xlfn.XLOOKUP(B263,'00_SKU_Master'!$B$2:$B$378,'00_SKU_Master'!$F$2:$F$378,0),0)</f>
        <v>0</v>
      </c>
      <c r="P263">
        <f>IFERROR(_xlfn.XLOOKUP(N263,'00_Yield_Rates'!$B$2:$B$33,'00_Yield_Rates'!$E$2:$E$33,0)/100,0)</f>
        <v>9.6000000000000002E-2</v>
      </c>
      <c r="Q263">
        <f t="shared" si="27"/>
        <v>0</v>
      </c>
      <c r="R263">
        <f t="shared" si="28"/>
        <v>0</v>
      </c>
      <c r="S263">
        <f t="shared" si="29"/>
        <v>0</v>
      </c>
    </row>
    <row r="264" spans="1:19">
      <c r="A264" s="138" t="str">
        <f>'00_SKU_Master'!J356</f>
        <v>MS ZH LCL FRY WOG AC TI BSK</v>
      </c>
      <c r="B264" s="138">
        <f>'00_SKU_Master'!B356</f>
        <v>207128</v>
      </c>
      <c r="C264" s="165">
        <f>_xlfn.XLOOKUP(B264,'02_TrayPack_Order'!$A$2:$A$265,'02_TrayPack_Order'!$C$2:$C$265)</f>
        <v>0</v>
      </c>
      <c r="D264" s="166">
        <f>_xlfn.XLOOKUP(B264,'02_TrayPack_Order'!$A$2:$A$265,'02_TrayPack_Order'!$L$2:$L$265,0)</f>
        <v>0</v>
      </c>
      <c r="E264" s="165">
        <f>SUMIF('13_Progress_Track'!$A$2:$A$108,B264,'13_Progress_Track'!$E$2:$E$108)</f>
        <v>0</v>
      </c>
      <c r="F264" s="165">
        <f t="shared" si="24"/>
        <v>0</v>
      </c>
      <c r="G264" s="167">
        <f t="shared" si="25"/>
        <v>0</v>
      </c>
      <c r="H264" s="138">
        <f>_xlfn.IFNA(_xlfn.XLOOKUP(B264,'00_SKU_Master'!$B$2:$B$378,'00_SKU_Master'!$C$2:$C$378),"")</f>
        <v>203021</v>
      </c>
      <c r="I264" s="169"/>
      <c r="J264" s="14" t="str">
        <f>_xlfn.IFNA(_xlfn.XLOOKUP(B264,'00_SKU_Master'!B$2:B$378,'00_SKU_Master'!H$2:H$378,0),"")</f>
        <v>ST 3XP</v>
      </c>
      <c r="K264" s="14" t="str">
        <f>_xlfn.IFNA(_xlfn.XLOOKUP(B264,'00_SKU_Master'!B$2:B$378,'00_SKU_Master'!K$2:K$378,0),"")</f>
        <v>Fast</v>
      </c>
      <c r="L264" s="138" t="str">
        <f>_xlfn.XLOOKUP(B264,'00_SKU_Master'!$B$2:$B$378,'00_SKU_Master'!$D$2:$D$378)</f>
        <v>LCL</v>
      </c>
      <c r="M264" s="138">
        <f t="shared" si="26"/>
        <v>0</v>
      </c>
      <c r="N264" t="str">
        <f>IFERROR(_xlfn.XLOOKUP(B264,'00_SKU_Master'!$B$2:$B$378,'00_SKU_Master'!$E$2:$E$378,""),"")</f>
        <v>Whole Bird-Small</v>
      </c>
      <c r="O264">
        <f>IFERROR(_xlfn.XLOOKUP(B264,'00_SKU_Master'!$B$2:$B$378,'00_SKU_Master'!$F$2:$F$378,0),0)</f>
        <v>0</v>
      </c>
      <c r="P264">
        <f>IFERROR(_xlfn.XLOOKUP(N264,'00_Yield_Rates'!$B$2:$B$33,'00_Yield_Rates'!$E$2:$E$33,0)/100,0)</f>
        <v>0</v>
      </c>
      <c r="Q264">
        <f t="shared" si="27"/>
        <v>0</v>
      </c>
      <c r="R264">
        <f t="shared" si="28"/>
        <v>0</v>
      </c>
      <c r="S264">
        <f t="shared" si="29"/>
        <v>0</v>
      </c>
    </row>
    <row r="265" spans="1:19">
      <c r="A265" s="170"/>
      <c r="B265" s="171"/>
      <c r="C265" s="172"/>
      <c r="D265" s="173"/>
      <c r="E265" s="174"/>
      <c r="F265" s="174"/>
      <c r="G265" s="172"/>
      <c r="H265" s="171"/>
      <c r="I265" s="171"/>
      <c r="J265" s="171"/>
      <c r="K265" s="171"/>
      <c r="L265" s="171"/>
      <c r="M265" s="175"/>
      <c r="N265" t="str">
        <f>IFERROR(_xlfn.XLOOKUP(B265,'00_SKU_Master'!$B$2:$B$378,'00_SKU_Master'!$E$2:$E$378,""),"")</f>
        <v/>
      </c>
      <c r="O265">
        <f>IFERROR(_xlfn.XLOOKUP(B265,'00_SKU_Master'!$B$2:$B$378,'00_SKU_Master'!$F$2:$F$378,0),0)</f>
        <v>0</v>
      </c>
      <c r="P265">
        <f>IFERROR(_xlfn.XLOOKUP(N265,'00_Yield_Rates'!$B$2:$B$33,'00_Yield_Rates'!$E$2:$E$33,0)/100,0)</f>
        <v>0</v>
      </c>
      <c r="Q265">
        <f t="shared" si="27"/>
        <v>0</v>
      </c>
      <c r="R265">
        <f t="shared" si="28"/>
        <v>0</v>
      </c>
      <c r="S265">
        <f t="shared" si="29"/>
        <v>0</v>
      </c>
    </row>
    <row r="266" spans="1:19">
      <c r="A266" s="176"/>
      <c r="B266" s="177"/>
      <c r="C266" s="178"/>
      <c r="D266" s="178"/>
      <c r="E266" s="178"/>
      <c r="F266" s="178"/>
      <c r="G266" s="179"/>
      <c r="H266" s="177"/>
      <c r="I266" s="177"/>
      <c r="J266" s="177"/>
      <c r="K266" s="177"/>
      <c r="L266" s="177"/>
      <c r="M266" s="180"/>
      <c r="N266" t="str">
        <f>IFERROR(_xlfn.XLOOKUP(B266,'00_SKU_Master'!$B$2:$B$378,'00_SKU_Master'!$E$2:$E$378,""),"")</f>
        <v/>
      </c>
      <c r="O266">
        <f>IFERROR(_xlfn.XLOOKUP(B266,'00_SKU_Master'!$B$2:$B$378,'00_SKU_Master'!$F$2:$F$378,0),0)</f>
        <v>0</v>
      </c>
      <c r="P266">
        <f>IFERROR(_xlfn.XLOOKUP(N266,'00_Yield_Rates'!$B$2:$B$33,'00_Yield_Rates'!$E$2:$E$33,0)/100,0)</f>
        <v>0</v>
      </c>
      <c r="Q266">
        <f t="shared" si="27"/>
        <v>0</v>
      </c>
      <c r="R266">
        <f t="shared" si="28"/>
        <v>0</v>
      </c>
      <c r="S266">
        <f t="shared" si="29"/>
        <v>0</v>
      </c>
    </row>
    <row r="267" spans="1:19">
      <c r="B267" s="50"/>
      <c r="C267" s="168"/>
      <c r="F267" s="144"/>
      <c r="G267" s="181"/>
      <c r="L267" s="145"/>
      <c r="N267" t="str">
        <f>IFERROR(_xlfn.XLOOKUP(B267,'00_SKU_Master'!$B$2:$B$378,'00_SKU_Master'!$E$2:$E$378,""),"")</f>
        <v/>
      </c>
      <c r="O267">
        <f>IFERROR(_xlfn.XLOOKUP(B267,'00_SKU_Master'!$B$2:$B$378,'00_SKU_Master'!$F$2:$F$378,0),0)</f>
        <v>0</v>
      </c>
      <c r="P267">
        <f>IFERROR(_xlfn.XLOOKUP(N267,'00_Yield_Rates'!$B$2:$B$33,'00_Yield_Rates'!$E$2:$E$33,0)/100,0)</f>
        <v>0</v>
      </c>
      <c r="Q267">
        <f t="shared" si="27"/>
        <v>0</v>
      </c>
      <c r="R267">
        <f t="shared" si="28"/>
        <v>0</v>
      </c>
      <c r="S267">
        <f t="shared" si="29"/>
        <v>0</v>
      </c>
    </row>
    <row r="268" spans="1:19">
      <c r="C268" s="168"/>
      <c r="N268" t="str">
        <f>IFERROR(_xlfn.XLOOKUP(B268,'00_SKU_Master'!$B$2:$B$378,'00_SKU_Master'!$E$2:$E$378,""),"")</f>
        <v/>
      </c>
      <c r="O268">
        <f>IFERROR(_xlfn.XLOOKUP(B268,'00_SKU_Master'!$B$2:$B$378,'00_SKU_Master'!$F$2:$F$378,0),0)</f>
        <v>0</v>
      </c>
      <c r="P268">
        <f>IFERROR(_xlfn.XLOOKUP(N268,'00_Yield_Rates'!$B$2:$B$33,'00_Yield_Rates'!$E$2:$E$33,0)/100,0)</f>
        <v>0</v>
      </c>
      <c r="Q268">
        <f t="shared" si="27"/>
        <v>0</v>
      </c>
      <c r="R268">
        <f t="shared" si="28"/>
        <v>0</v>
      </c>
      <c r="S268">
        <f t="shared" si="29"/>
        <v>0</v>
      </c>
    </row>
    <row r="269" spans="1:19">
      <c r="C269" s="168"/>
      <c r="N269" t="str">
        <f>IFERROR(_xlfn.XLOOKUP(B269,'00_SKU_Master'!$B$2:$B$378,'00_SKU_Master'!$E$2:$E$378,""),"")</f>
        <v/>
      </c>
      <c r="O269">
        <f>IFERROR(_xlfn.XLOOKUP(B269,'00_SKU_Master'!$B$2:$B$378,'00_SKU_Master'!$F$2:$F$378,0),0)</f>
        <v>0</v>
      </c>
      <c r="P269">
        <f>IFERROR(_xlfn.XLOOKUP(N269,'00_Yield_Rates'!$B$2:$B$33,'00_Yield_Rates'!$E$2:$E$33,0)/100,0)</f>
        <v>0</v>
      </c>
      <c r="Q269">
        <f t="shared" si="27"/>
        <v>0</v>
      </c>
      <c r="R269">
        <f t="shared" si="28"/>
        <v>0</v>
      </c>
      <c r="S269">
        <f t="shared" si="29"/>
        <v>0</v>
      </c>
    </row>
    <row r="270" spans="1:19">
      <c r="C270" s="168"/>
      <c r="N270" t="str">
        <f>IFERROR(_xlfn.XLOOKUP(B270,'00_SKU_Master'!$B$2:$B$378,'00_SKU_Master'!$E$2:$E$378,""),"")</f>
        <v/>
      </c>
      <c r="O270">
        <f>IFERROR(_xlfn.XLOOKUP(B270,'00_SKU_Master'!$B$2:$B$378,'00_SKU_Master'!$F$2:$F$378,0),0)</f>
        <v>0</v>
      </c>
      <c r="P270">
        <f>IFERROR(_xlfn.XLOOKUP(N270,'00_Yield_Rates'!$B$2:$B$33,'00_Yield_Rates'!$E$2:$E$33,0)/100,0)</f>
        <v>0</v>
      </c>
      <c r="Q270">
        <f t="shared" si="27"/>
        <v>0</v>
      </c>
      <c r="R270">
        <f t="shared" si="28"/>
        <v>0</v>
      </c>
      <c r="S270">
        <f t="shared" si="29"/>
        <v>0</v>
      </c>
    </row>
    <row r="271" spans="1:19">
      <c r="C271" s="168"/>
      <c r="N271" t="str">
        <f>IFERROR(_xlfn.XLOOKUP(B271,'00_SKU_Master'!$B$2:$B$378,'00_SKU_Master'!$E$2:$E$378,""),"")</f>
        <v/>
      </c>
      <c r="O271">
        <f>IFERROR(_xlfn.XLOOKUP(B271,'00_SKU_Master'!$B$2:$B$378,'00_SKU_Master'!$F$2:$F$378,0),0)</f>
        <v>0</v>
      </c>
      <c r="P271">
        <f>IFERROR(_xlfn.XLOOKUP(N271,'00_Yield_Rates'!$B$2:$B$33,'00_Yield_Rates'!$E$2:$E$33,0)/100,0)</f>
        <v>0</v>
      </c>
      <c r="Q271">
        <f t="shared" si="27"/>
        <v>0</v>
      </c>
      <c r="R271">
        <f t="shared" si="28"/>
        <v>0</v>
      </c>
      <c r="S271">
        <f t="shared" si="29"/>
        <v>0</v>
      </c>
    </row>
    <row r="272" spans="1:19">
      <c r="C272" s="168"/>
      <c r="N272" t="str">
        <f>IFERROR(_xlfn.XLOOKUP(B272,'00_SKU_Master'!$B$2:$B$378,'00_SKU_Master'!$E$2:$E$378,""),"")</f>
        <v/>
      </c>
      <c r="O272">
        <f>IFERROR(_xlfn.XLOOKUP(B272,'00_SKU_Master'!$B$2:$B$378,'00_SKU_Master'!$F$2:$F$378,0),0)</f>
        <v>0</v>
      </c>
      <c r="P272">
        <f>IFERROR(_xlfn.XLOOKUP(N272,'00_Yield_Rates'!$B$2:$B$33,'00_Yield_Rates'!$E$2:$E$33,0)/100,0)</f>
        <v>0</v>
      </c>
      <c r="Q272">
        <f t="shared" si="27"/>
        <v>0</v>
      </c>
      <c r="R272">
        <f t="shared" si="28"/>
        <v>0</v>
      </c>
      <c r="S272">
        <f t="shared" si="29"/>
        <v>0</v>
      </c>
    </row>
    <row r="273" spans="3:19">
      <c r="C273" s="168"/>
      <c r="N273" t="str">
        <f>IFERROR(_xlfn.XLOOKUP(B273,'00_SKU_Master'!$B$2:$B$378,'00_SKU_Master'!$E$2:$E$378,""),"")</f>
        <v/>
      </c>
      <c r="O273">
        <f>IFERROR(_xlfn.XLOOKUP(B273,'00_SKU_Master'!$B$2:$B$378,'00_SKU_Master'!$F$2:$F$378,0),0)</f>
        <v>0</v>
      </c>
      <c r="P273">
        <f>IFERROR(_xlfn.XLOOKUP(N273,'00_Yield_Rates'!$B$2:$B$33,'00_Yield_Rates'!$E$2:$E$33,0)/100,0)</f>
        <v>0</v>
      </c>
      <c r="Q273">
        <f t="shared" si="27"/>
        <v>0</v>
      </c>
      <c r="R273">
        <f t="shared" si="28"/>
        <v>0</v>
      </c>
      <c r="S273">
        <f t="shared" si="29"/>
        <v>0</v>
      </c>
    </row>
    <row r="274" spans="3:19">
      <c r="C274" s="168"/>
      <c r="N274" t="str">
        <f>IFERROR(_xlfn.XLOOKUP(B274,'00_SKU_Master'!$B$2:$B$378,'00_SKU_Master'!$E$2:$E$378,""),"")</f>
        <v/>
      </c>
      <c r="O274">
        <f>IFERROR(_xlfn.XLOOKUP(B274,'00_SKU_Master'!$B$2:$B$378,'00_SKU_Master'!$F$2:$F$378,0),0)</f>
        <v>0</v>
      </c>
      <c r="P274">
        <f>IFERROR(_xlfn.XLOOKUP(N274,'00_Yield_Rates'!$B$2:$B$33,'00_Yield_Rates'!$E$2:$E$33,0)/100,0)</f>
        <v>0</v>
      </c>
      <c r="Q274">
        <f t="shared" si="27"/>
        <v>0</v>
      </c>
      <c r="R274">
        <f t="shared" si="28"/>
        <v>0</v>
      </c>
      <c r="S274">
        <f t="shared" si="29"/>
        <v>0</v>
      </c>
    </row>
    <row r="275" spans="3:19">
      <c r="C275" s="168"/>
      <c r="N275" t="str">
        <f>IFERROR(_xlfn.XLOOKUP(B275,'00_SKU_Master'!$B$2:$B$378,'00_SKU_Master'!$E$2:$E$378,""),"")</f>
        <v/>
      </c>
      <c r="O275">
        <f>IFERROR(_xlfn.XLOOKUP(B275,'00_SKU_Master'!$B$2:$B$378,'00_SKU_Master'!$F$2:$F$378,0),0)</f>
        <v>0</v>
      </c>
      <c r="P275">
        <f>IFERROR(_xlfn.XLOOKUP(N275,'00_Yield_Rates'!$B$2:$B$33,'00_Yield_Rates'!$E$2:$E$33,0)/100,0)</f>
        <v>0</v>
      </c>
      <c r="Q275">
        <f t="shared" si="27"/>
        <v>0</v>
      </c>
      <c r="R275">
        <f t="shared" si="28"/>
        <v>0</v>
      </c>
      <c r="S275">
        <f t="shared" si="29"/>
        <v>0</v>
      </c>
    </row>
    <row r="276" spans="3:19">
      <c r="C276" s="168"/>
      <c r="N276" t="str">
        <f>IFERROR(_xlfn.XLOOKUP(B276,'00_SKU_Master'!$B$2:$B$378,'00_SKU_Master'!$E$2:$E$378,""),"")</f>
        <v/>
      </c>
      <c r="O276">
        <f>IFERROR(_xlfn.XLOOKUP(B276,'00_SKU_Master'!$B$2:$B$378,'00_SKU_Master'!$F$2:$F$378,0),0)</f>
        <v>0</v>
      </c>
      <c r="P276">
        <f>IFERROR(_xlfn.XLOOKUP(N276,'00_Yield_Rates'!$B$2:$B$33,'00_Yield_Rates'!$E$2:$E$33,0)/100,0)</f>
        <v>0</v>
      </c>
      <c r="Q276">
        <f t="shared" si="27"/>
        <v>0</v>
      </c>
      <c r="R276">
        <f t="shared" si="28"/>
        <v>0</v>
      </c>
      <c r="S276">
        <f t="shared" si="29"/>
        <v>0</v>
      </c>
    </row>
    <row r="277" spans="3:19">
      <c r="C277" s="168"/>
      <c r="N277" t="str">
        <f>IFERROR(_xlfn.XLOOKUP(B277,'00_SKU_Master'!$B$2:$B$378,'00_SKU_Master'!$E$2:$E$378,""),"")</f>
        <v/>
      </c>
      <c r="O277">
        <f>IFERROR(_xlfn.XLOOKUP(B277,'00_SKU_Master'!$B$2:$B$378,'00_SKU_Master'!$F$2:$F$378,0),0)</f>
        <v>0</v>
      </c>
      <c r="P277">
        <f>IFERROR(_xlfn.XLOOKUP(N277,'00_Yield_Rates'!$B$2:$B$33,'00_Yield_Rates'!$E$2:$E$33,0)/100,0)</f>
        <v>0</v>
      </c>
      <c r="Q277">
        <f t="shared" si="27"/>
        <v>0</v>
      </c>
      <c r="R277">
        <f t="shared" si="28"/>
        <v>0</v>
      </c>
      <c r="S277">
        <f t="shared" si="29"/>
        <v>0</v>
      </c>
    </row>
    <row r="278" spans="3:19">
      <c r="C278" s="168"/>
      <c r="N278" t="str">
        <f>IFERROR(_xlfn.XLOOKUP(B278,'00_SKU_Master'!$B$2:$B$378,'00_SKU_Master'!$E$2:$E$378,""),"")</f>
        <v/>
      </c>
      <c r="O278">
        <f>IFERROR(_xlfn.XLOOKUP(B278,'00_SKU_Master'!$B$2:$B$378,'00_SKU_Master'!$F$2:$F$378,0),0)</f>
        <v>0</v>
      </c>
      <c r="P278">
        <f>IFERROR(_xlfn.XLOOKUP(N278,'00_Yield_Rates'!$B$2:$B$33,'00_Yield_Rates'!$E$2:$E$33,0)/100,0)</f>
        <v>0</v>
      </c>
      <c r="Q278">
        <f t="shared" si="27"/>
        <v>0</v>
      </c>
      <c r="R278">
        <f t="shared" si="28"/>
        <v>0</v>
      </c>
      <c r="S278">
        <f t="shared" si="29"/>
        <v>0</v>
      </c>
    </row>
    <row r="279" spans="3:19">
      <c r="C279" s="168"/>
      <c r="N279" t="str">
        <f>IFERROR(_xlfn.XLOOKUP(B279,'00_SKU_Master'!$B$2:$B$378,'00_SKU_Master'!$E$2:$E$378,""),"")</f>
        <v/>
      </c>
      <c r="O279">
        <f>IFERROR(_xlfn.XLOOKUP(B279,'00_SKU_Master'!$B$2:$B$378,'00_SKU_Master'!$F$2:$F$378,0),0)</f>
        <v>0</v>
      </c>
      <c r="P279">
        <f>IFERROR(_xlfn.XLOOKUP(N279,'00_Yield_Rates'!$B$2:$B$33,'00_Yield_Rates'!$E$2:$E$33,0)/100,0)</f>
        <v>0</v>
      </c>
      <c r="Q279">
        <f t="shared" si="27"/>
        <v>0</v>
      </c>
      <c r="R279">
        <f t="shared" si="28"/>
        <v>0</v>
      </c>
      <c r="S279">
        <f t="shared" si="29"/>
        <v>0</v>
      </c>
    </row>
    <row r="280" spans="3:19">
      <c r="C280" s="168"/>
      <c r="N280" t="str">
        <f>IFERROR(_xlfn.XLOOKUP(B280,'00_SKU_Master'!$B$2:$B$378,'00_SKU_Master'!$E$2:$E$378,""),"")</f>
        <v/>
      </c>
      <c r="O280">
        <f>IFERROR(_xlfn.XLOOKUP(B280,'00_SKU_Master'!$B$2:$B$378,'00_SKU_Master'!$F$2:$F$378,0),0)</f>
        <v>0</v>
      </c>
      <c r="P280">
        <f>IFERROR(_xlfn.XLOOKUP(N280,'00_Yield_Rates'!$B$2:$B$33,'00_Yield_Rates'!$E$2:$E$33,0)/100,0)</f>
        <v>0</v>
      </c>
      <c r="Q280">
        <f t="shared" si="27"/>
        <v>0</v>
      </c>
      <c r="R280">
        <f t="shared" si="28"/>
        <v>0</v>
      </c>
      <c r="S280">
        <f t="shared" si="29"/>
        <v>0</v>
      </c>
    </row>
    <row r="281" spans="3:19">
      <c r="C281" s="168"/>
      <c r="N281" t="str">
        <f>IFERROR(_xlfn.XLOOKUP(B281,'00_SKU_Master'!$B$2:$B$378,'00_SKU_Master'!$E$2:$E$378,""),"")</f>
        <v/>
      </c>
      <c r="O281">
        <f>IFERROR(_xlfn.XLOOKUP(B281,'00_SKU_Master'!$B$2:$B$378,'00_SKU_Master'!$F$2:$F$378,0),0)</f>
        <v>0</v>
      </c>
      <c r="P281">
        <f>IFERROR(_xlfn.XLOOKUP(N281,'00_Yield_Rates'!$B$2:$B$33,'00_Yield_Rates'!$E$2:$E$33,0)/100,0)</f>
        <v>0</v>
      </c>
      <c r="Q281">
        <f t="shared" si="27"/>
        <v>0</v>
      </c>
      <c r="R281">
        <f t="shared" si="28"/>
        <v>0</v>
      </c>
      <c r="S281">
        <f t="shared" si="29"/>
        <v>0</v>
      </c>
    </row>
    <row r="282" spans="3:19">
      <c r="C282" s="168"/>
      <c r="N282" t="str">
        <f>IFERROR(_xlfn.XLOOKUP(B282,'00_SKU_Master'!$B$2:$B$378,'00_SKU_Master'!$E$2:$E$378,""),"")</f>
        <v/>
      </c>
      <c r="O282">
        <f>IFERROR(_xlfn.XLOOKUP(B282,'00_SKU_Master'!$B$2:$B$378,'00_SKU_Master'!$F$2:$F$378,0),0)</f>
        <v>0</v>
      </c>
      <c r="P282">
        <f>IFERROR(_xlfn.XLOOKUP(N282,'00_Yield_Rates'!$B$2:$B$33,'00_Yield_Rates'!$E$2:$E$33,0)/100,0)</f>
        <v>0</v>
      </c>
      <c r="Q282">
        <f t="shared" si="27"/>
        <v>0</v>
      </c>
      <c r="R282">
        <f t="shared" si="28"/>
        <v>0</v>
      </c>
      <c r="S282">
        <f t="shared" si="29"/>
        <v>0</v>
      </c>
    </row>
    <row r="283" spans="3:19">
      <c r="C283" s="168"/>
      <c r="N283" t="str">
        <f>IFERROR(_xlfn.XLOOKUP(B283,'00_SKU_Master'!$B$2:$B$378,'00_SKU_Master'!$E$2:$E$378,""),"")</f>
        <v/>
      </c>
      <c r="O283">
        <f>IFERROR(_xlfn.XLOOKUP(B283,'00_SKU_Master'!$B$2:$B$378,'00_SKU_Master'!$F$2:$F$378,0),0)</f>
        <v>0</v>
      </c>
      <c r="P283">
        <f>IFERROR(_xlfn.XLOOKUP(N283,'00_Yield_Rates'!$B$2:$B$33,'00_Yield_Rates'!$E$2:$E$33,0)/100,0)</f>
        <v>0</v>
      </c>
      <c r="Q283">
        <f t="shared" si="27"/>
        <v>0</v>
      </c>
      <c r="R283">
        <f t="shared" si="28"/>
        <v>0</v>
      </c>
      <c r="S283">
        <f t="shared" si="29"/>
        <v>0</v>
      </c>
    </row>
    <row r="284" spans="3:19">
      <c r="C284" s="168"/>
      <c r="N284" t="str">
        <f>IFERROR(_xlfn.XLOOKUP(B284,'00_SKU_Master'!$B$2:$B$378,'00_SKU_Master'!$E$2:$E$378,""),"")</f>
        <v/>
      </c>
      <c r="O284">
        <f>IFERROR(_xlfn.XLOOKUP(B284,'00_SKU_Master'!$B$2:$B$378,'00_SKU_Master'!$F$2:$F$378,0),0)</f>
        <v>0</v>
      </c>
      <c r="P284">
        <f>IFERROR(_xlfn.XLOOKUP(N284,'00_Yield_Rates'!$B$2:$B$33,'00_Yield_Rates'!$E$2:$E$33,0)/100,0)</f>
        <v>0</v>
      </c>
      <c r="Q284">
        <f t="shared" si="27"/>
        <v>0</v>
      </c>
      <c r="R284">
        <f t="shared" si="28"/>
        <v>0</v>
      </c>
      <c r="S284">
        <f t="shared" si="29"/>
        <v>0</v>
      </c>
    </row>
    <row r="285" spans="3:19">
      <c r="C285" s="168"/>
      <c r="N285" t="str">
        <f>IFERROR(_xlfn.XLOOKUP(B285,'00_SKU_Master'!$B$2:$B$378,'00_SKU_Master'!$E$2:$E$378,""),"")</f>
        <v/>
      </c>
      <c r="O285">
        <f>IFERROR(_xlfn.XLOOKUP(B285,'00_SKU_Master'!$B$2:$B$378,'00_SKU_Master'!$F$2:$F$378,0),0)</f>
        <v>0</v>
      </c>
      <c r="P285">
        <f>IFERROR(_xlfn.XLOOKUP(N285,'00_Yield_Rates'!$B$2:$B$33,'00_Yield_Rates'!$E$2:$E$33,0)/100,0)</f>
        <v>0</v>
      </c>
      <c r="Q285">
        <f t="shared" si="27"/>
        <v>0</v>
      </c>
      <c r="R285">
        <f t="shared" si="28"/>
        <v>0</v>
      </c>
      <c r="S285">
        <f t="shared" si="29"/>
        <v>0</v>
      </c>
    </row>
    <row r="286" spans="3:19">
      <c r="C286" s="168"/>
      <c r="N286" t="str">
        <f>IFERROR(_xlfn.XLOOKUP(B286,'00_SKU_Master'!$B$2:$B$378,'00_SKU_Master'!$E$2:$E$378,""),"")</f>
        <v/>
      </c>
      <c r="O286">
        <f>IFERROR(_xlfn.XLOOKUP(B286,'00_SKU_Master'!$B$2:$B$378,'00_SKU_Master'!$F$2:$F$378,0),0)</f>
        <v>0</v>
      </c>
      <c r="P286">
        <f>IFERROR(_xlfn.XLOOKUP(N286,'00_Yield_Rates'!$B$2:$B$33,'00_Yield_Rates'!$E$2:$E$33,0)/100,0)</f>
        <v>0</v>
      </c>
      <c r="Q286">
        <f t="shared" si="27"/>
        <v>0</v>
      </c>
      <c r="R286">
        <f t="shared" si="28"/>
        <v>0</v>
      </c>
      <c r="S286">
        <f t="shared" si="29"/>
        <v>0</v>
      </c>
    </row>
    <row r="287" spans="3:19">
      <c r="C287" s="168"/>
      <c r="N287" t="str">
        <f>IFERROR(_xlfn.XLOOKUP(B287,'00_SKU_Master'!$B$2:$B$378,'00_SKU_Master'!$E$2:$E$378,""),"")</f>
        <v/>
      </c>
      <c r="O287">
        <f>IFERROR(_xlfn.XLOOKUP(B287,'00_SKU_Master'!$B$2:$B$378,'00_SKU_Master'!$F$2:$F$378,0),0)</f>
        <v>0</v>
      </c>
      <c r="P287">
        <f>IFERROR(_xlfn.XLOOKUP(N287,'00_Yield_Rates'!$B$2:$B$33,'00_Yield_Rates'!$E$2:$E$33,0)/100,0)</f>
        <v>0</v>
      </c>
      <c r="Q287">
        <f t="shared" si="27"/>
        <v>0</v>
      </c>
      <c r="R287">
        <f t="shared" si="28"/>
        <v>0</v>
      </c>
      <c r="S287">
        <f t="shared" si="29"/>
        <v>0</v>
      </c>
    </row>
    <row r="288" spans="3:19">
      <c r="C288" s="168"/>
      <c r="N288" t="str">
        <f>IFERROR(_xlfn.XLOOKUP(B288,'00_SKU_Master'!$B$2:$B$378,'00_SKU_Master'!$E$2:$E$378,""),"")</f>
        <v/>
      </c>
      <c r="O288">
        <f>IFERROR(_xlfn.XLOOKUP(B288,'00_SKU_Master'!$B$2:$B$378,'00_SKU_Master'!$F$2:$F$378,0),0)</f>
        <v>0</v>
      </c>
      <c r="P288">
        <f>IFERROR(_xlfn.XLOOKUP(N288,'00_Yield_Rates'!$B$2:$B$33,'00_Yield_Rates'!$E$2:$E$33,0)/100,0)</f>
        <v>0</v>
      </c>
      <c r="Q288">
        <f t="shared" si="27"/>
        <v>0</v>
      </c>
      <c r="R288">
        <f t="shared" si="28"/>
        <v>0</v>
      </c>
      <c r="S288">
        <f t="shared" si="29"/>
        <v>0</v>
      </c>
    </row>
    <row r="289" spans="3:19">
      <c r="C289" s="168"/>
      <c r="N289" t="str">
        <f>IFERROR(_xlfn.XLOOKUP(B289,'00_SKU_Master'!$B$2:$B$378,'00_SKU_Master'!$E$2:$E$378,""),"")</f>
        <v/>
      </c>
      <c r="O289">
        <f>IFERROR(_xlfn.XLOOKUP(B289,'00_SKU_Master'!$B$2:$B$378,'00_SKU_Master'!$F$2:$F$378,0),0)</f>
        <v>0</v>
      </c>
      <c r="P289">
        <f>IFERROR(_xlfn.XLOOKUP(N289,'00_Yield_Rates'!$B$2:$B$33,'00_Yield_Rates'!$E$2:$E$33,0)/100,0)</f>
        <v>0</v>
      </c>
      <c r="Q289">
        <f t="shared" si="27"/>
        <v>0</v>
      </c>
      <c r="R289">
        <f t="shared" si="28"/>
        <v>0</v>
      </c>
      <c r="S289">
        <f t="shared" si="29"/>
        <v>0</v>
      </c>
    </row>
    <row r="290" spans="3:19">
      <c r="C290" s="168"/>
      <c r="N290" t="str">
        <f>IFERROR(_xlfn.XLOOKUP(B290,'00_SKU_Master'!$B$2:$B$378,'00_SKU_Master'!$E$2:$E$378,""),"")</f>
        <v/>
      </c>
      <c r="O290">
        <f>IFERROR(_xlfn.XLOOKUP(B290,'00_SKU_Master'!$B$2:$B$378,'00_SKU_Master'!$F$2:$F$378,0),0)</f>
        <v>0</v>
      </c>
      <c r="P290">
        <f>IFERROR(_xlfn.XLOOKUP(N290,'00_Yield_Rates'!$B$2:$B$33,'00_Yield_Rates'!$E$2:$E$33,0)/100,0)</f>
        <v>0</v>
      </c>
      <c r="Q290">
        <f t="shared" si="27"/>
        <v>0</v>
      </c>
      <c r="R290">
        <f t="shared" si="28"/>
        <v>0</v>
      </c>
      <c r="S290">
        <f t="shared" si="29"/>
        <v>0</v>
      </c>
    </row>
    <row r="291" spans="3:19">
      <c r="C291" s="168"/>
      <c r="N291" t="str">
        <f>IFERROR(_xlfn.XLOOKUP(B291,'00_SKU_Master'!$B$2:$B$378,'00_SKU_Master'!$E$2:$E$378,""),"")</f>
        <v/>
      </c>
      <c r="O291">
        <f>IFERROR(_xlfn.XLOOKUP(B291,'00_SKU_Master'!$B$2:$B$378,'00_SKU_Master'!$F$2:$F$378,0),0)</f>
        <v>0</v>
      </c>
      <c r="P291">
        <f>IFERROR(_xlfn.XLOOKUP(N291,'00_Yield_Rates'!$B$2:$B$33,'00_Yield_Rates'!$E$2:$E$33,0)/100,0)</f>
        <v>0</v>
      </c>
      <c r="Q291">
        <f t="shared" si="27"/>
        <v>0</v>
      </c>
      <c r="R291">
        <f t="shared" si="28"/>
        <v>0</v>
      </c>
      <c r="S291">
        <f t="shared" si="29"/>
        <v>0</v>
      </c>
    </row>
    <row r="292" spans="3:19">
      <c r="C292" s="168"/>
      <c r="N292" t="str">
        <f>IFERROR(_xlfn.XLOOKUP(B292,'00_SKU_Master'!$B$2:$B$378,'00_SKU_Master'!$E$2:$E$378,""),"")</f>
        <v/>
      </c>
      <c r="O292">
        <f>IFERROR(_xlfn.XLOOKUP(B292,'00_SKU_Master'!$B$2:$B$378,'00_SKU_Master'!$F$2:$F$378,0),0)</f>
        <v>0</v>
      </c>
      <c r="P292">
        <f>IFERROR(_xlfn.XLOOKUP(N292,'00_Yield_Rates'!$B$2:$B$33,'00_Yield_Rates'!$E$2:$E$33,0)/100,0)</f>
        <v>0</v>
      </c>
      <c r="Q292">
        <f t="shared" si="27"/>
        <v>0</v>
      </c>
      <c r="R292">
        <f t="shared" si="28"/>
        <v>0</v>
      </c>
      <c r="S292">
        <f t="shared" si="29"/>
        <v>0</v>
      </c>
    </row>
    <row r="293" spans="3:19">
      <c r="C293" s="168"/>
      <c r="N293" t="str">
        <f>IFERROR(_xlfn.XLOOKUP(B293,'00_SKU_Master'!$B$2:$B$378,'00_SKU_Master'!$E$2:$E$378,""),"")</f>
        <v/>
      </c>
      <c r="O293">
        <f>IFERROR(_xlfn.XLOOKUP(B293,'00_SKU_Master'!$B$2:$B$378,'00_SKU_Master'!$F$2:$F$378,0),0)</f>
        <v>0</v>
      </c>
      <c r="P293">
        <f>IFERROR(_xlfn.XLOOKUP(N293,'00_Yield_Rates'!$B$2:$B$33,'00_Yield_Rates'!$E$2:$E$33,0)/100,0)</f>
        <v>0</v>
      </c>
      <c r="Q293">
        <f t="shared" si="27"/>
        <v>0</v>
      </c>
      <c r="R293">
        <f t="shared" si="28"/>
        <v>0</v>
      </c>
      <c r="S293">
        <f t="shared" si="29"/>
        <v>0</v>
      </c>
    </row>
    <row r="294" spans="3:19">
      <c r="C294" s="168"/>
      <c r="N294" t="str">
        <f>IFERROR(_xlfn.XLOOKUP(B294,'00_SKU_Master'!$B$2:$B$378,'00_SKU_Master'!$E$2:$E$378,""),"")</f>
        <v/>
      </c>
      <c r="O294">
        <f>IFERROR(_xlfn.XLOOKUP(B294,'00_SKU_Master'!$B$2:$B$378,'00_SKU_Master'!$F$2:$F$378,0),0)</f>
        <v>0</v>
      </c>
      <c r="P294">
        <f>IFERROR(_xlfn.XLOOKUP(N294,'00_Yield_Rates'!$B$2:$B$33,'00_Yield_Rates'!$E$2:$E$33,0)/100,0)</f>
        <v>0</v>
      </c>
      <c r="Q294">
        <f t="shared" si="27"/>
        <v>0</v>
      </c>
      <c r="R294">
        <f t="shared" si="28"/>
        <v>0</v>
      </c>
      <c r="S294">
        <f t="shared" si="29"/>
        <v>0</v>
      </c>
    </row>
    <row r="295" spans="3:19">
      <c r="C295" s="168"/>
      <c r="N295" t="str">
        <f>IFERROR(_xlfn.XLOOKUP(B295,'00_SKU_Master'!$B$2:$B$378,'00_SKU_Master'!$E$2:$E$378,""),"")</f>
        <v/>
      </c>
      <c r="O295">
        <f>IFERROR(_xlfn.XLOOKUP(B295,'00_SKU_Master'!$B$2:$B$378,'00_SKU_Master'!$F$2:$F$378,0),0)</f>
        <v>0</v>
      </c>
      <c r="P295">
        <f>IFERROR(_xlfn.XLOOKUP(N295,'00_Yield_Rates'!$B$2:$B$33,'00_Yield_Rates'!$E$2:$E$33,0)/100,0)</f>
        <v>0</v>
      </c>
      <c r="Q295">
        <f t="shared" si="27"/>
        <v>0</v>
      </c>
      <c r="R295">
        <f t="shared" si="28"/>
        <v>0</v>
      </c>
      <c r="S295">
        <f t="shared" si="29"/>
        <v>0</v>
      </c>
    </row>
    <row r="296" spans="3:19">
      <c r="C296" s="168"/>
      <c r="N296" t="str">
        <f>IFERROR(_xlfn.XLOOKUP(B296,'00_SKU_Master'!$B$2:$B$378,'00_SKU_Master'!$E$2:$E$378,""),"")</f>
        <v/>
      </c>
      <c r="O296">
        <f>IFERROR(_xlfn.XLOOKUP(B296,'00_SKU_Master'!$B$2:$B$378,'00_SKU_Master'!$F$2:$F$378,0),0)</f>
        <v>0</v>
      </c>
      <c r="P296">
        <f>IFERROR(_xlfn.XLOOKUP(N296,'00_Yield_Rates'!$B$2:$B$33,'00_Yield_Rates'!$E$2:$E$33,0)/100,0)</f>
        <v>0</v>
      </c>
      <c r="Q296">
        <f t="shared" si="27"/>
        <v>0</v>
      </c>
      <c r="R296">
        <f t="shared" si="28"/>
        <v>0</v>
      </c>
      <c r="S296">
        <f t="shared" si="29"/>
        <v>0</v>
      </c>
    </row>
    <row r="297" spans="3:19">
      <c r="C297" s="168"/>
      <c r="N297" t="str">
        <f>IFERROR(_xlfn.XLOOKUP(B297,'00_SKU_Master'!$B$2:$B$378,'00_SKU_Master'!$E$2:$E$378,""),"")</f>
        <v/>
      </c>
      <c r="O297">
        <f>IFERROR(_xlfn.XLOOKUP(B297,'00_SKU_Master'!$B$2:$B$378,'00_SKU_Master'!$F$2:$F$378,0),0)</f>
        <v>0</v>
      </c>
      <c r="P297">
        <f>IFERROR(_xlfn.XLOOKUP(N297,'00_Yield_Rates'!$B$2:$B$33,'00_Yield_Rates'!$E$2:$E$33,0)/100,0)</f>
        <v>0</v>
      </c>
      <c r="Q297">
        <f t="shared" si="27"/>
        <v>0</v>
      </c>
      <c r="R297">
        <f t="shared" si="28"/>
        <v>0</v>
      </c>
      <c r="S297">
        <f t="shared" si="29"/>
        <v>0</v>
      </c>
    </row>
    <row r="298" spans="3:19">
      <c r="C298" s="168"/>
      <c r="N298" t="str">
        <f>IFERROR(_xlfn.XLOOKUP(B298,'00_SKU_Master'!$B$2:$B$378,'00_SKU_Master'!$E$2:$E$378,""),"")</f>
        <v/>
      </c>
      <c r="O298">
        <f>IFERROR(_xlfn.XLOOKUP(B298,'00_SKU_Master'!$B$2:$B$378,'00_SKU_Master'!$F$2:$F$378,0),0)</f>
        <v>0</v>
      </c>
      <c r="P298">
        <f>IFERROR(_xlfn.XLOOKUP(N298,'00_Yield_Rates'!$B$2:$B$33,'00_Yield_Rates'!$E$2:$E$33,0)/100,0)</f>
        <v>0</v>
      </c>
      <c r="Q298">
        <f t="shared" si="27"/>
        <v>0</v>
      </c>
      <c r="R298">
        <f t="shared" si="28"/>
        <v>0</v>
      </c>
      <c r="S298">
        <f t="shared" si="29"/>
        <v>0</v>
      </c>
    </row>
    <row r="299" spans="3:19">
      <c r="C299" s="168"/>
      <c r="N299" t="str">
        <f>IFERROR(_xlfn.XLOOKUP(B299,'00_SKU_Master'!$B$2:$B$378,'00_SKU_Master'!$E$2:$E$378,""),"")</f>
        <v/>
      </c>
      <c r="O299">
        <f>IFERROR(_xlfn.XLOOKUP(B299,'00_SKU_Master'!$B$2:$B$378,'00_SKU_Master'!$F$2:$F$378,0),0)</f>
        <v>0</v>
      </c>
      <c r="P299">
        <f>IFERROR(_xlfn.XLOOKUP(N299,'00_Yield_Rates'!$B$2:$B$33,'00_Yield_Rates'!$E$2:$E$33,0)/100,0)</f>
        <v>0</v>
      </c>
      <c r="Q299">
        <f t="shared" si="27"/>
        <v>0</v>
      </c>
      <c r="R299">
        <f t="shared" si="28"/>
        <v>0</v>
      </c>
      <c r="S299">
        <f t="shared" si="29"/>
        <v>0</v>
      </c>
    </row>
    <row r="300" spans="3:19">
      <c r="C300" s="168"/>
      <c r="N300" t="str">
        <f>IFERROR(_xlfn.XLOOKUP(B300,'00_SKU_Master'!$B$2:$B$378,'00_SKU_Master'!$E$2:$E$378,""),"")</f>
        <v/>
      </c>
      <c r="O300">
        <f>IFERROR(_xlfn.XLOOKUP(B300,'00_SKU_Master'!$B$2:$B$378,'00_SKU_Master'!$F$2:$F$378,0),0)</f>
        <v>0</v>
      </c>
      <c r="P300">
        <f>IFERROR(_xlfn.XLOOKUP(N300,'00_Yield_Rates'!$B$2:$B$33,'00_Yield_Rates'!$E$2:$E$33,0)/100,0)</f>
        <v>0</v>
      </c>
      <c r="Q300">
        <f t="shared" si="27"/>
        <v>0</v>
      </c>
      <c r="R300">
        <f t="shared" si="28"/>
        <v>0</v>
      </c>
      <c r="S300">
        <f t="shared" si="29"/>
        <v>0</v>
      </c>
    </row>
    <row r="301" spans="3:19">
      <c r="C301" s="168"/>
      <c r="N301" t="str">
        <f>IFERROR(_xlfn.XLOOKUP(B301,'00_SKU_Master'!$B$2:$B$378,'00_SKU_Master'!$E$2:$E$378,""),"")</f>
        <v/>
      </c>
      <c r="O301">
        <f>IFERROR(_xlfn.XLOOKUP(B301,'00_SKU_Master'!$B$2:$B$378,'00_SKU_Master'!$F$2:$F$378,0),0)</f>
        <v>0</v>
      </c>
      <c r="P301">
        <f>IFERROR(_xlfn.XLOOKUP(N301,'00_Yield_Rates'!$B$2:$B$33,'00_Yield_Rates'!$E$2:$E$33,0)/100,0)</f>
        <v>0</v>
      </c>
      <c r="Q301">
        <f t="shared" si="27"/>
        <v>0</v>
      </c>
      <c r="R301">
        <f t="shared" si="28"/>
        <v>0</v>
      </c>
      <c r="S301">
        <f t="shared" si="29"/>
        <v>0</v>
      </c>
    </row>
    <row r="302" spans="3:19">
      <c r="C302" s="168"/>
      <c r="N302" t="str">
        <f>IFERROR(_xlfn.XLOOKUP(B302,'00_SKU_Master'!$B$2:$B$378,'00_SKU_Master'!$E$2:$E$378,""),"")</f>
        <v/>
      </c>
      <c r="O302">
        <f>IFERROR(_xlfn.XLOOKUP(B302,'00_SKU_Master'!$B$2:$B$378,'00_SKU_Master'!$F$2:$F$378,0),0)</f>
        <v>0</v>
      </c>
      <c r="P302">
        <f>IFERROR(_xlfn.XLOOKUP(N302,'00_Yield_Rates'!$B$2:$B$33,'00_Yield_Rates'!$E$2:$E$33,0)/100,0)</f>
        <v>0</v>
      </c>
      <c r="Q302">
        <f t="shared" si="27"/>
        <v>0</v>
      </c>
      <c r="R302">
        <f t="shared" si="28"/>
        <v>0</v>
      </c>
      <c r="S302">
        <f t="shared" si="29"/>
        <v>0</v>
      </c>
    </row>
    <row r="303" spans="3:19">
      <c r="C303" s="168"/>
      <c r="N303" t="str">
        <f>IFERROR(_xlfn.XLOOKUP(B303,'00_SKU_Master'!$B$2:$B$378,'00_SKU_Master'!$E$2:$E$378,""),"")</f>
        <v/>
      </c>
      <c r="O303">
        <f>IFERROR(_xlfn.XLOOKUP(B303,'00_SKU_Master'!$B$2:$B$378,'00_SKU_Master'!$F$2:$F$378,0),0)</f>
        <v>0</v>
      </c>
      <c r="P303">
        <f>IFERROR(_xlfn.XLOOKUP(N303,'00_Yield_Rates'!$B$2:$B$33,'00_Yield_Rates'!$E$2:$E$33,0)/100,0)</f>
        <v>0</v>
      </c>
      <c r="Q303">
        <f t="shared" si="27"/>
        <v>0</v>
      </c>
      <c r="R303">
        <f t="shared" si="28"/>
        <v>0</v>
      </c>
      <c r="S303">
        <f t="shared" si="29"/>
        <v>0</v>
      </c>
    </row>
    <row r="304" spans="3:19">
      <c r="C304" s="168"/>
      <c r="N304" t="str">
        <f>IFERROR(_xlfn.XLOOKUP(B304,'00_SKU_Master'!$B$2:$B$378,'00_SKU_Master'!$E$2:$E$378,""),"")</f>
        <v/>
      </c>
      <c r="O304">
        <f>IFERROR(_xlfn.XLOOKUP(B304,'00_SKU_Master'!$B$2:$B$378,'00_SKU_Master'!$F$2:$F$378,0),0)</f>
        <v>0</v>
      </c>
      <c r="P304">
        <f>IFERROR(_xlfn.XLOOKUP(N304,'00_Yield_Rates'!$B$2:$B$33,'00_Yield_Rates'!$E$2:$E$33,0)/100,0)</f>
        <v>0</v>
      </c>
      <c r="Q304">
        <f t="shared" si="27"/>
        <v>0</v>
      </c>
      <c r="R304">
        <f t="shared" si="28"/>
        <v>0</v>
      </c>
      <c r="S304">
        <f t="shared" si="29"/>
        <v>0</v>
      </c>
    </row>
    <row r="305" spans="3:19">
      <c r="C305" s="168"/>
      <c r="N305" t="str">
        <f>IFERROR(_xlfn.XLOOKUP(B305,'00_SKU_Master'!$B$2:$B$378,'00_SKU_Master'!$E$2:$E$378,""),"")</f>
        <v/>
      </c>
      <c r="O305">
        <f>IFERROR(_xlfn.XLOOKUP(B305,'00_SKU_Master'!$B$2:$B$378,'00_SKU_Master'!$F$2:$F$378,0),0)</f>
        <v>0</v>
      </c>
      <c r="P305">
        <f>IFERROR(_xlfn.XLOOKUP(N305,'00_Yield_Rates'!$B$2:$B$33,'00_Yield_Rates'!$E$2:$E$33,0)/100,0)</f>
        <v>0</v>
      </c>
      <c r="Q305">
        <f t="shared" si="27"/>
        <v>0</v>
      </c>
      <c r="R305">
        <f t="shared" si="28"/>
        <v>0</v>
      </c>
      <c r="S305">
        <f t="shared" si="29"/>
        <v>0</v>
      </c>
    </row>
    <row r="306" spans="3:19">
      <c r="C306" s="168"/>
      <c r="N306" t="str">
        <f>IFERROR(_xlfn.XLOOKUP(B306,'00_SKU_Master'!$B$2:$B$378,'00_SKU_Master'!$E$2:$E$378,""),"")</f>
        <v/>
      </c>
      <c r="O306">
        <f>IFERROR(_xlfn.XLOOKUP(B306,'00_SKU_Master'!$B$2:$B$378,'00_SKU_Master'!$F$2:$F$378,0),0)</f>
        <v>0</v>
      </c>
      <c r="P306">
        <f>IFERROR(_xlfn.XLOOKUP(N306,'00_Yield_Rates'!$B$2:$B$33,'00_Yield_Rates'!$E$2:$E$33,0)/100,0)</f>
        <v>0</v>
      </c>
      <c r="Q306">
        <f t="shared" si="27"/>
        <v>0</v>
      </c>
      <c r="R306">
        <f t="shared" si="28"/>
        <v>0</v>
      </c>
      <c r="S306">
        <f t="shared" si="29"/>
        <v>0</v>
      </c>
    </row>
    <row r="307" spans="3:19">
      <c r="C307" s="168"/>
      <c r="N307" t="str">
        <f>IFERROR(_xlfn.XLOOKUP(B307,'00_SKU_Master'!$B$2:$B$378,'00_SKU_Master'!$E$2:$E$378,""),"")</f>
        <v/>
      </c>
      <c r="O307">
        <f>IFERROR(_xlfn.XLOOKUP(B307,'00_SKU_Master'!$B$2:$B$378,'00_SKU_Master'!$F$2:$F$378,0),0)</f>
        <v>0</v>
      </c>
      <c r="P307">
        <f>IFERROR(_xlfn.XLOOKUP(N307,'00_Yield_Rates'!$B$2:$B$33,'00_Yield_Rates'!$E$2:$E$33,0)/100,0)</f>
        <v>0</v>
      </c>
      <c r="Q307">
        <f t="shared" si="27"/>
        <v>0</v>
      </c>
      <c r="R307">
        <f t="shared" si="28"/>
        <v>0</v>
      </c>
      <c r="S307">
        <f t="shared" si="29"/>
        <v>0</v>
      </c>
    </row>
    <row r="308" spans="3:19">
      <c r="C308" s="168"/>
      <c r="N308" t="str">
        <f>IFERROR(_xlfn.XLOOKUP(B308,'00_SKU_Master'!$B$2:$B$378,'00_SKU_Master'!$E$2:$E$378,""),"")</f>
        <v/>
      </c>
      <c r="O308">
        <f>IFERROR(_xlfn.XLOOKUP(B308,'00_SKU_Master'!$B$2:$B$378,'00_SKU_Master'!$F$2:$F$378,0),0)</f>
        <v>0</v>
      </c>
      <c r="P308">
        <f>IFERROR(_xlfn.XLOOKUP(N308,'00_Yield_Rates'!$B$2:$B$33,'00_Yield_Rates'!$E$2:$E$33,0)/100,0)</f>
        <v>0</v>
      </c>
      <c r="Q308">
        <f t="shared" si="27"/>
        <v>0</v>
      </c>
      <c r="R308">
        <f t="shared" si="28"/>
        <v>0</v>
      </c>
      <c r="S308">
        <f t="shared" si="29"/>
        <v>0</v>
      </c>
    </row>
    <row r="309" spans="3:19">
      <c r="C309" s="168"/>
      <c r="N309" t="str">
        <f>IFERROR(_xlfn.XLOOKUP(B309,'00_SKU_Master'!$B$2:$B$378,'00_SKU_Master'!$E$2:$E$378,""),"")</f>
        <v/>
      </c>
      <c r="O309">
        <f>IFERROR(_xlfn.XLOOKUP(B309,'00_SKU_Master'!$B$2:$B$378,'00_SKU_Master'!$F$2:$F$378,0),0)</f>
        <v>0</v>
      </c>
      <c r="P309">
        <f>IFERROR(_xlfn.XLOOKUP(N309,'00_Yield_Rates'!$B$2:$B$33,'00_Yield_Rates'!$E$2:$E$33,0)/100,0)</f>
        <v>0</v>
      </c>
      <c r="Q309">
        <f t="shared" si="27"/>
        <v>0</v>
      </c>
      <c r="R309">
        <f t="shared" si="28"/>
        <v>0</v>
      </c>
      <c r="S309">
        <f t="shared" si="29"/>
        <v>0</v>
      </c>
    </row>
    <row r="310" spans="3:19">
      <c r="C310" s="168"/>
      <c r="N310" t="str">
        <f>IFERROR(_xlfn.XLOOKUP(B310,'00_SKU_Master'!$B$2:$B$378,'00_SKU_Master'!$E$2:$E$378,""),"")</f>
        <v/>
      </c>
      <c r="O310">
        <f>IFERROR(_xlfn.XLOOKUP(B310,'00_SKU_Master'!$B$2:$B$378,'00_SKU_Master'!$F$2:$F$378,0),0)</f>
        <v>0</v>
      </c>
      <c r="P310">
        <f>IFERROR(_xlfn.XLOOKUP(N310,'00_Yield_Rates'!$B$2:$B$33,'00_Yield_Rates'!$E$2:$E$33,0)/100,0)</f>
        <v>0</v>
      </c>
      <c r="Q310">
        <f t="shared" si="27"/>
        <v>0</v>
      </c>
      <c r="R310">
        <f t="shared" si="28"/>
        <v>0</v>
      </c>
      <c r="S310">
        <f t="shared" si="29"/>
        <v>0</v>
      </c>
    </row>
    <row r="311" spans="3:19">
      <c r="C311" s="168"/>
      <c r="N311" t="str">
        <f>IFERROR(_xlfn.XLOOKUP(B311,'00_SKU_Master'!$B$2:$B$378,'00_SKU_Master'!$E$2:$E$378,""),"")</f>
        <v/>
      </c>
      <c r="O311">
        <f>IFERROR(_xlfn.XLOOKUP(B311,'00_SKU_Master'!$B$2:$B$378,'00_SKU_Master'!$F$2:$F$378,0),0)</f>
        <v>0</v>
      </c>
      <c r="P311">
        <f>IFERROR(_xlfn.XLOOKUP(N311,'00_Yield_Rates'!$B$2:$B$33,'00_Yield_Rates'!$E$2:$E$33,0)/100,0)</f>
        <v>0</v>
      </c>
      <c r="Q311">
        <f t="shared" si="27"/>
        <v>0</v>
      </c>
      <c r="R311">
        <f t="shared" si="28"/>
        <v>0</v>
      </c>
      <c r="S311">
        <f t="shared" si="29"/>
        <v>0</v>
      </c>
    </row>
    <row r="312" spans="3:19">
      <c r="C312" s="168"/>
      <c r="N312" t="str">
        <f>IFERROR(_xlfn.XLOOKUP(B312,'00_SKU_Master'!$B$2:$B$378,'00_SKU_Master'!$E$2:$E$378,""),"")</f>
        <v/>
      </c>
      <c r="O312">
        <f>IFERROR(_xlfn.XLOOKUP(B312,'00_SKU_Master'!$B$2:$B$378,'00_SKU_Master'!$F$2:$F$378,0),0)</f>
        <v>0</v>
      </c>
      <c r="P312">
        <f>IFERROR(_xlfn.XLOOKUP(N312,'00_Yield_Rates'!$B$2:$B$33,'00_Yield_Rates'!$E$2:$E$33,0)/100,0)</f>
        <v>0</v>
      </c>
      <c r="Q312">
        <f t="shared" si="27"/>
        <v>0</v>
      </c>
      <c r="R312">
        <f t="shared" si="28"/>
        <v>0</v>
      </c>
      <c r="S312">
        <f t="shared" si="29"/>
        <v>0</v>
      </c>
    </row>
    <row r="313" spans="3:19">
      <c r="C313" s="168"/>
      <c r="N313" t="str">
        <f>IFERROR(_xlfn.XLOOKUP(B313,'00_SKU_Master'!$B$2:$B$378,'00_SKU_Master'!$E$2:$E$378,""),"")</f>
        <v/>
      </c>
      <c r="O313">
        <f>IFERROR(_xlfn.XLOOKUP(B313,'00_SKU_Master'!$B$2:$B$378,'00_SKU_Master'!$F$2:$F$378,0),0)</f>
        <v>0</v>
      </c>
      <c r="P313">
        <f>IFERROR(_xlfn.XLOOKUP(N313,'00_Yield_Rates'!$B$2:$B$33,'00_Yield_Rates'!$E$2:$E$33,0)/100,0)</f>
        <v>0</v>
      </c>
      <c r="Q313">
        <f t="shared" si="27"/>
        <v>0</v>
      </c>
      <c r="R313">
        <f t="shared" si="28"/>
        <v>0</v>
      </c>
      <c r="S313">
        <f t="shared" si="29"/>
        <v>0</v>
      </c>
    </row>
    <row r="314" spans="3:19">
      <c r="C314" s="168"/>
      <c r="N314" t="str">
        <f>IFERROR(_xlfn.XLOOKUP(B314,'00_SKU_Master'!$B$2:$B$378,'00_SKU_Master'!$E$2:$E$378,""),"")</f>
        <v/>
      </c>
      <c r="O314">
        <f>IFERROR(_xlfn.XLOOKUP(B314,'00_SKU_Master'!$B$2:$B$378,'00_SKU_Master'!$F$2:$F$378,0),0)</f>
        <v>0</v>
      </c>
      <c r="P314">
        <f>IFERROR(_xlfn.XLOOKUP(N314,'00_Yield_Rates'!$B$2:$B$33,'00_Yield_Rates'!$E$2:$E$33,0)/100,0)</f>
        <v>0</v>
      </c>
      <c r="Q314">
        <f t="shared" si="27"/>
        <v>0</v>
      </c>
      <c r="R314">
        <f t="shared" si="28"/>
        <v>0</v>
      </c>
      <c r="S314">
        <f t="shared" si="29"/>
        <v>0</v>
      </c>
    </row>
    <row r="315" spans="3:19">
      <c r="C315" s="168"/>
      <c r="N315" t="str">
        <f>IFERROR(_xlfn.XLOOKUP(B315,'00_SKU_Master'!$B$2:$B$378,'00_SKU_Master'!$E$2:$E$378,""),"")</f>
        <v/>
      </c>
      <c r="O315">
        <f>IFERROR(_xlfn.XLOOKUP(B315,'00_SKU_Master'!$B$2:$B$378,'00_SKU_Master'!$F$2:$F$378,0),0)</f>
        <v>0</v>
      </c>
      <c r="P315">
        <f>IFERROR(_xlfn.XLOOKUP(N315,'00_Yield_Rates'!$B$2:$B$33,'00_Yield_Rates'!$E$2:$E$33,0)/100,0)</f>
        <v>0</v>
      </c>
      <c r="Q315">
        <f t="shared" si="27"/>
        <v>0</v>
      </c>
      <c r="R315">
        <f t="shared" si="28"/>
        <v>0</v>
      </c>
      <c r="S315">
        <f t="shared" si="29"/>
        <v>0</v>
      </c>
    </row>
    <row r="316" spans="3:19">
      <c r="C316" s="168"/>
      <c r="N316" t="str">
        <f>IFERROR(_xlfn.XLOOKUP(B316,'00_SKU_Master'!$B$2:$B$378,'00_SKU_Master'!$E$2:$E$378,""),"")</f>
        <v/>
      </c>
      <c r="O316">
        <f>IFERROR(_xlfn.XLOOKUP(B316,'00_SKU_Master'!$B$2:$B$378,'00_SKU_Master'!$F$2:$F$378,0),0)</f>
        <v>0</v>
      </c>
      <c r="P316">
        <f>IFERROR(_xlfn.XLOOKUP(N316,'00_Yield_Rates'!$B$2:$B$33,'00_Yield_Rates'!$E$2:$E$33,0)/100,0)</f>
        <v>0</v>
      </c>
      <c r="Q316">
        <f t="shared" si="27"/>
        <v>0</v>
      </c>
      <c r="R316">
        <f t="shared" si="28"/>
        <v>0</v>
      </c>
      <c r="S316">
        <f t="shared" si="29"/>
        <v>0</v>
      </c>
    </row>
    <row r="317" spans="3:19">
      <c r="C317" s="168"/>
      <c r="N317" t="str">
        <f>IFERROR(_xlfn.XLOOKUP(B317,'00_SKU_Master'!$B$2:$B$378,'00_SKU_Master'!$E$2:$E$378,""),"")</f>
        <v/>
      </c>
      <c r="O317">
        <f>IFERROR(_xlfn.XLOOKUP(B317,'00_SKU_Master'!$B$2:$B$378,'00_SKU_Master'!$F$2:$F$378,0),0)</f>
        <v>0</v>
      </c>
      <c r="P317">
        <f>IFERROR(_xlfn.XLOOKUP(N317,'00_Yield_Rates'!$B$2:$B$33,'00_Yield_Rates'!$E$2:$E$33,0)/100,0)</f>
        <v>0</v>
      </c>
      <c r="Q317">
        <f t="shared" si="27"/>
        <v>0</v>
      </c>
      <c r="R317">
        <f t="shared" si="28"/>
        <v>0</v>
      </c>
      <c r="S317">
        <f t="shared" si="29"/>
        <v>0</v>
      </c>
    </row>
    <row r="318" spans="3:19">
      <c r="C318" s="168"/>
      <c r="N318" t="str">
        <f>IFERROR(_xlfn.XLOOKUP(B318,'00_SKU_Master'!$B$2:$B$378,'00_SKU_Master'!$E$2:$E$378,""),"")</f>
        <v/>
      </c>
      <c r="O318">
        <f>IFERROR(_xlfn.XLOOKUP(B318,'00_SKU_Master'!$B$2:$B$378,'00_SKU_Master'!$F$2:$F$378,0),0)</f>
        <v>0</v>
      </c>
      <c r="P318">
        <f>IFERROR(_xlfn.XLOOKUP(N318,'00_Yield_Rates'!$B$2:$B$33,'00_Yield_Rates'!$E$2:$E$33,0)/100,0)</f>
        <v>0</v>
      </c>
      <c r="Q318">
        <f t="shared" si="27"/>
        <v>0</v>
      </c>
      <c r="R318">
        <f t="shared" si="28"/>
        <v>0</v>
      </c>
      <c r="S318">
        <f t="shared" si="29"/>
        <v>0</v>
      </c>
    </row>
    <row r="319" spans="3:19">
      <c r="C319" s="168"/>
      <c r="N319" t="str">
        <f>IFERROR(_xlfn.XLOOKUP(B319,'00_SKU_Master'!$B$2:$B$378,'00_SKU_Master'!$E$2:$E$378,""),"")</f>
        <v/>
      </c>
      <c r="O319">
        <f>IFERROR(_xlfn.XLOOKUP(B319,'00_SKU_Master'!$B$2:$B$378,'00_SKU_Master'!$F$2:$F$378,0),0)</f>
        <v>0</v>
      </c>
      <c r="P319">
        <f>IFERROR(_xlfn.XLOOKUP(N319,'00_Yield_Rates'!$B$2:$B$33,'00_Yield_Rates'!$E$2:$E$33,0)/100,0)</f>
        <v>0</v>
      </c>
      <c r="Q319">
        <f t="shared" si="27"/>
        <v>0</v>
      </c>
      <c r="R319">
        <f t="shared" si="28"/>
        <v>0</v>
      </c>
      <c r="S319">
        <f t="shared" si="29"/>
        <v>0</v>
      </c>
    </row>
    <row r="320" spans="3:19">
      <c r="C320" s="168"/>
      <c r="N320" t="str">
        <f>IFERROR(_xlfn.XLOOKUP(B320,'00_SKU_Master'!$B$2:$B$378,'00_SKU_Master'!$E$2:$E$378,""),"")</f>
        <v/>
      </c>
      <c r="O320">
        <f>IFERROR(_xlfn.XLOOKUP(B320,'00_SKU_Master'!$B$2:$B$378,'00_SKU_Master'!$F$2:$F$378,0),0)</f>
        <v>0</v>
      </c>
      <c r="P320">
        <f>IFERROR(_xlfn.XLOOKUP(N320,'00_Yield_Rates'!$B$2:$B$33,'00_Yield_Rates'!$E$2:$E$33,0)/100,0)</f>
        <v>0</v>
      </c>
      <c r="Q320">
        <f t="shared" si="27"/>
        <v>0</v>
      </c>
      <c r="R320">
        <f t="shared" si="28"/>
        <v>0</v>
      </c>
      <c r="S320">
        <f t="shared" si="29"/>
        <v>0</v>
      </c>
    </row>
    <row r="321" spans="3:19">
      <c r="C321" s="168"/>
      <c r="N321" t="str">
        <f>IFERROR(_xlfn.XLOOKUP(B321,'00_SKU_Master'!$B$2:$B$378,'00_SKU_Master'!$E$2:$E$378,""),"")</f>
        <v/>
      </c>
      <c r="O321">
        <f>IFERROR(_xlfn.XLOOKUP(B321,'00_SKU_Master'!$B$2:$B$378,'00_SKU_Master'!$F$2:$F$378,0),0)</f>
        <v>0</v>
      </c>
      <c r="P321">
        <f>IFERROR(_xlfn.XLOOKUP(N321,'00_Yield_Rates'!$B$2:$B$33,'00_Yield_Rates'!$E$2:$E$33,0)/100,0)</f>
        <v>0</v>
      </c>
      <c r="Q321">
        <f t="shared" si="27"/>
        <v>0</v>
      </c>
      <c r="R321">
        <f t="shared" si="28"/>
        <v>0</v>
      </c>
      <c r="S321">
        <f t="shared" si="29"/>
        <v>0</v>
      </c>
    </row>
    <row r="322" spans="3:19">
      <c r="C322" s="168"/>
      <c r="N322" t="str">
        <f>IFERROR(_xlfn.XLOOKUP(B322,'00_SKU_Master'!$B$2:$B$378,'00_SKU_Master'!$E$2:$E$378,""),"")</f>
        <v/>
      </c>
      <c r="O322">
        <f>IFERROR(_xlfn.XLOOKUP(B322,'00_SKU_Master'!$B$2:$B$378,'00_SKU_Master'!$F$2:$F$378,0),0)</f>
        <v>0</v>
      </c>
      <c r="P322">
        <f>IFERROR(_xlfn.XLOOKUP(N322,'00_Yield_Rates'!$B$2:$B$33,'00_Yield_Rates'!$E$2:$E$33,0)/100,0)</f>
        <v>0</v>
      </c>
      <c r="Q322">
        <f t="shared" ref="Q322:Q328" si="30">IF(AND(ISNUMBER(M322),ISNUMBER(O322)),M322*O322,0)</f>
        <v>0</v>
      </c>
      <c r="R322">
        <f t="shared" ref="R322:R328" si="31">IF(AND(ISNUMBER(Q322),P322&gt;0),Q322/P322,0)</f>
        <v>0</v>
      </c>
      <c r="S322">
        <f t="shared" ref="S322:S328" si="32">IF(R322&gt;0,ROUNDUP(R322/680,1),0)</f>
        <v>0</v>
      </c>
    </row>
    <row r="323" spans="3:19">
      <c r="C323" s="168"/>
      <c r="N323" t="str">
        <f>IFERROR(_xlfn.XLOOKUP(B323,'00_SKU_Master'!$B$2:$B$378,'00_SKU_Master'!$E$2:$E$378,""),"")</f>
        <v/>
      </c>
      <c r="O323">
        <f>IFERROR(_xlfn.XLOOKUP(B323,'00_SKU_Master'!$B$2:$B$378,'00_SKU_Master'!$F$2:$F$378,0),0)</f>
        <v>0</v>
      </c>
      <c r="P323">
        <f>IFERROR(_xlfn.XLOOKUP(N323,'00_Yield_Rates'!$B$2:$B$33,'00_Yield_Rates'!$E$2:$E$33,0)/100,0)</f>
        <v>0</v>
      </c>
      <c r="Q323">
        <f t="shared" si="30"/>
        <v>0</v>
      </c>
      <c r="R323">
        <f t="shared" si="31"/>
        <v>0</v>
      </c>
      <c r="S323">
        <f t="shared" si="32"/>
        <v>0</v>
      </c>
    </row>
    <row r="324" spans="3:19">
      <c r="C324" s="168"/>
      <c r="N324" t="str">
        <f>IFERROR(_xlfn.XLOOKUP(B324,'00_SKU_Master'!$B$2:$B$378,'00_SKU_Master'!$E$2:$E$378,""),"")</f>
        <v/>
      </c>
      <c r="O324">
        <f>IFERROR(_xlfn.XLOOKUP(B324,'00_SKU_Master'!$B$2:$B$378,'00_SKU_Master'!$F$2:$F$378,0),0)</f>
        <v>0</v>
      </c>
      <c r="P324">
        <f>IFERROR(_xlfn.XLOOKUP(N324,'00_Yield_Rates'!$B$2:$B$33,'00_Yield_Rates'!$E$2:$E$33,0)/100,0)</f>
        <v>0</v>
      </c>
      <c r="Q324">
        <f t="shared" si="30"/>
        <v>0</v>
      </c>
      <c r="R324">
        <f t="shared" si="31"/>
        <v>0</v>
      </c>
      <c r="S324">
        <f t="shared" si="32"/>
        <v>0</v>
      </c>
    </row>
    <row r="325" spans="3:19">
      <c r="C325" s="168"/>
      <c r="N325" t="str">
        <f>IFERROR(_xlfn.XLOOKUP(B325,'00_SKU_Master'!$B$2:$B$378,'00_SKU_Master'!$E$2:$E$378,""),"")</f>
        <v/>
      </c>
      <c r="O325">
        <f>IFERROR(_xlfn.XLOOKUP(B325,'00_SKU_Master'!$B$2:$B$378,'00_SKU_Master'!$F$2:$F$378,0),0)</f>
        <v>0</v>
      </c>
      <c r="P325">
        <f>IFERROR(_xlfn.XLOOKUP(N325,'00_Yield_Rates'!$B$2:$B$33,'00_Yield_Rates'!$E$2:$E$33,0)/100,0)</f>
        <v>0</v>
      </c>
      <c r="Q325">
        <f t="shared" si="30"/>
        <v>0</v>
      </c>
      <c r="R325">
        <f t="shared" si="31"/>
        <v>0</v>
      </c>
      <c r="S325">
        <f t="shared" si="32"/>
        <v>0</v>
      </c>
    </row>
    <row r="326" spans="3:19">
      <c r="C326" s="168"/>
      <c r="N326" t="str">
        <f>IFERROR(_xlfn.XLOOKUP(B326,'00_SKU_Master'!$B$2:$B$378,'00_SKU_Master'!$E$2:$E$378,""),"")</f>
        <v/>
      </c>
      <c r="O326">
        <f>IFERROR(_xlfn.XLOOKUP(B326,'00_SKU_Master'!$B$2:$B$378,'00_SKU_Master'!$F$2:$F$378,0),0)</f>
        <v>0</v>
      </c>
      <c r="P326">
        <f>IFERROR(_xlfn.XLOOKUP(N326,'00_Yield_Rates'!$B$2:$B$33,'00_Yield_Rates'!$E$2:$E$33,0)/100,0)</f>
        <v>0</v>
      </c>
      <c r="Q326">
        <f t="shared" si="30"/>
        <v>0</v>
      </c>
      <c r="R326">
        <f t="shared" si="31"/>
        <v>0</v>
      </c>
      <c r="S326">
        <f t="shared" si="32"/>
        <v>0</v>
      </c>
    </row>
    <row r="327" spans="3:19">
      <c r="C327" s="168"/>
      <c r="N327" t="str">
        <f>IFERROR(_xlfn.XLOOKUP(B327,'00_SKU_Master'!$B$2:$B$378,'00_SKU_Master'!$E$2:$E$378,""),"")</f>
        <v/>
      </c>
      <c r="O327">
        <f>IFERROR(_xlfn.XLOOKUP(B327,'00_SKU_Master'!$B$2:$B$378,'00_SKU_Master'!$F$2:$F$378,0),0)</f>
        <v>0</v>
      </c>
      <c r="P327">
        <f>IFERROR(_xlfn.XLOOKUP(N327,'00_Yield_Rates'!$B$2:$B$33,'00_Yield_Rates'!$E$2:$E$33,0)/100,0)</f>
        <v>0</v>
      </c>
      <c r="Q327">
        <f t="shared" si="30"/>
        <v>0</v>
      </c>
      <c r="R327">
        <f t="shared" si="31"/>
        <v>0</v>
      </c>
      <c r="S327">
        <f t="shared" si="32"/>
        <v>0</v>
      </c>
    </row>
    <row r="328" spans="3:19">
      <c r="C328" s="168"/>
      <c r="N328" t="str">
        <f>IFERROR(_xlfn.XLOOKUP(B328,'00_SKU_Master'!$B$2:$B$378,'00_SKU_Master'!$E$2:$E$378,""),"")</f>
        <v/>
      </c>
      <c r="O328">
        <f>IFERROR(_xlfn.XLOOKUP(B328,'00_SKU_Master'!$B$2:$B$378,'00_SKU_Master'!$F$2:$F$378,0),0)</f>
        <v>0</v>
      </c>
      <c r="P328">
        <f>IFERROR(_xlfn.XLOOKUP(N328,'00_Yield_Rates'!$B$2:$B$33,'00_Yield_Rates'!$E$2:$E$33,0)/100,0)</f>
        <v>0</v>
      </c>
      <c r="Q328">
        <f t="shared" si="30"/>
        <v>0</v>
      </c>
      <c r="R328">
        <f t="shared" si="31"/>
        <v>0</v>
      </c>
      <c r="S328">
        <f t="shared" si="32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P58"/>
  <sheetViews>
    <sheetView workbookViewId="0"/>
  </sheetViews>
  <sheetFormatPr defaultRowHeight="14.4"/>
  <cols>
    <col min="1" max="1" width="2.109375" customWidth="1"/>
    <col min="2" max="2" width="42" customWidth="1"/>
    <col min="3" max="3" width="11.21875" customWidth="1"/>
    <col min="4" max="4" width="10.5546875" customWidth="1"/>
    <col min="5" max="5" width="12.21875" customWidth="1"/>
    <col min="6" max="6" width="10.21875" customWidth="1"/>
    <col min="7" max="7" width="9.21875" customWidth="1"/>
    <col min="8" max="8" width="2.77734375" customWidth="1"/>
    <col min="10" max="10" width="11.77734375" customWidth="1"/>
  </cols>
  <sheetData>
    <row r="1" spans="1:16" ht="39" customHeight="1">
      <c r="A1" s="182"/>
      <c r="B1" s="183" t="s">
        <v>528</v>
      </c>
      <c r="C1" s="183" t="s">
        <v>529</v>
      </c>
      <c r="D1" s="183" t="s">
        <v>530</v>
      </c>
      <c r="E1" s="183" t="s">
        <v>531</v>
      </c>
      <c r="F1" s="184" t="s">
        <v>532</v>
      </c>
      <c r="G1" s="184" t="s">
        <v>533</v>
      </c>
      <c r="H1" s="185"/>
      <c r="J1" s="186" t="s">
        <v>534</v>
      </c>
      <c r="K1" s="186" t="s">
        <v>535</v>
      </c>
      <c r="L1" s="186" t="s">
        <v>536</v>
      </c>
      <c r="M1" s="186" t="s">
        <v>514</v>
      </c>
    </row>
    <row r="2" spans="1:16">
      <c r="A2" s="187"/>
      <c r="B2" s="188" t="e">
        <f>_xlfn.XLOOKUP(C2,'00_SKU_Master'!$B$2:$B$378,'00_SKU_Master'!J:J)</f>
        <v>#VALUE!</v>
      </c>
      <c r="C2" s="189">
        <v>61010</v>
      </c>
      <c r="D2" s="190">
        <f>CEILING(SUMIF('00_SKU_Master'!$C$2:$C$378,C3,'00_SKU_Master'!S:S),1)/25</f>
        <v>0</v>
      </c>
      <c r="E2" s="191">
        <f>_xlfn.IFNA(_xlfn.XLOOKUP(C2,J:J,L:L),"0")</f>
        <v>0</v>
      </c>
      <c r="F2" s="192">
        <f t="shared" ref="F2:F42" si="0">D3-E3</f>
        <v>-18</v>
      </c>
      <c r="G2" s="193" t="e">
        <f>SUMIF('02_TrayPack_Order'!M5:M257,C2,'02_TrayPack_Order'!T5:T257)</f>
        <v>#VALUE!</v>
      </c>
      <c r="H2" s="194"/>
      <c r="J2" s="50">
        <v>61086</v>
      </c>
      <c r="K2" s="50">
        <v>30</v>
      </c>
      <c r="L2" s="50">
        <v>22</v>
      </c>
      <c r="M2" s="50">
        <v>8</v>
      </c>
    </row>
    <row r="3" spans="1:16">
      <c r="B3" s="188" t="e">
        <f>_xlfn.XLOOKUP(C3,'00_SKU_Master'!$B$2:$B$378,'00_SKU_Master'!J:J)</f>
        <v>#VALUE!</v>
      </c>
      <c r="C3" s="189">
        <v>61014</v>
      </c>
      <c r="D3" s="190">
        <f>CEILING(SUMIF('00_SKU_Master'!$C$2:$C$378,C4,'00_SKU_Master'!S:S),1)/25</f>
        <v>0</v>
      </c>
      <c r="E3" s="191">
        <f t="shared" ref="E3:E42" si="1">_xlfn.IFNA(_xlfn.XLOOKUP(C3,J:J,L:L),"0")</f>
        <v>18</v>
      </c>
      <c r="F3" s="192">
        <f t="shared" si="0"/>
        <v>0</v>
      </c>
      <c r="G3" s="193" t="e">
        <f>SUMIF('02_TrayPack_Order'!M6:M258,C3,'02_TrayPack_Order'!T6:T258)</f>
        <v>#VALUE!</v>
      </c>
      <c r="H3" s="194"/>
      <c r="I3" s="187"/>
      <c r="J3" s="50">
        <v>61072</v>
      </c>
      <c r="K3" s="50">
        <v>0</v>
      </c>
      <c r="L3" s="50">
        <v>0</v>
      </c>
      <c r="M3" s="50">
        <v>0</v>
      </c>
      <c r="N3" s="187"/>
      <c r="P3" s="187"/>
    </row>
    <row r="4" spans="1:16">
      <c r="A4" s="187"/>
      <c r="B4" s="188" t="e">
        <f>_xlfn.XLOOKUP(C4,'00_SKU_Master'!$B$2:$B$378,'00_SKU_Master'!J:J)</f>
        <v>#VALUE!</v>
      </c>
      <c r="C4" s="189">
        <v>61018</v>
      </c>
      <c r="D4" s="190">
        <f>CEILING(SUMIF('00_SKU_Master'!$C$2:$C$378,C5,'00_SKU_Master'!S:S),1)/25</f>
        <v>0</v>
      </c>
      <c r="E4" s="191" t="str">
        <f t="shared" si="1"/>
        <v>0</v>
      </c>
      <c r="F4" s="192">
        <f t="shared" si="0"/>
        <v>0</v>
      </c>
      <c r="G4" s="193">
        <f>SUMIF('02_TrayPack_Order'!M7:M259,C4,'02_TrayPack_Order'!T7:T259)</f>
        <v>0</v>
      </c>
      <c r="H4" s="194"/>
      <c r="J4" s="50">
        <v>61050</v>
      </c>
      <c r="K4" s="50">
        <v>0</v>
      </c>
      <c r="L4" s="50">
        <v>0</v>
      </c>
      <c r="M4" s="50">
        <v>0</v>
      </c>
    </row>
    <row r="5" spans="1:16">
      <c r="A5" s="187"/>
      <c r="B5" s="188" t="e">
        <f>_xlfn.XLOOKUP(C5,'00_SKU_Master'!$B$2:$B$378,'00_SKU_Master'!J:J)</f>
        <v>#VALUE!</v>
      </c>
      <c r="C5" s="189">
        <v>61040</v>
      </c>
      <c r="D5" s="190">
        <f>CEILING(SUMIF('00_SKU_Master'!$C$2:$C$378,C6,'00_SKU_Master'!S:S),1)/25</f>
        <v>0</v>
      </c>
      <c r="E5" s="191">
        <f t="shared" si="1"/>
        <v>0</v>
      </c>
      <c r="F5" s="192">
        <f t="shared" si="0"/>
        <v>0</v>
      </c>
      <c r="G5" s="193" t="e">
        <f>SUMIF('02_TrayPack_Order'!M8:M260,C5,'02_TrayPack_Order'!T8:T260)</f>
        <v>#VALUE!</v>
      </c>
      <c r="H5" s="194"/>
      <c r="J5" s="50">
        <v>61014</v>
      </c>
      <c r="K5" s="50">
        <v>112</v>
      </c>
      <c r="L5" s="50">
        <v>18</v>
      </c>
      <c r="M5" s="50">
        <v>94</v>
      </c>
    </row>
    <row r="6" spans="1:16">
      <c r="A6" s="187"/>
      <c r="B6" s="188" t="e">
        <f>_xlfn.XLOOKUP(C6,'00_SKU_Master'!$B$2:$B$378,'00_SKU_Master'!J:J)</f>
        <v>#VALUE!</v>
      </c>
      <c r="C6" s="189">
        <v>61050</v>
      </c>
      <c r="D6" s="190">
        <f>CEILING(SUMIF('00_SKU_Master'!$C$2:$C$378,C7,'00_SKU_Master'!S:S),1)/25</f>
        <v>0</v>
      </c>
      <c r="E6" s="191">
        <f t="shared" si="1"/>
        <v>0</v>
      </c>
      <c r="F6" s="192">
        <f t="shared" si="0"/>
        <v>0</v>
      </c>
      <c r="G6" s="193" t="e">
        <f>SUMIF('02_TrayPack_Order'!M9:M261,C6,'02_TrayPack_Order'!T9:T261)</f>
        <v>#VALUE!</v>
      </c>
      <c r="H6" s="195"/>
      <c r="J6" s="50">
        <v>61040</v>
      </c>
      <c r="K6" s="50">
        <v>0</v>
      </c>
      <c r="L6" s="50">
        <v>0</v>
      </c>
      <c r="M6" s="50">
        <v>0</v>
      </c>
    </row>
    <row r="7" spans="1:16">
      <c r="A7" s="187"/>
      <c r="B7" s="188" t="e">
        <f>_xlfn.XLOOKUP(C7,'00_SKU_Master'!$B$2:$B$378,'00_SKU_Master'!J:J)</f>
        <v>#VALUE!</v>
      </c>
      <c r="C7" s="189">
        <v>61052</v>
      </c>
      <c r="D7" s="190">
        <f>CEILING(SUMIF('00_SKU_Master'!$C$2:$C$378,C8,'00_SKU_Master'!S:S),1)/25</f>
        <v>0</v>
      </c>
      <c r="E7" s="191">
        <f t="shared" si="1"/>
        <v>0</v>
      </c>
      <c r="F7" s="192">
        <f t="shared" si="0"/>
        <v>-2</v>
      </c>
      <c r="G7" s="193" t="e">
        <f>SUMIF('02_TrayPack_Order'!M10:M262,C7,'02_TrayPack_Order'!T10:T262)</f>
        <v>#VALUE!</v>
      </c>
      <c r="H7" s="195"/>
      <c r="J7" s="50">
        <v>61048</v>
      </c>
      <c r="K7" s="50">
        <v>0</v>
      </c>
      <c r="L7" s="50">
        <v>0</v>
      </c>
      <c r="M7" s="50">
        <v>0</v>
      </c>
    </row>
    <row r="8" spans="1:16">
      <c r="A8" s="187"/>
      <c r="B8" s="188" t="e">
        <f>_xlfn.XLOOKUP(C8,'00_SKU_Master'!$B$2:$B$378,'00_SKU_Master'!J:J)</f>
        <v>#VALUE!</v>
      </c>
      <c r="C8" s="189">
        <v>61054</v>
      </c>
      <c r="D8" s="190">
        <f>CEILING(SUMIF('00_SKU_Master'!$C$2:$C$378,C9,'00_SKU_Master'!S:S),1)/25</f>
        <v>0</v>
      </c>
      <c r="E8" s="191">
        <f t="shared" si="1"/>
        <v>2</v>
      </c>
      <c r="F8" s="192">
        <f t="shared" si="0"/>
        <v>0</v>
      </c>
      <c r="G8" s="193" t="e">
        <f>SUMIF('02_TrayPack_Order'!M11:M263,C8,'02_TrayPack_Order'!T11:T263)</f>
        <v>#VALUE!</v>
      </c>
      <c r="H8" s="194"/>
      <c r="J8" s="50">
        <v>61077</v>
      </c>
      <c r="K8" s="50">
        <v>214</v>
      </c>
      <c r="L8" s="50">
        <v>68</v>
      </c>
      <c r="M8" s="50">
        <v>146</v>
      </c>
    </row>
    <row r="9" spans="1:16">
      <c r="A9" s="187"/>
      <c r="B9" s="188" t="e">
        <f>_xlfn.XLOOKUP(C9,'00_SKU_Master'!$B$2:$B$378,'00_SKU_Master'!J:J)</f>
        <v>#VALUE!</v>
      </c>
      <c r="C9" s="189">
        <v>61055</v>
      </c>
      <c r="D9" s="190">
        <f>CEILING(SUMIF('00_SKU_Master'!$C$2:$C$378,C10,'00_SKU_Master'!S:S),1)/25</f>
        <v>0</v>
      </c>
      <c r="E9" s="191">
        <f t="shared" si="1"/>
        <v>0</v>
      </c>
      <c r="F9" s="192">
        <f t="shared" si="0"/>
        <v>-47</v>
      </c>
      <c r="G9" s="193" t="e">
        <f>SUMIF('02_TrayPack_Order'!M12:M264,C9,'02_TrayPack_Order'!T12:T264)</f>
        <v>#VALUE!</v>
      </c>
      <c r="H9" s="194"/>
      <c r="J9" s="50" t="s">
        <v>114</v>
      </c>
      <c r="K9" s="50">
        <v>153</v>
      </c>
      <c r="L9" s="187">
        <v>144</v>
      </c>
      <c r="M9" s="50">
        <v>9</v>
      </c>
    </row>
    <row r="10" spans="1:16">
      <c r="A10" s="187"/>
      <c r="B10" s="188" t="e">
        <f>_xlfn.XLOOKUP(C10,'00_SKU_Master'!$B$2:$B$378,'00_SKU_Master'!J:J)</f>
        <v>#VALUE!</v>
      </c>
      <c r="C10" s="196">
        <v>61061</v>
      </c>
      <c r="D10" s="190">
        <f>CEILING(SUMIF('00_SKU_Master'!$C$2:$C$378,C11,'00_SKU_Master'!S:S),1)/25</f>
        <v>0</v>
      </c>
      <c r="E10" s="191">
        <f t="shared" si="1"/>
        <v>47</v>
      </c>
      <c r="F10" s="192">
        <f t="shared" si="0"/>
        <v>0</v>
      </c>
      <c r="G10" s="193" t="e">
        <f>SUMIF('02_TrayPack_Order'!M13:M265,C10,'02_TrayPack_Order'!T13:T265)</f>
        <v>#VALUE!</v>
      </c>
      <c r="H10" s="194"/>
      <c r="J10" s="50" t="s">
        <v>122</v>
      </c>
      <c r="K10" s="50">
        <v>271</v>
      </c>
      <c r="L10" s="50">
        <v>128</v>
      </c>
      <c r="M10" s="50">
        <v>143</v>
      </c>
    </row>
    <row r="11" spans="1:16">
      <c r="A11" s="187"/>
      <c r="B11" s="188" t="e">
        <f>_xlfn.XLOOKUP(C11,'00_SKU_Master'!$B$2:$B$378,'00_SKU_Master'!J:J)</f>
        <v>#VALUE!</v>
      </c>
      <c r="C11" s="196">
        <v>61064</v>
      </c>
      <c r="D11" s="190">
        <f>CEILING(SUMIF('00_SKU_Master'!$C$2:$C$378,C12,'00_SKU_Master'!S:S),1)/25</f>
        <v>0</v>
      </c>
      <c r="E11" s="191" t="str">
        <f t="shared" si="1"/>
        <v>0</v>
      </c>
      <c r="F11" s="192">
        <f t="shared" si="0"/>
        <v>0</v>
      </c>
      <c r="G11" s="193" t="e">
        <f>SUMIF('02_TrayPack_Order'!M14:M266,C11,'02_TrayPack_Order'!T14:T266)</f>
        <v>#VALUE!</v>
      </c>
      <c r="H11" s="194"/>
      <c r="J11" s="50" t="s">
        <v>106</v>
      </c>
      <c r="K11" s="50">
        <v>1046</v>
      </c>
      <c r="L11" s="50">
        <v>67</v>
      </c>
      <c r="M11" s="50">
        <v>979</v>
      </c>
    </row>
    <row r="12" spans="1:16">
      <c r="A12" s="187"/>
      <c r="B12" s="188" t="e">
        <f>_xlfn.XLOOKUP(C12,'00_SKU_Master'!$B$2:$B$378,'00_SKU_Master'!J:J)</f>
        <v>#VALUE!</v>
      </c>
      <c r="C12" s="196">
        <v>61062</v>
      </c>
      <c r="D12" s="190">
        <f>CEILING(SUMIF('00_SKU_Master'!$C$2:$C$378,C13,'00_SKU_Master'!S:S),1)/25</f>
        <v>0</v>
      </c>
      <c r="E12" s="191" t="str">
        <f t="shared" si="1"/>
        <v>0</v>
      </c>
      <c r="F12" s="192">
        <f t="shared" si="0"/>
        <v>0</v>
      </c>
      <c r="G12" s="193">
        <f>SUMIF('02_TrayPack_Order'!M15:M267,C12,'02_TrayPack_Order'!T15:T267)</f>
        <v>0</v>
      </c>
      <c r="H12" s="194"/>
      <c r="J12" s="50">
        <v>61054</v>
      </c>
      <c r="K12" s="50">
        <v>15</v>
      </c>
      <c r="L12" s="50">
        <v>2</v>
      </c>
      <c r="M12" s="50">
        <v>13</v>
      </c>
    </row>
    <row r="13" spans="1:16">
      <c r="A13" s="187"/>
      <c r="B13" s="188" t="e">
        <f>_xlfn.XLOOKUP(C13,'00_SKU_Master'!$B$2:$B$378,'00_SKU_Master'!J:J)</f>
        <v>#VALUE!</v>
      </c>
      <c r="C13" s="196">
        <v>61071</v>
      </c>
      <c r="D13" s="190">
        <f>CEILING(SUMIF('00_SKU_Master'!$C$2:$C$378,C14,'00_SKU_Master'!S:S),1)/25</f>
        <v>0</v>
      </c>
      <c r="E13" s="191" t="str">
        <f t="shared" si="1"/>
        <v>0</v>
      </c>
      <c r="F13" s="192">
        <f t="shared" si="0"/>
        <v>0</v>
      </c>
      <c r="G13" s="193" t="e">
        <f>SUMIF('02_TrayPack_Order'!M16:M268,C13,'02_TrayPack_Order'!T16:T268)</f>
        <v>#VALUE!</v>
      </c>
      <c r="H13" s="194"/>
      <c r="J13" s="50" t="s">
        <v>97</v>
      </c>
      <c r="K13" s="50">
        <v>144</v>
      </c>
      <c r="L13" s="50">
        <v>0</v>
      </c>
      <c r="M13" s="50">
        <v>144</v>
      </c>
    </row>
    <row r="14" spans="1:16">
      <c r="A14" s="187"/>
      <c r="B14" s="188" t="e">
        <f>_xlfn.XLOOKUP(C14,'00_SKU_Master'!$B$2:$B$378,'00_SKU_Master'!J:J)</f>
        <v>#VALUE!</v>
      </c>
      <c r="C14" s="196">
        <v>61072</v>
      </c>
      <c r="D14" s="190">
        <f>CEILING(SUMIF('00_SKU_Master'!$C$2:$C$378,C15,'00_SKU_Master'!S:S),1)/25</f>
        <v>0</v>
      </c>
      <c r="E14" s="191">
        <f t="shared" si="1"/>
        <v>0</v>
      </c>
      <c r="F14" s="192">
        <f t="shared" si="0"/>
        <v>0</v>
      </c>
      <c r="G14" s="193" t="e">
        <f>SUMIF('02_TrayPack_Order'!M17:M269,C14,'02_TrayPack_Order'!T17:T269)</f>
        <v>#VALUE!</v>
      </c>
      <c r="H14" s="194"/>
      <c r="J14" s="50" t="s">
        <v>108</v>
      </c>
      <c r="K14" s="50">
        <v>12</v>
      </c>
      <c r="L14" s="50">
        <v>0</v>
      </c>
      <c r="M14" s="50">
        <v>12</v>
      </c>
    </row>
    <row r="15" spans="1:16">
      <c r="A15" s="187"/>
      <c r="B15" s="188" t="e">
        <f>_xlfn.XLOOKUP(C15,'00_SKU_Master'!$B$2:$B$378,'00_SKU_Master'!J:J)</f>
        <v>#VALUE!</v>
      </c>
      <c r="C15" s="196">
        <v>61073</v>
      </c>
      <c r="D15" s="190">
        <f>CEILING(SUMIF('00_SKU_Master'!$C$2:$C$378,C16,'00_SKU_Master'!S:S),1)/25</f>
        <v>0</v>
      </c>
      <c r="E15" s="191" t="str">
        <f t="shared" si="1"/>
        <v>0</v>
      </c>
      <c r="F15" s="192">
        <f t="shared" si="0"/>
        <v>-68</v>
      </c>
      <c r="G15" s="193">
        <f>SUMIF('02_TrayPack_Order'!M18:M270,C15,'02_TrayPack_Order'!T18:T270)</f>
        <v>0</v>
      </c>
      <c r="H15" s="194"/>
      <c r="J15" s="50">
        <v>61052</v>
      </c>
      <c r="K15" s="50">
        <v>0</v>
      </c>
      <c r="L15" s="50">
        <v>0</v>
      </c>
      <c r="M15" s="50">
        <v>0</v>
      </c>
    </row>
    <row r="16" spans="1:16">
      <c r="B16" s="188" t="e">
        <f>_xlfn.XLOOKUP(C16,'00_SKU_Master'!$B$2:$B$378,'00_SKU_Master'!J:J)</f>
        <v>#VALUE!</v>
      </c>
      <c r="C16" s="197">
        <v>61077</v>
      </c>
      <c r="D16" s="190">
        <f>CEILING(SUMIF('00_SKU_Master'!$C$2:$C$378,C17,'00_SKU_Master'!S:S),1)/25</f>
        <v>0</v>
      </c>
      <c r="E16" s="191">
        <f t="shared" si="1"/>
        <v>68</v>
      </c>
      <c r="F16" s="192">
        <f t="shared" si="0"/>
        <v>-125</v>
      </c>
      <c r="G16" s="193" t="e">
        <f>SUMIF('02_TrayPack_Order'!M19:M271,C16,'02_TrayPack_Order'!T19:T271)</f>
        <v>#VALUE!</v>
      </c>
      <c r="H16" s="194"/>
      <c r="I16" s="187"/>
      <c r="J16" s="50">
        <v>61078</v>
      </c>
      <c r="K16" s="50">
        <v>0</v>
      </c>
      <c r="L16" s="50">
        <v>125</v>
      </c>
      <c r="M16" s="50">
        <v>-125</v>
      </c>
      <c r="N16" s="187"/>
      <c r="P16" s="187"/>
    </row>
    <row r="17" spans="1:16">
      <c r="B17" s="188" t="e">
        <f>_xlfn.XLOOKUP(C17,'00_SKU_Master'!$B$2:$B$378,'00_SKU_Master'!J:J)</f>
        <v>#VALUE!</v>
      </c>
      <c r="C17" s="197">
        <v>61078</v>
      </c>
      <c r="D17" s="190">
        <f>CEILING(SUMIF('00_SKU_Master'!$C$2:$C$378,C18,'00_SKU_Master'!S:S),1)/25</f>
        <v>0</v>
      </c>
      <c r="E17" s="191">
        <f t="shared" si="1"/>
        <v>125</v>
      </c>
      <c r="F17" s="192">
        <f t="shared" si="0"/>
        <v>-25</v>
      </c>
      <c r="G17" s="193" t="e">
        <f>SUMIF('02_TrayPack_Order'!M20:M272,C17,'02_TrayPack_Order'!T20:T272)</f>
        <v>#VALUE!</v>
      </c>
      <c r="H17" s="194"/>
      <c r="I17" s="187"/>
      <c r="J17" s="50" t="s">
        <v>104</v>
      </c>
      <c r="K17" s="50">
        <v>474</v>
      </c>
      <c r="L17" s="50">
        <v>168</v>
      </c>
      <c r="M17" s="50">
        <v>306</v>
      </c>
      <c r="N17" s="187"/>
      <c r="P17" s="187"/>
    </row>
    <row r="18" spans="1:16">
      <c r="B18" s="188" t="e">
        <f>_xlfn.XLOOKUP(C18,'00_SKU_Master'!$B$2:$B$378,'00_SKU_Master'!J:J)</f>
        <v>#VALUE!</v>
      </c>
      <c r="C18" s="198">
        <v>61082</v>
      </c>
      <c r="D18" s="190">
        <f>CEILING(SUMIF('00_SKU_Master'!$C$2:$C$378,C19,'00_SKU_Master'!S:S),1)/25</f>
        <v>0</v>
      </c>
      <c r="E18" s="191">
        <f t="shared" si="1"/>
        <v>25</v>
      </c>
      <c r="F18" s="192">
        <f t="shared" si="0"/>
        <v>-22</v>
      </c>
      <c r="G18" s="193" t="e">
        <f>SUMIF('02_TrayPack_Order'!M21:M273,C18,'02_TrayPack_Order'!T21:T273)</f>
        <v>#VALUE!</v>
      </c>
      <c r="H18" s="199"/>
      <c r="I18" s="187"/>
      <c r="J18" s="50" t="s">
        <v>120</v>
      </c>
      <c r="K18" s="50">
        <v>0</v>
      </c>
      <c r="L18" s="50">
        <v>0</v>
      </c>
      <c r="M18" s="50">
        <v>0</v>
      </c>
      <c r="N18" s="187"/>
      <c r="P18" s="187"/>
    </row>
    <row r="19" spans="1:16">
      <c r="B19" s="188" t="e">
        <f>_xlfn.XLOOKUP(C19,'00_SKU_Master'!$B$2:$B$378,'00_SKU_Master'!J:J)</f>
        <v>#VALUE!</v>
      </c>
      <c r="C19" s="189">
        <v>61086</v>
      </c>
      <c r="D19" s="190">
        <f>CEILING(SUMIF('00_SKU_Master'!$C$2:$C$378,C20,'00_SKU_Master'!S:S),1)/25</f>
        <v>0</v>
      </c>
      <c r="E19" s="191">
        <f t="shared" si="1"/>
        <v>22</v>
      </c>
      <c r="F19" s="192">
        <f t="shared" si="0"/>
        <v>-48</v>
      </c>
      <c r="G19" s="193" t="e">
        <f>SUMIF('02_TrayPack_Order'!M22:M274,C19,'02_TrayPack_Order'!T22:T274)</f>
        <v>#VALUE!</v>
      </c>
      <c r="H19" s="194"/>
      <c r="I19" s="187"/>
      <c r="J19" s="50" t="s">
        <v>112</v>
      </c>
      <c r="K19" s="50">
        <v>0</v>
      </c>
      <c r="L19" s="50">
        <v>0</v>
      </c>
      <c r="M19" s="50">
        <v>0</v>
      </c>
      <c r="N19" s="187"/>
      <c r="P19" s="187"/>
    </row>
    <row r="20" spans="1:16">
      <c r="A20" s="187"/>
      <c r="B20" s="188" t="e">
        <f>_xlfn.XLOOKUP(C20,'00_SKU_Master'!$B$2:$B$378,'00_SKU_Master'!J:J)</f>
        <v>#VALUE!</v>
      </c>
      <c r="C20" s="189">
        <v>61104</v>
      </c>
      <c r="D20" s="190">
        <f>CEILING(SUMIF('00_SKU_Master'!$C$2:$C$378,C21,'00_SKU_Master'!S:S),1)/25</f>
        <v>0</v>
      </c>
      <c r="E20" s="191">
        <f t="shared" si="1"/>
        <v>48</v>
      </c>
      <c r="F20" s="192">
        <f t="shared" si="0"/>
        <v>0</v>
      </c>
      <c r="G20" s="193" t="e">
        <f>SUMIF('02_TrayPack_Order'!M23:M275,C20,'02_TrayPack_Order'!T23:T275)</f>
        <v>#VALUE!</v>
      </c>
      <c r="H20" s="194"/>
      <c r="J20" s="50" t="s">
        <v>96</v>
      </c>
      <c r="K20" s="50">
        <v>55</v>
      </c>
      <c r="L20" s="50">
        <v>0</v>
      </c>
      <c r="M20" s="50">
        <v>55</v>
      </c>
    </row>
    <row r="21" spans="1:16">
      <c r="A21" s="187"/>
      <c r="B21" s="188" t="e">
        <f>_xlfn.XLOOKUP(C21,'00_SKU_Master'!$B$2:$B$378,'00_SKU_Master'!J:J)</f>
        <v>#VALUE!</v>
      </c>
      <c r="C21" s="189">
        <v>61121</v>
      </c>
      <c r="D21" s="190">
        <f>CEILING(SUMIF('00_SKU_Master'!$C$2:$C$378,C22,'00_SKU_Master'!S:S),1)/25</f>
        <v>0</v>
      </c>
      <c r="E21" s="191">
        <f t="shared" si="1"/>
        <v>0</v>
      </c>
      <c r="F21" s="192">
        <f t="shared" si="0"/>
        <v>0</v>
      </c>
      <c r="G21" s="193">
        <f>SUMIF('02_TrayPack_Order'!M24:M276,C21,'02_TrayPack_Order'!T24:T276)</f>
        <v>0</v>
      </c>
      <c r="H21" s="194"/>
      <c r="J21" s="50" t="s">
        <v>100</v>
      </c>
      <c r="K21" s="50">
        <v>73</v>
      </c>
      <c r="L21" s="50">
        <v>24</v>
      </c>
      <c r="M21" s="50">
        <v>49</v>
      </c>
    </row>
    <row r="22" spans="1:16">
      <c r="A22" s="187"/>
      <c r="B22" s="188" t="e">
        <f>_xlfn.XLOOKUP(C22,'00_SKU_Master'!$B$2:$B$378,'00_SKU_Master'!J:J)</f>
        <v>#VALUE!</v>
      </c>
      <c r="C22" s="189">
        <v>200157</v>
      </c>
      <c r="D22" s="190">
        <f>CEILING(SUMIF('00_SKU_Master'!$C$2:$C$378,C23,'00_SKU_Master'!S:S),1)/25</f>
        <v>0</v>
      </c>
      <c r="E22" s="191" t="str">
        <f t="shared" si="1"/>
        <v>0</v>
      </c>
      <c r="F22" s="192">
        <f t="shared" si="0"/>
        <v>0</v>
      </c>
      <c r="G22" s="193">
        <f>SUMIF('02_TrayPack_Order'!M25:M277,C22,'02_TrayPack_Order'!T25:T277)</f>
        <v>0</v>
      </c>
      <c r="H22" s="194"/>
      <c r="J22" s="50" t="s">
        <v>101</v>
      </c>
      <c r="K22" s="50">
        <v>25</v>
      </c>
      <c r="L22" s="50">
        <v>0</v>
      </c>
      <c r="M22" s="50">
        <v>25</v>
      </c>
    </row>
    <row r="23" spans="1:16">
      <c r="A23" s="187"/>
      <c r="B23" s="188" t="e">
        <f>_xlfn.XLOOKUP(C23,'00_SKU_Master'!$B$2:$B$378,'00_SKU_Master'!J:J)</f>
        <v>#VALUE!</v>
      </c>
      <c r="C23" s="189">
        <v>203043</v>
      </c>
      <c r="D23" s="190">
        <f>CEILING(SUMIF('00_SKU_Master'!$C$2:$C$378,C24,'00_SKU_Master'!S:S),1)/25</f>
        <v>0</v>
      </c>
      <c r="E23" s="191">
        <f t="shared" si="1"/>
        <v>0</v>
      </c>
      <c r="F23" s="192">
        <f t="shared" si="0"/>
        <v>0</v>
      </c>
      <c r="G23" s="193">
        <f>SUMIF('02_TrayPack_Order'!M26:M278,C23,'02_TrayPack_Order'!T26:T278)</f>
        <v>0</v>
      </c>
      <c r="H23" s="194"/>
      <c r="J23" s="50" t="s">
        <v>102</v>
      </c>
      <c r="K23" s="50">
        <v>123</v>
      </c>
      <c r="L23" s="50">
        <v>127</v>
      </c>
      <c r="M23" s="50">
        <v>-4</v>
      </c>
    </row>
    <row r="24" spans="1:16">
      <c r="A24" s="187"/>
      <c r="B24" s="188" t="e">
        <f>_xlfn.XLOOKUP(C24,'00_SKU_Master'!$B$2:$B$378,'00_SKU_Master'!J:J)</f>
        <v>#VALUE!</v>
      </c>
      <c r="C24" s="189">
        <v>203044</v>
      </c>
      <c r="D24" s="190">
        <f>CEILING(SUMIF('00_SKU_Master'!$C$2:$C$378,C25,'00_SKU_Master'!S:S),1)/25</f>
        <v>0</v>
      </c>
      <c r="E24" s="191">
        <f t="shared" si="1"/>
        <v>0</v>
      </c>
      <c r="F24" s="192">
        <f t="shared" si="0"/>
        <v>0</v>
      </c>
      <c r="G24" s="193">
        <f>SUMIF('02_TrayPack_Order'!M27:M279,C24,'02_TrayPack_Order'!T27:T279)</f>
        <v>0</v>
      </c>
      <c r="H24" s="194"/>
      <c r="I24" s="187" t="s">
        <v>537</v>
      </c>
      <c r="J24" s="50">
        <v>61061</v>
      </c>
      <c r="K24" s="50">
        <v>128</v>
      </c>
      <c r="L24" s="50">
        <v>47</v>
      </c>
      <c r="M24" s="50">
        <v>81</v>
      </c>
    </row>
    <row r="25" spans="1:16">
      <c r="A25" s="187"/>
      <c r="B25" s="188" t="e">
        <f>_xlfn.XLOOKUP(C25,'00_SKU_Master'!$B$2:$B$378,'00_SKU_Master'!J:J)</f>
        <v>#VALUE!</v>
      </c>
      <c r="C25" s="189">
        <v>203891</v>
      </c>
      <c r="D25" s="190">
        <f>CEILING(SUMIF('00_SKU_Master'!$C$2:$C$378,C26,'00_SKU_Master'!S:S),1)/25</f>
        <v>0</v>
      </c>
      <c r="E25" s="191">
        <f t="shared" si="1"/>
        <v>0</v>
      </c>
      <c r="F25" s="192">
        <f t="shared" si="0"/>
        <v>0</v>
      </c>
      <c r="G25" s="193" t="e">
        <f>SUMIF('02_TrayPack_Order'!M28:M280,C25,'02_TrayPack_Order'!T28:T280)</f>
        <v>#VALUE!</v>
      </c>
      <c r="H25" s="194"/>
      <c r="J25" s="50">
        <v>61082</v>
      </c>
      <c r="K25" s="50">
        <v>182</v>
      </c>
      <c r="L25" s="50">
        <v>25</v>
      </c>
      <c r="M25" s="50">
        <v>157</v>
      </c>
    </row>
    <row r="26" spans="1:16">
      <c r="A26" s="187"/>
      <c r="B26" s="188" t="e">
        <f>_xlfn.XLOOKUP(C26,'00_SKU_Master'!$B$2:$B$378,'00_SKU_Master'!J:J)</f>
        <v>#VALUE!</v>
      </c>
      <c r="C26" s="189" t="s">
        <v>95</v>
      </c>
      <c r="D26" s="190">
        <f>CEILING(SUMIF('00_SKU_Master'!$C$2:$C$378,C27,'00_SKU_Master'!S:S),1)/25</f>
        <v>0</v>
      </c>
      <c r="E26" s="191">
        <f t="shared" si="1"/>
        <v>0</v>
      </c>
      <c r="F26" s="192">
        <f t="shared" si="0"/>
        <v>0</v>
      </c>
      <c r="G26" s="193" t="e">
        <f>SUMIF('02_TrayPack_Order'!M29:M281,C26,'02_TrayPack_Order'!T29:T281)</f>
        <v>#VALUE!</v>
      </c>
      <c r="H26" s="194"/>
      <c r="J26" s="50" t="s">
        <v>118</v>
      </c>
      <c r="K26" s="50">
        <v>25</v>
      </c>
      <c r="L26" s="50">
        <v>13</v>
      </c>
      <c r="M26" s="50">
        <v>12</v>
      </c>
    </row>
    <row r="27" spans="1:16">
      <c r="A27" s="187"/>
      <c r="B27" s="188" t="e">
        <f>_xlfn.XLOOKUP(C27,'00_SKU_Master'!$B$2:$B$378,'00_SKU_Master'!J:J)</f>
        <v>#VALUE!</v>
      </c>
      <c r="C27" s="189" t="s">
        <v>99</v>
      </c>
      <c r="D27" s="190">
        <f>CEILING(SUMIF('00_SKU_Master'!$C$2:$C$378,C28,'00_SKU_Master'!S:S),1)/25</f>
        <v>0</v>
      </c>
      <c r="E27" s="191" t="str">
        <f t="shared" si="1"/>
        <v>0</v>
      </c>
      <c r="F27" s="192">
        <f t="shared" si="0"/>
        <v>0</v>
      </c>
      <c r="G27" s="193">
        <f>SUMIF('02_TrayPack_Order'!M30:M282,C27,'02_TrayPack_Order'!T30:T282)</f>
        <v>0</v>
      </c>
      <c r="H27" s="194"/>
      <c r="J27" s="50" t="s">
        <v>110</v>
      </c>
      <c r="K27" s="50">
        <v>105</v>
      </c>
      <c r="L27" s="50">
        <v>83</v>
      </c>
      <c r="M27" s="50">
        <v>22</v>
      </c>
    </row>
    <row r="28" spans="1:16">
      <c r="A28" s="187"/>
      <c r="B28" s="188" t="e">
        <f>_xlfn.XLOOKUP(C28,'00_SKU_Master'!$B$2:$B$378,'00_SKU_Master'!J:J)</f>
        <v>#VALUE!</v>
      </c>
      <c r="C28" s="189" t="s">
        <v>96</v>
      </c>
      <c r="D28" s="190">
        <f>CEILING(SUMIF('00_SKU_Master'!$C$2:$C$378,C29,'00_SKU_Master'!S:S),1)/25</f>
        <v>0</v>
      </c>
      <c r="E28" s="191">
        <f t="shared" si="1"/>
        <v>0</v>
      </c>
      <c r="F28" s="192">
        <f t="shared" si="0"/>
        <v>0</v>
      </c>
      <c r="G28" s="193">
        <f>SUMIF('02_TrayPack_Order'!M31:M283,C28,'02_TrayPack_Order'!T31:T283)</f>
        <v>0</v>
      </c>
      <c r="H28" s="194"/>
      <c r="J28" s="50">
        <v>61010</v>
      </c>
      <c r="K28" s="50">
        <v>13</v>
      </c>
      <c r="L28" s="50">
        <v>0</v>
      </c>
      <c r="M28" s="50">
        <v>13</v>
      </c>
    </row>
    <row r="29" spans="1:16">
      <c r="A29" s="187"/>
      <c r="B29" s="188" t="e">
        <f>_xlfn.XLOOKUP(C29,'00_SKU_Master'!$B$2:$B$378,'00_SKU_Master'!J:J)</f>
        <v>#VALUE!</v>
      </c>
      <c r="C29" s="189" t="s">
        <v>97</v>
      </c>
      <c r="D29" s="190">
        <f>CEILING(SUMIF('00_SKU_Master'!$C$2:$C$378,C30,'00_SKU_Master'!S:S),1)/25</f>
        <v>0</v>
      </c>
      <c r="E29" s="191">
        <f t="shared" si="1"/>
        <v>0</v>
      </c>
      <c r="F29" s="192">
        <f t="shared" si="0"/>
        <v>-24</v>
      </c>
      <c r="G29" s="193" t="e">
        <f>SUMIF('02_TrayPack_Order'!M32:M284,C29,'02_TrayPack_Order'!T32:T284)</f>
        <v>#VALUE!</v>
      </c>
      <c r="H29" s="194"/>
      <c r="J29" s="50">
        <v>61104</v>
      </c>
      <c r="K29" s="50">
        <v>0</v>
      </c>
      <c r="L29" s="50">
        <v>48</v>
      </c>
      <c r="M29" s="50">
        <v>-48</v>
      </c>
    </row>
    <row r="30" spans="1:16">
      <c r="A30" s="187"/>
      <c r="B30" s="188" t="e">
        <f>_xlfn.XLOOKUP(C30,'00_SKU_Master'!$B$2:$B$378,'00_SKU_Master'!J:J)</f>
        <v>#VALUE!</v>
      </c>
      <c r="C30" s="189" t="s">
        <v>100</v>
      </c>
      <c r="D30" s="190">
        <f>CEILING(SUMIF('00_SKU_Master'!$C$2:$C$378,C31,'00_SKU_Master'!S:S),1)/25</f>
        <v>0</v>
      </c>
      <c r="E30" s="191">
        <f t="shared" si="1"/>
        <v>24</v>
      </c>
      <c r="F30" s="192">
        <f t="shared" si="0"/>
        <v>0</v>
      </c>
      <c r="G30" s="193" t="e">
        <f>SUMIF('02_TrayPack_Order'!M33:M285,C30,'02_TrayPack_Order'!T33:T285)</f>
        <v>#VALUE!</v>
      </c>
      <c r="H30" s="194"/>
      <c r="J30" s="50">
        <v>61121</v>
      </c>
      <c r="K30" s="50">
        <v>3</v>
      </c>
      <c r="L30" s="50">
        <v>0</v>
      </c>
      <c r="M30" s="50">
        <v>3</v>
      </c>
    </row>
    <row r="31" spans="1:16">
      <c r="A31" s="187"/>
      <c r="B31" s="188" t="e">
        <f>_xlfn.XLOOKUP(C31,'00_SKU_Master'!$B$2:$B$378,'00_SKU_Master'!J:J)</f>
        <v>#VALUE!</v>
      </c>
      <c r="C31" s="189" t="s">
        <v>101</v>
      </c>
      <c r="D31" s="190">
        <f>CEILING(SUMIF('00_SKU_Master'!$C$2:$C$378,C32,'00_SKU_Master'!S:S),1)/25</f>
        <v>0</v>
      </c>
      <c r="E31" s="191">
        <f t="shared" si="1"/>
        <v>0</v>
      </c>
      <c r="F31" s="192">
        <f t="shared" si="0"/>
        <v>-127</v>
      </c>
      <c r="G31" s="193" t="e">
        <f>SUMIF('02_TrayPack_Order'!M34:M286,C31,'02_TrayPack_Order'!T34:T286)</f>
        <v>#VALUE!</v>
      </c>
      <c r="H31" s="194"/>
      <c r="J31" s="50" t="s">
        <v>95</v>
      </c>
      <c r="K31" s="50">
        <v>0</v>
      </c>
      <c r="L31" s="50">
        <v>0</v>
      </c>
      <c r="M31" s="50">
        <v>0</v>
      </c>
    </row>
    <row r="32" spans="1:16">
      <c r="A32" s="187"/>
      <c r="B32" s="188" t="e">
        <f>_xlfn.XLOOKUP(C32,'00_SKU_Master'!$B$2:$B$378,'00_SKU_Master'!J:J)</f>
        <v>#VALUE!</v>
      </c>
      <c r="C32" s="189" t="s">
        <v>102</v>
      </c>
      <c r="D32" s="190">
        <f>CEILING(SUMIF('00_SKU_Master'!$C$2:$C$378,C33,'00_SKU_Master'!S:S),1)/25</f>
        <v>0</v>
      </c>
      <c r="E32" s="191">
        <f t="shared" si="1"/>
        <v>127</v>
      </c>
      <c r="F32" s="192">
        <f t="shared" si="0"/>
        <v>-168</v>
      </c>
      <c r="G32" s="193" t="e">
        <f>SUMIF('02_TrayPack_Order'!M35:M287,C32,'02_TrayPack_Order'!T35:T287)</f>
        <v>#VALUE!</v>
      </c>
      <c r="H32" s="194"/>
      <c r="J32" s="50">
        <v>61055</v>
      </c>
      <c r="K32" s="50">
        <v>0</v>
      </c>
      <c r="L32" s="50">
        <v>0</v>
      </c>
      <c r="M32" s="50">
        <v>0</v>
      </c>
    </row>
    <row r="33" spans="1:14">
      <c r="A33" s="187"/>
      <c r="B33" s="188" t="e">
        <f>_xlfn.XLOOKUP(C33,'00_SKU_Master'!$B$2:$B$378,'00_SKU_Master'!J:J)</f>
        <v>#VALUE!</v>
      </c>
      <c r="C33" s="189" t="s">
        <v>104</v>
      </c>
      <c r="D33" s="190">
        <f>CEILING(SUMIF('00_SKU_Master'!$C$2:$C$378,C34,'00_SKU_Master'!S:S),1)/25</f>
        <v>0</v>
      </c>
      <c r="E33" s="191">
        <f t="shared" si="1"/>
        <v>168</v>
      </c>
      <c r="F33" s="192">
        <f t="shared" si="0"/>
        <v>-67</v>
      </c>
      <c r="G33" s="193" t="e">
        <f>SUMIF('02_TrayPack_Order'!M36:M288,C33,'02_TrayPack_Order'!T36:T288)</f>
        <v>#VALUE!</v>
      </c>
      <c r="H33" s="194"/>
      <c r="J33" s="50">
        <v>203043</v>
      </c>
      <c r="K33" s="50">
        <v>115</v>
      </c>
      <c r="L33" s="50">
        <v>0</v>
      </c>
      <c r="M33" s="50">
        <v>115</v>
      </c>
    </row>
    <row r="34" spans="1:14">
      <c r="A34" s="187"/>
      <c r="B34" s="188" t="e">
        <f>_xlfn.XLOOKUP(C34,'00_SKU_Master'!$B$2:$B$378,'00_SKU_Master'!J:J)</f>
        <v>#VALUE!</v>
      </c>
      <c r="C34" s="189" t="s">
        <v>106</v>
      </c>
      <c r="D34" s="190">
        <f>CEILING(SUMIF('00_SKU_Master'!$C$2:$C$378,C35,'00_SKU_Master'!S:S),1)/25</f>
        <v>0</v>
      </c>
      <c r="E34" s="191">
        <f t="shared" si="1"/>
        <v>67</v>
      </c>
      <c r="F34" s="192">
        <f t="shared" si="0"/>
        <v>0</v>
      </c>
      <c r="G34" s="193" t="e">
        <f>SUMIF('02_TrayPack_Order'!M37:M289,C34,'02_TrayPack_Order'!T37:T289)</f>
        <v>#VALUE!</v>
      </c>
      <c r="H34" s="194"/>
      <c r="J34" s="50">
        <v>203891</v>
      </c>
      <c r="K34" s="50">
        <v>195</v>
      </c>
      <c r="L34" s="50">
        <v>0</v>
      </c>
      <c r="M34" s="50">
        <v>195</v>
      </c>
    </row>
    <row r="35" spans="1:14">
      <c r="B35" s="188" t="e">
        <f>_xlfn.XLOOKUP(C35,'00_SKU_Master'!$B$2:$B$378,'00_SKU_Master'!J:J)</f>
        <v>#VALUE!</v>
      </c>
      <c r="C35" s="189" t="s">
        <v>108</v>
      </c>
      <c r="D35" s="190">
        <f>CEILING(SUMIF('00_SKU_Master'!$C$2:$C$378,C36,'00_SKU_Master'!S:S),1)/25</f>
        <v>0</v>
      </c>
      <c r="E35" s="191">
        <f t="shared" si="1"/>
        <v>0</v>
      </c>
      <c r="F35" s="192">
        <f t="shared" si="0"/>
        <v>-83</v>
      </c>
      <c r="G35" s="193">
        <f>SUMIF('02_TrayPack_Order'!M38:M290,C35,'02_TrayPack_Order'!T38:T290)</f>
        <v>0</v>
      </c>
      <c r="H35" s="194"/>
      <c r="I35" s="187"/>
      <c r="J35" s="50">
        <v>203044</v>
      </c>
      <c r="K35" s="50">
        <v>0</v>
      </c>
      <c r="L35" s="50">
        <v>0</v>
      </c>
      <c r="M35" s="50">
        <v>0</v>
      </c>
      <c r="N35" s="187"/>
    </row>
    <row r="36" spans="1:14">
      <c r="B36" s="188" t="e">
        <f>_xlfn.XLOOKUP(C36,'00_SKU_Master'!$B$2:$B$378,'00_SKU_Master'!J:J)</f>
        <v>#VALUE!</v>
      </c>
      <c r="C36" s="189" t="s">
        <v>110</v>
      </c>
      <c r="D36" s="190">
        <f>CEILING(SUMIF('00_SKU_Master'!$C$2:$C$378,C37,'00_SKU_Master'!S:S),1)/25</f>
        <v>0</v>
      </c>
      <c r="E36" s="191">
        <f t="shared" si="1"/>
        <v>83</v>
      </c>
      <c r="F36" s="192">
        <f t="shared" si="0"/>
        <v>0</v>
      </c>
      <c r="G36" s="193" t="e">
        <f>SUMIF('02_TrayPack_Order'!M39:M291,C36,'02_TrayPack_Order'!T39:T291)</f>
        <v>#VALUE!</v>
      </c>
      <c r="H36" s="194"/>
      <c r="I36" s="187"/>
      <c r="J36" s="50" t="s">
        <v>890</v>
      </c>
      <c r="K36" s="50">
        <v>10</v>
      </c>
      <c r="L36" s="50">
        <v>0</v>
      </c>
      <c r="M36" s="50">
        <v>10</v>
      </c>
      <c r="N36" s="187"/>
    </row>
    <row r="37" spans="1:14">
      <c r="B37" s="188" t="e">
        <f>_xlfn.XLOOKUP(C37,'00_SKU_Master'!$B$2:$B$378,'00_SKU_Master'!J:J)</f>
        <v>#VALUE!</v>
      </c>
      <c r="C37" s="198" t="s">
        <v>112</v>
      </c>
      <c r="D37" s="190">
        <f>CEILING(SUMIF('00_SKU_Master'!$C$2:$C$378,C38,'00_SKU_Master'!S:S),1)/25</f>
        <v>0</v>
      </c>
      <c r="E37" s="191">
        <f t="shared" si="1"/>
        <v>0</v>
      </c>
      <c r="F37" s="192">
        <f t="shared" si="0"/>
        <v>-144</v>
      </c>
      <c r="G37" s="193">
        <f>SUMIF('02_TrayPack_Order'!M40:M292,C37,'02_TrayPack_Order'!T40:T292)</f>
        <v>0</v>
      </c>
      <c r="H37" s="200"/>
      <c r="I37" s="187"/>
      <c r="J37" s="50" t="s">
        <v>891</v>
      </c>
      <c r="K37" s="50">
        <v>150</v>
      </c>
      <c r="L37" s="50">
        <v>0</v>
      </c>
      <c r="M37" s="50">
        <v>150</v>
      </c>
      <c r="N37" s="187"/>
    </row>
    <row r="38" spans="1:14">
      <c r="B38" s="188" t="e">
        <f>_xlfn.XLOOKUP(C38,'00_SKU_Master'!$B$2:$B$378,'00_SKU_Master'!J:J)</f>
        <v>#VALUE!</v>
      </c>
      <c r="C38" s="201" t="s">
        <v>114</v>
      </c>
      <c r="D38" s="190">
        <f>CEILING(SUMIF('00_SKU_Master'!$C$2:$C$378,C39,'00_SKU_Master'!S:S),1)/25</f>
        <v>0</v>
      </c>
      <c r="E38" s="191">
        <f t="shared" si="1"/>
        <v>144</v>
      </c>
      <c r="F38" s="192">
        <f t="shared" si="0"/>
        <v>0</v>
      </c>
      <c r="G38" s="193" t="e">
        <f>SUMIF('02_TrayPack_Order'!M41:M293,C38,'02_TrayPack_Order'!T41:T293)</f>
        <v>#VALUE!</v>
      </c>
      <c r="H38" s="202"/>
      <c r="I38" s="187"/>
      <c r="J38" s="50" t="s">
        <v>892</v>
      </c>
      <c r="K38" s="50">
        <v>440</v>
      </c>
      <c r="L38" s="50">
        <v>0</v>
      </c>
      <c r="M38" s="50">
        <v>440</v>
      </c>
      <c r="N38" s="187"/>
    </row>
    <row r="39" spans="1:14">
      <c r="B39" s="188" t="e">
        <f>_xlfn.XLOOKUP(C39,'00_SKU_Master'!$B$2:$B$378,'00_SKU_Master'!J:J)</f>
        <v>#VALUE!</v>
      </c>
      <c r="C39" s="201" t="s">
        <v>116</v>
      </c>
      <c r="D39" s="190">
        <f>CEILING(SUMIF('00_SKU_Master'!$C$2:$C$378,C40,'00_SKU_Master'!S:S),1)/25</f>
        <v>0</v>
      </c>
      <c r="E39" s="191" t="str">
        <f t="shared" si="1"/>
        <v>0</v>
      </c>
      <c r="F39" s="192">
        <f t="shared" si="0"/>
        <v>-13</v>
      </c>
      <c r="G39" s="193" t="e">
        <f>SUMIF('02_TrayPack_Order'!M42:M294,C39,'02_TrayPack_Order'!T42:T294)</f>
        <v>#VALUE!</v>
      </c>
      <c r="H39" s="202"/>
      <c r="I39" s="187"/>
      <c r="J39" s="50" t="s">
        <v>893</v>
      </c>
      <c r="K39" s="50">
        <v>0</v>
      </c>
      <c r="L39" s="50">
        <v>0</v>
      </c>
      <c r="M39" s="50">
        <v>0</v>
      </c>
      <c r="N39" s="187"/>
    </row>
    <row r="40" spans="1:14">
      <c r="B40" s="188" t="e">
        <f>_xlfn.XLOOKUP(C40,'00_SKU_Master'!$B$2:$B$378,'00_SKU_Master'!J:J)</f>
        <v>#VALUE!</v>
      </c>
      <c r="C40" s="201" t="s">
        <v>118</v>
      </c>
      <c r="D40" s="190">
        <f>CEILING(SUMIF('00_SKU_Master'!$C$2:$C$378,C41,'00_SKU_Master'!S:S),1)/25</f>
        <v>0</v>
      </c>
      <c r="E40" s="191">
        <f t="shared" si="1"/>
        <v>13</v>
      </c>
      <c r="F40" s="192">
        <f t="shared" si="0"/>
        <v>0</v>
      </c>
      <c r="G40" s="193" t="e">
        <f>SUMIF('02_TrayPack_Order'!M43:M295,C40,'02_TrayPack_Order'!T43:T295)</f>
        <v>#VALUE!</v>
      </c>
      <c r="H40" s="202"/>
      <c r="I40" s="187"/>
      <c r="J40" s="50" t="s">
        <v>894</v>
      </c>
      <c r="K40" s="50">
        <v>0</v>
      </c>
      <c r="L40" s="50">
        <v>0</v>
      </c>
      <c r="M40" s="50">
        <v>0</v>
      </c>
      <c r="N40" s="187"/>
    </row>
    <row r="41" spans="1:14">
      <c r="B41" s="188" t="e">
        <f>_xlfn.XLOOKUP(C41,'00_SKU_Master'!$B$2:$B$378,'00_SKU_Master'!J:J)</f>
        <v>#VALUE!</v>
      </c>
      <c r="C41" s="201" t="s">
        <v>120</v>
      </c>
      <c r="D41" s="190">
        <f>CEILING(SUMIF('00_SKU_Master'!$C$2:$C$378,C42,'00_SKU_Master'!S:S),1)/25</f>
        <v>0</v>
      </c>
      <c r="E41" s="191">
        <f t="shared" si="1"/>
        <v>0</v>
      </c>
      <c r="F41" s="192">
        <f t="shared" si="0"/>
        <v>-128</v>
      </c>
      <c r="G41" s="193" t="e">
        <f>SUMIF('02_TrayPack_Order'!M44:M296,C41,'02_TrayPack_Order'!T44:T296)</f>
        <v>#VALUE!</v>
      </c>
      <c r="H41" s="202"/>
      <c r="I41" s="187"/>
      <c r="J41" s="50"/>
      <c r="K41" s="50"/>
      <c r="L41" s="50"/>
      <c r="M41" s="50"/>
      <c r="N41" s="187"/>
    </row>
    <row r="42" spans="1:14">
      <c r="B42" s="188" t="e">
        <f>_xlfn.XLOOKUP(C42,'00_SKU_Master'!$B$2:$B$378,'00_SKU_Master'!J:J)</f>
        <v>#VALUE!</v>
      </c>
      <c r="C42" s="201" t="s">
        <v>122</v>
      </c>
      <c r="D42" s="190">
        <f>CEILING(SUMIF('00_SKU_Master'!$C$2:$C$378,C43,'00_SKU_Master'!S:S),1)/25</f>
        <v>0</v>
      </c>
      <c r="E42" s="191">
        <f t="shared" si="1"/>
        <v>128</v>
      </c>
      <c r="F42" s="192">
        <f t="shared" si="0"/>
        <v>0</v>
      </c>
      <c r="G42" s="193" t="e">
        <f>SUMIF('02_TrayPack_Order'!M45:M297,C42,'02_TrayPack_Order'!T45:T297)</f>
        <v>#VALUE!</v>
      </c>
      <c r="H42" s="202"/>
      <c r="I42" s="187"/>
      <c r="J42" s="50"/>
      <c r="K42" s="50"/>
      <c r="L42" s="50"/>
      <c r="M42" s="50"/>
      <c r="N42" s="187"/>
    </row>
    <row r="43" spans="1:14">
      <c r="B43" s="188"/>
      <c r="C43" s="203"/>
      <c r="D43" s="203"/>
      <c r="E43" s="204"/>
      <c r="F43" s="203"/>
      <c r="G43" s="203"/>
      <c r="J43" s="50"/>
      <c r="K43" s="50"/>
      <c r="L43" s="50"/>
      <c r="M43" s="50"/>
      <c r="N43" s="187"/>
    </row>
    <row r="44" spans="1:14">
      <c r="B44" s="188"/>
      <c r="C44" s="203"/>
      <c r="D44" s="203"/>
      <c r="E44" s="204"/>
      <c r="F44" s="203"/>
      <c r="G44" s="203"/>
      <c r="J44" s="50"/>
      <c r="K44" s="50"/>
      <c r="L44" s="50"/>
      <c r="M44" s="50"/>
      <c r="N44" s="187"/>
    </row>
    <row r="45" spans="1:14">
      <c r="B45" s="188"/>
      <c r="C45" s="203"/>
      <c r="D45" s="203"/>
      <c r="E45" s="204"/>
      <c r="F45" s="203"/>
      <c r="G45" s="203"/>
      <c r="J45" s="205"/>
      <c r="K45" s="205"/>
      <c r="L45" s="205"/>
      <c r="M45" s="205"/>
    </row>
    <row r="46" spans="1:14">
      <c r="B46" s="188"/>
      <c r="C46" s="203"/>
      <c r="D46" s="203"/>
      <c r="E46" s="204"/>
      <c r="F46" s="203"/>
      <c r="G46" s="203"/>
      <c r="J46" s="205"/>
      <c r="K46" s="205"/>
      <c r="L46" s="205"/>
      <c r="M46" s="205"/>
    </row>
    <row r="47" spans="1:14">
      <c r="B47" s="188"/>
      <c r="C47" s="203"/>
      <c r="D47" s="203"/>
      <c r="E47" s="204"/>
      <c r="F47" s="203"/>
      <c r="G47" s="203"/>
      <c r="J47" s="205"/>
      <c r="K47" s="205"/>
      <c r="L47" s="205"/>
      <c r="M47" s="205"/>
    </row>
    <row r="48" spans="1:14">
      <c r="B48" s="188"/>
      <c r="C48" s="203"/>
      <c r="D48" s="203"/>
      <c r="E48" s="204"/>
      <c r="F48" s="203"/>
      <c r="G48" s="203"/>
      <c r="J48" s="205"/>
      <c r="K48" s="205"/>
      <c r="L48" s="205"/>
      <c r="M48" s="205"/>
    </row>
    <row r="49" spans="2:13">
      <c r="B49" s="188"/>
      <c r="C49" s="203"/>
      <c r="D49" s="203"/>
      <c r="E49" s="204"/>
      <c r="F49" s="203"/>
      <c r="G49" s="203"/>
      <c r="J49" s="205"/>
      <c r="K49" s="205"/>
      <c r="L49" s="205"/>
      <c r="M49" s="205"/>
    </row>
    <row r="50" spans="2:13">
      <c r="B50" s="188"/>
      <c r="C50" s="203"/>
      <c r="D50" s="203"/>
      <c r="E50" s="204"/>
      <c r="F50" s="203"/>
      <c r="G50" s="203"/>
      <c r="J50" s="205"/>
      <c r="K50" s="205"/>
      <c r="L50" s="205"/>
      <c r="M50" s="205"/>
    </row>
    <row r="51" spans="2:13">
      <c r="B51" s="188"/>
      <c r="C51" s="203"/>
      <c r="D51" s="203"/>
      <c r="E51" s="204"/>
      <c r="F51" s="203"/>
      <c r="G51" s="203"/>
      <c r="J51" s="205"/>
      <c r="K51" s="205"/>
      <c r="L51" s="205"/>
      <c r="M51" s="205"/>
    </row>
    <row r="52" spans="2:13">
      <c r="B52" s="188"/>
      <c r="C52" s="203"/>
      <c r="D52" s="203"/>
      <c r="E52" s="204"/>
      <c r="F52" s="203"/>
      <c r="G52" s="203"/>
      <c r="J52" s="205"/>
      <c r="K52" s="205"/>
      <c r="L52" s="205"/>
      <c r="M52" s="205"/>
    </row>
    <row r="53" spans="2:13">
      <c r="B53" s="188"/>
      <c r="C53" s="203"/>
      <c r="D53" s="203"/>
      <c r="E53" s="204"/>
      <c r="F53" s="203"/>
      <c r="G53" s="203"/>
      <c r="J53" s="205"/>
      <c r="K53" s="205"/>
      <c r="L53" s="205"/>
      <c r="M53" s="205"/>
    </row>
    <row r="54" spans="2:13">
      <c r="B54" s="188"/>
      <c r="C54" s="203"/>
      <c r="D54" s="203"/>
      <c r="E54" s="204"/>
      <c r="F54" s="203"/>
      <c r="G54" s="203"/>
      <c r="J54" s="205"/>
      <c r="K54" s="205"/>
      <c r="L54" s="205"/>
      <c r="M54" s="205"/>
    </row>
    <row r="55" spans="2:13">
      <c r="B55" s="188"/>
      <c r="C55" s="203"/>
      <c r="D55" s="203"/>
      <c r="E55" s="204"/>
      <c r="F55" s="203"/>
      <c r="G55" s="203"/>
      <c r="J55" s="205"/>
      <c r="K55" s="205"/>
      <c r="L55" s="205"/>
      <c r="M55" s="205"/>
    </row>
    <row r="56" spans="2:13">
      <c r="B56" s="188"/>
      <c r="C56" s="203"/>
      <c r="D56" s="15"/>
      <c r="E56" s="206"/>
      <c r="F56" s="207"/>
      <c r="G56" s="208"/>
    </row>
    <row r="57" spans="2:13">
      <c r="B57" s="188"/>
      <c r="C57" s="203"/>
      <c r="D57" s="15"/>
      <c r="E57" s="206"/>
      <c r="F57" s="207"/>
      <c r="G57" s="208"/>
    </row>
    <row r="58" spans="2:13">
      <c r="B58" s="188"/>
      <c r="C58" s="203"/>
      <c r="D58" s="15"/>
      <c r="E58" s="206"/>
      <c r="F58" s="207"/>
      <c r="G58" s="20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E580"/>
  <sheetViews>
    <sheetView workbookViewId="0"/>
  </sheetViews>
  <sheetFormatPr defaultRowHeight="14.4"/>
  <cols>
    <col min="1" max="1" width="8.77734375" customWidth="1"/>
    <col min="2" max="2" width="7.21875" customWidth="1"/>
    <col min="3" max="3" width="7" customWidth="1"/>
    <col min="4" max="4" width="17.109375" customWidth="1"/>
    <col min="5" max="5" width="11.109375" customWidth="1"/>
    <col min="6" max="6" width="12.5546875" customWidth="1"/>
    <col min="7" max="7" width="10.77734375" customWidth="1"/>
    <col min="8" max="8" width="8.109375" customWidth="1"/>
    <col min="9" max="9" width="6.109375" customWidth="1"/>
    <col min="10" max="12" width="8.109375" customWidth="1"/>
    <col min="14" max="14" width="8.109375" customWidth="1"/>
    <col min="15" max="15" width="10.109375" customWidth="1"/>
    <col min="16" max="16" width="11.109375" customWidth="1"/>
    <col min="17" max="17" width="6.109375" customWidth="1"/>
    <col min="18" max="18" width="7.44140625" customWidth="1"/>
    <col min="19" max="19" width="7.109375" customWidth="1"/>
    <col min="20" max="20" width="10.109375" customWidth="1"/>
    <col min="21" max="21" width="37.44140625" customWidth="1"/>
    <col min="22" max="22" width="4.109375" customWidth="1"/>
    <col min="24" max="24" width="11.44140625" customWidth="1"/>
    <col min="25" max="25" width="9.21875" customWidth="1"/>
    <col min="27" max="27" width="10" customWidth="1"/>
    <col min="28" max="28" width="6.44140625" customWidth="1"/>
    <col min="30" max="30" width="6" customWidth="1"/>
    <col min="31" max="31" width="7.109375" customWidth="1"/>
    <col min="32" max="32" width="8.109375" customWidth="1"/>
  </cols>
  <sheetData>
    <row r="1" spans="1:31">
      <c r="A1" s="209" t="s">
        <v>538</v>
      </c>
      <c r="B1" s="209" t="s">
        <v>12</v>
      </c>
      <c r="C1" s="209" t="s">
        <v>1</v>
      </c>
      <c r="D1" s="209" t="s">
        <v>539</v>
      </c>
      <c r="E1" s="210"/>
      <c r="F1" s="211" t="s">
        <v>540</v>
      </c>
      <c r="G1" s="212" t="e">
        <f ca="1">SUM(P3:P150)</f>
        <v>#NAME?</v>
      </c>
      <c r="H1" s="181"/>
      <c r="V1" s="213"/>
      <c r="W1" s="213"/>
      <c r="X1" s="213"/>
      <c r="Y1" s="213"/>
      <c r="Z1" s="213"/>
      <c r="AA1" s="213"/>
      <c r="AB1" s="213"/>
      <c r="AC1" s="213"/>
      <c r="AD1" s="213"/>
      <c r="AE1" s="213"/>
    </row>
    <row r="2" spans="1:31" ht="30" customHeight="1">
      <c r="A2" s="138">
        <v>260</v>
      </c>
      <c r="B2" s="214">
        <v>109.6</v>
      </c>
      <c r="C2" s="215">
        <v>213</v>
      </c>
      <c r="D2" s="216">
        <v>6</v>
      </c>
      <c r="E2" s="217"/>
      <c r="F2" s="218" t="s">
        <v>541</v>
      </c>
      <c r="G2" s="219">
        <f ca="1">G3/((G16-F16)*24)*8</f>
        <v>0</v>
      </c>
      <c r="H2" s="220">
        <f ca="1">SUM(O3:O301)</f>
        <v>0</v>
      </c>
      <c r="J2" s="221" t="s">
        <v>542</v>
      </c>
      <c r="K2" s="222" t="s">
        <v>458</v>
      </c>
      <c r="L2" s="221" t="s">
        <v>543</v>
      </c>
      <c r="M2" s="209" t="s">
        <v>544</v>
      </c>
      <c r="N2" s="167" t="s">
        <v>545</v>
      </c>
      <c r="O2" s="223" t="s">
        <v>12</v>
      </c>
      <c r="P2" s="167" t="s">
        <v>546</v>
      </c>
      <c r="Q2" s="167" t="s">
        <v>547</v>
      </c>
      <c r="R2" s="209" t="s">
        <v>548</v>
      </c>
      <c r="S2" s="209" t="s">
        <v>549</v>
      </c>
      <c r="T2" s="224" t="s">
        <v>444</v>
      </c>
      <c r="U2" s="224" t="s">
        <v>518</v>
      </c>
      <c r="V2" s="224" t="s">
        <v>550</v>
      </c>
      <c r="W2" s="224" t="s">
        <v>551</v>
      </c>
      <c r="X2" s="224" t="s">
        <v>552</v>
      </c>
      <c r="Y2" s="224" t="s">
        <v>553</v>
      </c>
      <c r="Z2" s="224" t="s">
        <v>554</v>
      </c>
      <c r="AA2" s="224" t="s">
        <v>555</v>
      </c>
      <c r="AB2" s="224" t="s">
        <v>556</v>
      </c>
      <c r="AC2" s="224" t="s">
        <v>557</v>
      </c>
      <c r="AD2" s="224" t="s">
        <v>558</v>
      </c>
      <c r="AE2" s="224" t="s">
        <v>559</v>
      </c>
    </row>
    <row r="3" spans="1:31">
      <c r="A3" s="138">
        <v>331</v>
      </c>
      <c r="B3" s="214">
        <v>32.31</v>
      </c>
      <c r="C3" s="215">
        <v>207104</v>
      </c>
      <c r="D3" s="216">
        <v>5</v>
      </c>
      <c r="E3" s="225"/>
      <c r="F3" s="226" t="s">
        <v>502</v>
      </c>
      <c r="G3" s="227">
        <f ca="1">SUM(O3:O301)</f>
        <v>0</v>
      </c>
      <c r="H3" s="128">
        <f ca="1">SUM(O150:O300)</f>
        <v>0</v>
      </c>
      <c r="J3" s="221">
        <f t="shared" ref="J3:J66" si="0">T3</f>
        <v>0</v>
      </c>
      <c r="K3" s="222">
        <v>0</v>
      </c>
      <c r="L3" s="228">
        <f t="shared" ref="L3:L66" ca="1" si="1">IFERROR(M3/25,"")</f>
        <v>0</v>
      </c>
      <c r="M3" s="229">
        <f t="shared" ref="M3:M66" ca="1" si="2">IF(ISNUMBER(P3),Z3,0)</f>
        <v>0</v>
      </c>
      <c r="N3" s="165">
        <v>0</v>
      </c>
      <c r="O3" s="230">
        <f t="shared" ref="O3:O66" ca="1" si="3">IF(ISNUMBER(P3),X3,0)</f>
        <v>0</v>
      </c>
      <c r="P3" s="231" t="e">
        <f t="shared" ref="P3:P66" ca="1" si="4">_xludf.IFNA(Z3/_xlfn.XLOOKUP(T3,$A$2:$A$624,$B$2:$B$624,""),"")</f>
        <v>#NAME?</v>
      </c>
      <c r="Q3" s="231" t="str">
        <f t="shared" ref="Q3:Q66" ca="1" si="5">IFERROR(M3/O3,"-")</f>
        <v>-</v>
      </c>
      <c r="R3" s="232">
        <f t="shared" ref="R3:R66" ca="1" si="6">IF(ISNUMBER(P3),AE3,0)</f>
        <v>0</v>
      </c>
      <c r="S3" s="233" t="str">
        <f t="shared" ref="S3:S66" ca="1" si="7">IFERROR((N3/Q3),"-")</f>
        <v>-</v>
      </c>
      <c r="Z3" s="157"/>
      <c r="AA3" s="157"/>
      <c r="AE3" s="234"/>
    </row>
    <row r="4" spans="1:31">
      <c r="A4" s="138">
        <v>484</v>
      </c>
      <c r="B4" s="214">
        <v>47.38</v>
      </c>
      <c r="C4" s="215">
        <v>7174</v>
      </c>
      <c r="D4" s="216">
        <v>10</v>
      </c>
      <c r="E4" s="235"/>
      <c r="F4" s="236" t="s">
        <v>560</v>
      </c>
      <c r="G4" s="237" t="str">
        <f ca="1">IFERROR(G5/H2,"")</f>
        <v/>
      </c>
      <c r="H4" s="181">
        <f>SUM(N150:N300)</f>
        <v>0</v>
      </c>
      <c r="J4" s="221">
        <f t="shared" si="0"/>
        <v>0</v>
      </c>
      <c r="K4" s="222">
        <v>0</v>
      </c>
      <c r="L4" s="228">
        <f t="shared" ca="1" si="1"/>
        <v>0</v>
      </c>
      <c r="M4" s="229">
        <f t="shared" ca="1" si="2"/>
        <v>0</v>
      </c>
      <c r="N4" s="165">
        <v>0</v>
      </c>
      <c r="O4" s="230">
        <f t="shared" ca="1" si="3"/>
        <v>0</v>
      </c>
      <c r="P4" s="231" t="e">
        <f t="shared" ca="1" si="4"/>
        <v>#NAME?</v>
      </c>
      <c r="Q4" s="231" t="str">
        <f t="shared" ca="1" si="5"/>
        <v>-</v>
      </c>
      <c r="R4" s="232">
        <f t="shared" ca="1" si="6"/>
        <v>0</v>
      </c>
      <c r="S4" s="233" t="str">
        <f t="shared" ca="1" si="7"/>
        <v>-</v>
      </c>
      <c r="Z4" s="157"/>
      <c r="AA4" s="157"/>
      <c r="AE4" s="234"/>
    </row>
    <row r="5" spans="1:31">
      <c r="A5" s="138">
        <v>784</v>
      </c>
      <c r="B5" s="214">
        <v>17.920000000000002</v>
      </c>
      <c r="C5" s="215">
        <v>7175</v>
      </c>
      <c r="D5" s="216">
        <v>17</v>
      </c>
      <c r="E5" s="210"/>
      <c r="F5" s="226" t="s">
        <v>544</v>
      </c>
      <c r="G5" s="238">
        <f ca="1">SUM(M3:M150)</f>
        <v>0</v>
      </c>
      <c r="H5" s="128"/>
      <c r="J5" s="239">
        <f t="shared" si="0"/>
        <v>0</v>
      </c>
      <c r="K5" s="222">
        <v>0</v>
      </c>
      <c r="L5" s="228">
        <f t="shared" ca="1" si="1"/>
        <v>0</v>
      </c>
      <c r="M5" s="229">
        <f t="shared" ca="1" si="2"/>
        <v>0</v>
      </c>
      <c r="N5" s="165">
        <v>0</v>
      </c>
      <c r="O5" s="230">
        <f t="shared" ca="1" si="3"/>
        <v>0</v>
      </c>
      <c r="P5" s="231" t="e">
        <f t="shared" ca="1" si="4"/>
        <v>#NAME?</v>
      </c>
      <c r="Q5" s="231" t="str">
        <f t="shared" ca="1" si="5"/>
        <v>-</v>
      </c>
      <c r="R5" s="232">
        <f t="shared" ca="1" si="6"/>
        <v>0</v>
      </c>
      <c r="S5" s="233" t="str">
        <f t="shared" ca="1" si="7"/>
        <v>-</v>
      </c>
      <c r="Z5" s="157"/>
      <c r="AA5" s="157"/>
      <c r="AE5" s="234"/>
    </row>
    <row r="6" spans="1:31">
      <c r="A6" s="138">
        <v>1023</v>
      </c>
      <c r="B6" s="214">
        <v>47.38</v>
      </c>
      <c r="C6" s="215">
        <v>262</v>
      </c>
      <c r="D6" s="216">
        <v>9.24</v>
      </c>
      <c r="E6" s="240"/>
      <c r="F6" s="241" t="s">
        <v>561</v>
      </c>
      <c r="G6" s="242">
        <f ca="1">IFERROR(G3/SUM(H13:H16),"-")</f>
        <v>0</v>
      </c>
      <c r="J6" s="221">
        <f t="shared" si="0"/>
        <v>0</v>
      </c>
      <c r="K6" s="222">
        <v>0</v>
      </c>
      <c r="L6" s="228">
        <f t="shared" ca="1" si="1"/>
        <v>0</v>
      </c>
      <c r="M6" s="229">
        <f t="shared" ca="1" si="2"/>
        <v>0</v>
      </c>
      <c r="N6" s="165">
        <v>0</v>
      </c>
      <c r="O6" s="230">
        <f t="shared" ca="1" si="3"/>
        <v>0</v>
      </c>
      <c r="P6" s="231" t="e">
        <f t="shared" ca="1" si="4"/>
        <v>#NAME?</v>
      </c>
      <c r="Q6" s="231" t="str">
        <f t="shared" ca="1" si="5"/>
        <v>-</v>
      </c>
      <c r="R6" s="232">
        <f t="shared" ca="1" si="6"/>
        <v>0</v>
      </c>
      <c r="S6" s="233" t="str">
        <f t="shared" ca="1" si="7"/>
        <v>-</v>
      </c>
      <c r="Z6" s="157"/>
      <c r="AA6" s="157"/>
      <c r="AE6" s="234"/>
    </row>
    <row r="7" spans="1:31">
      <c r="A7" s="138">
        <v>1830</v>
      </c>
      <c r="B7" s="214">
        <v>56.51</v>
      </c>
      <c r="C7" s="215">
        <v>263</v>
      </c>
      <c r="D7" s="216">
        <v>8.58</v>
      </c>
      <c r="F7" s="243" t="s">
        <v>562</v>
      </c>
      <c r="G7" s="244" t="str">
        <f ca="1">IFERROR(G1/SUM(H14:H16),"-")</f>
        <v>-</v>
      </c>
      <c r="H7" s="245" t="str">
        <f ca="1">IFERROR(SUM(P150:P300)/SUM(H13:H14),"-")</f>
        <v>-</v>
      </c>
      <c r="J7" s="221">
        <f t="shared" si="0"/>
        <v>0</v>
      </c>
      <c r="K7" s="222">
        <v>0</v>
      </c>
      <c r="L7" s="228">
        <f t="shared" ca="1" si="1"/>
        <v>0</v>
      </c>
      <c r="M7" s="229">
        <f t="shared" ca="1" si="2"/>
        <v>0</v>
      </c>
      <c r="N7" s="165">
        <v>0</v>
      </c>
      <c r="O7" s="230">
        <f t="shared" ca="1" si="3"/>
        <v>0</v>
      </c>
      <c r="P7" s="231" t="e">
        <f t="shared" ca="1" si="4"/>
        <v>#NAME?</v>
      </c>
      <c r="Q7" s="231" t="str">
        <f t="shared" ca="1" si="5"/>
        <v>-</v>
      </c>
      <c r="R7" s="232">
        <f t="shared" ca="1" si="6"/>
        <v>0</v>
      </c>
      <c r="S7" s="233" t="str">
        <f t="shared" ca="1" si="7"/>
        <v>-</v>
      </c>
      <c r="Z7" s="157"/>
      <c r="AA7" s="157"/>
      <c r="AE7" s="234"/>
    </row>
    <row r="8" spans="1:31">
      <c r="A8" s="138">
        <v>1831</v>
      </c>
      <c r="B8" s="214">
        <v>131.16999999999999</v>
      </c>
      <c r="C8" s="215">
        <v>264</v>
      </c>
      <c r="D8" s="216">
        <v>10.56</v>
      </c>
      <c r="F8" s="241" t="s">
        <v>563</v>
      </c>
      <c r="G8" s="246" t="str">
        <f ca="1">IFERROR(G5/G4,"-")</f>
        <v>-</v>
      </c>
      <c r="H8" s="245" t="str">
        <f>IFERROR(H5/H4,"-")</f>
        <v>-</v>
      </c>
      <c r="J8" s="221">
        <f t="shared" si="0"/>
        <v>0</v>
      </c>
      <c r="K8" s="222">
        <v>0</v>
      </c>
      <c r="L8" s="228">
        <f t="shared" ca="1" si="1"/>
        <v>0</v>
      </c>
      <c r="M8" s="229">
        <f t="shared" ca="1" si="2"/>
        <v>0</v>
      </c>
      <c r="N8" s="165">
        <v>0</v>
      </c>
      <c r="O8" s="230">
        <f t="shared" ca="1" si="3"/>
        <v>0</v>
      </c>
      <c r="P8" s="231" t="e">
        <f t="shared" ca="1" si="4"/>
        <v>#NAME?</v>
      </c>
      <c r="Q8" s="231" t="str">
        <f t="shared" ca="1" si="5"/>
        <v>-</v>
      </c>
      <c r="R8" s="232">
        <f t="shared" ca="1" si="6"/>
        <v>0</v>
      </c>
      <c r="S8" s="233" t="str">
        <f t="shared" ca="1" si="7"/>
        <v>-</v>
      </c>
      <c r="Z8" s="157"/>
      <c r="AA8" s="157"/>
      <c r="AE8" s="234"/>
    </row>
    <row r="9" spans="1:31">
      <c r="A9" s="138">
        <v>1876</v>
      </c>
      <c r="B9" s="214">
        <v>72.73</v>
      </c>
      <c r="C9" s="215">
        <v>265</v>
      </c>
      <c r="D9" s="216">
        <v>9.24</v>
      </c>
      <c r="G9" s="247"/>
      <c r="J9" s="221">
        <f t="shared" si="0"/>
        <v>0</v>
      </c>
      <c r="K9" s="222">
        <v>0</v>
      </c>
      <c r="L9" s="228">
        <f t="shared" ca="1" si="1"/>
        <v>0</v>
      </c>
      <c r="M9" s="229">
        <f t="shared" ca="1" si="2"/>
        <v>0</v>
      </c>
      <c r="N9" s="165">
        <v>0</v>
      </c>
      <c r="O9" s="230">
        <f t="shared" ca="1" si="3"/>
        <v>0</v>
      </c>
      <c r="P9" s="231" t="e">
        <f t="shared" ca="1" si="4"/>
        <v>#NAME?</v>
      </c>
      <c r="Q9" s="231" t="str">
        <f t="shared" ca="1" si="5"/>
        <v>-</v>
      </c>
      <c r="R9" s="232">
        <f t="shared" ca="1" si="6"/>
        <v>0</v>
      </c>
      <c r="S9" s="233" t="str">
        <f t="shared" ca="1" si="7"/>
        <v>-</v>
      </c>
      <c r="Z9" s="157"/>
      <c r="AA9" s="157"/>
      <c r="AE9" s="234"/>
    </row>
    <row r="10" spans="1:31">
      <c r="A10" s="138">
        <v>1877</v>
      </c>
      <c r="B10" s="214">
        <v>57.23</v>
      </c>
      <c r="C10" s="215">
        <v>266</v>
      </c>
      <c r="D10" s="216">
        <v>7.92</v>
      </c>
      <c r="E10" s="248" t="s">
        <v>564</v>
      </c>
      <c r="F10" s="249" t="s">
        <v>565</v>
      </c>
      <c r="G10" s="249" t="s">
        <v>566</v>
      </c>
      <c r="H10" s="249" t="s">
        <v>567</v>
      </c>
      <c r="J10" s="221">
        <f t="shared" si="0"/>
        <v>0</v>
      </c>
      <c r="K10" s="222">
        <v>0</v>
      </c>
      <c r="L10" s="228">
        <f t="shared" ca="1" si="1"/>
        <v>0</v>
      </c>
      <c r="M10" s="229">
        <f t="shared" ca="1" si="2"/>
        <v>0</v>
      </c>
      <c r="N10" s="165">
        <v>0</v>
      </c>
      <c r="O10" s="230">
        <f t="shared" ca="1" si="3"/>
        <v>0</v>
      </c>
      <c r="P10" s="231" t="e">
        <f t="shared" ca="1" si="4"/>
        <v>#NAME?</v>
      </c>
      <c r="Q10" s="231" t="str">
        <f t="shared" ca="1" si="5"/>
        <v>-</v>
      </c>
      <c r="R10" s="232">
        <f t="shared" ca="1" si="6"/>
        <v>0</v>
      </c>
      <c r="S10" s="233" t="str">
        <f t="shared" ca="1" si="7"/>
        <v>-</v>
      </c>
      <c r="Z10" s="157"/>
      <c r="AA10" s="157"/>
      <c r="AE10" s="234"/>
    </row>
    <row r="11" spans="1:31">
      <c r="A11" s="138">
        <v>200168</v>
      </c>
      <c r="B11" s="214">
        <v>89.74</v>
      </c>
      <c r="C11" s="215">
        <v>267</v>
      </c>
      <c r="D11" s="216">
        <v>5.94</v>
      </c>
      <c r="E11" s="250"/>
      <c r="F11" s="251">
        <v>0.5</v>
      </c>
      <c r="G11" s="251">
        <v>0.54166666666666663</v>
      </c>
      <c r="H11" s="252">
        <f t="shared" ref="H11:H16" si="8">IFERROR(((G11-F11)-INT(G11-F11))*24*E11,"-")</f>
        <v>0</v>
      </c>
      <c r="J11" s="221">
        <f t="shared" si="0"/>
        <v>0</v>
      </c>
      <c r="K11" s="222">
        <v>0</v>
      </c>
      <c r="L11" s="228">
        <f t="shared" ca="1" si="1"/>
        <v>0</v>
      </c>
      <c r="M11" s="229">
        <f t="shared" ca="1" si="2"/>
        <v>0</v>
      </c>
      <c r="N11" s="165">
        <v>0</v>
      </c>
      <c r="O11" s="230">
        <f t="shared" ca="1" si="3"/>
        <v>0</v>
      </c>
      <c r="P11" s="231" t="e">
        <f t="shared" ca="1" si="4"/>
        <v>#NAME?</v>
      </c>
      <c r="Q11" s="231" t="str">
        <f t="shared" ca="1" si="5"/>
        <v>-</v>
      </c>
      <c r="R11" s="232">
        <f t="shared" ca="1" si="6"/>
        <v>0</v>
      </c>
      <c r="S11" s="233" t="str">
        <f t="shared" ca="1" si="7"/>
        <v>-</v>
      </c>
      <c r="Z11" s="157"/>
      <c r="AA11" s="157"/>
      <c r="AE11" s="234"/>
    </row>
    <row r="12" spans="1:31">
      <c r="A12" s="138">
        <v>200703</v>
      </c>
      <c r="B12" s="214">
        <v>75.650000000000006</v>
      </c>
      <c r="C12" s="215">
        <v>268</v>
      </c>
      <c r="D12" s="216">
        <v>9.9</v>
      </c>
      <c r="E12" s="253"/>
      <c r="F12" s="2">
        <v>0.27083333333333331</v>
      </c>
      <c r="G12" s="2">
        <v>0.60416666666666663</v>
      </c>
      <c r="H12" s="252">
        <f t="shared" si="8"/>
        <v>0</v>
      </c>
      <c r="J12" s="221">
        <f t="shared" si="0"/>
        <v>0</v>
      </c>
      <c r="K12" s="222">
        <v>0</v>
      </c>
      <c r="L12" s="228">
        <f t="shared" ca="1" si="1"/>
        <v>0</v>
      </c>
      <c r="M12" s="229">
        <f t="shared" ca="1" si="2"/>
        <v>0</v>
      </c>
      <c r="N12" s="165">
        <v>0</v>
      </c>
      <c r="O12" s="230">
        <f t="shared" ca="1" si="3"/>
        <v>0</v>
      </c>
      <c r="P12" s="231" t="e">
        <f t="shared" ca="1" si="4"/>
        <v>#NAME?</v>
      </c>
      <c r="Q12" s="231" t="str">
        <f t="shared" ca="1" si="5"/>
        <v>-</v>
      </c>
      <c r="R12" s="232">
        <f t="shared" ca="1" si="6"/>
        <v>0</v>
      </c>
      <c r="S12" s="233" t="str">
        <f t="shared" ca="1" si="7"/>
        <v>-</v>
      </c>
      <c r="Z12" s="157"/>
      <c r="AA12" s="157"/>
      <c r="AE12" s="234"/>
    </row>
    <row r="13" spans="1:31">
      <c r="A13" s="138">
        <v>200704</v>
      </c>
      <c r="B13" s="214">
        <v>130.09</v>
      </c>
      <c r="C13" s="215">
        <v>269</v>
      </c>
      <c r="D13" s="216">
        <v>9.24</v>
      </c>
      <c r="E13" s="253"/>
      <c r="F13" s="2">
        <v>0.29166666666666669</v>
      </c>
      <c r="G13" s="2">
        <v>0.33333333333333331</v>
      </c>
      <c r="H13" s="254">
        <f t="shared" si="8"/>
        <v>0</v>
      </c>
      <c r="J13" s="221">
        <f t="shared" si="0"/>
        <v>0</v>
      </c>
      <c r="K13" s="222">
        <v>0</v>
      </c>
      <c r="L13" s="228">
        <f t="shared" ca="1" si="1"/>
        <v>0</v>
      </c>
      <c r="M13" s="229">
        <f t="shared" ca="1" si="2"/>
        <v>0</v>
      </c>
      <c r="N13" s="165">
        <v>0</v>
      </c>
      <c r="O13" s="230">
        <f t="shared" ca="1" si="3"/>
        <v>0</v>
      </c>
      <c r="P13" s="231" t="e">
        <f t="shared" ca="1" si="4"/>
        <v>#NAME?</v>
      </c>
      <c r="Q13" s="231" t="str">
        <f t="shared" ca="1" si="5"/>
        <v>-</v>
      </c>
      <c r="R13" s="232">
        <f t="shared" ca="1" si="6"/>
        <v>0</v>
      </c>
      <c r="S13" s="233" t="str">
        <f t="shared" ca="1" si="7"/>
        <v>-</v>
      </c>
      <c r="Z13" s="157"/>
      <c r="AA13" s="157"/>
      <c r="AE13" s="234"/>
    </row>
    <row r="14" spans="1:31">
      <c r="A14" s="138">
        <v>200705</v>
      </c>
      <c r="B14" s="214">
        <v>70.319999999999993</v>
      </c>
      <c r="C14" s="215">
        <v>270</v>
      </c>
      <c r="D14" s="216">
        <v>9.24</v>
      </c>
      <c r="E14" s="255"/>
      <c r="F14" s="256">
        <v>0.29166666666666669</v>
      </c>
      <c r="G14" s="256">
        <v>0.33333333333333331</v>
      </c>
      <c r="H14" s="257">
        <f t="shared" si="8"/>
        <v>0</v>
      </c>
      <c r="J14" s="221">
        <f t="shared" si="0"/>
        <v>0</v>
      </c>
      <c r="K14" s="222">
        <v>0</v>
      </c>
      <c r="L14" s="228">
        <f t="shared" ca="1" si="1"/>
        <v>0</v>
      </c>
      <c r="M14" s="229">
        <f t="shared" ca="1" si="2"/>
        <v>0</v>
      </c>
      <c r="N14" s="165">
        <v>0</v>
      </c>
      <c r="O14" s="230">
        <f t="shared" ca="1" si="3"/>
        <v>0</v>
      </c>
      <c r="P14" s="231" t="e">
        <f t="shared" ca="1" si="4"/>
        <v>#NAME?</v>
      </c>
      <c r="Q14" s="231" t="str">
        <f t="shared" ca="1" si="5"/>
        <v>-</v>
      </c>
      <c r="R14" s="232">
        <f t="shared" ca="1" si="6"/>
        <v>0</v>
      </c>
      <c r="S14" s="233" t="str">
        <f t="shared" ca="1" si="7"/>
        <v>-</v>
      </c>
      <c r="Z14" s="157"/>
      <c r="AA14" s="157"/>
      <c r="AE14" s="234"/>
    </row>
    <row r="15" spans="1:31">
      <c r="A15" s="138">
        <v>200706</v>
      </c>
      <c r="B15" s="214">
        <v>25.34</v>
      </c>
      <c r="C15" s="215">
        <v>276</v>
      </c>
      <c r="D15" s="216">
        <v>12</v>
      </c>
      <c r="E15" s="253"/>
      <c r="F15" s="2">
        <v>0.52083333333333337</v>
      </c>
      <c r="G15" s="2">
        <f ca="1">IF(VALUE(NOW()-TODAY())&lt;VALUE(0.82292),VALUE(NOW()-TODAY()),VALUE(NOW()-TODAY())-0.021)</f>
        <v>0.36705451388843358</v>
      </c>
      <c r="H15" s="258">
        <f t="shared" ca="1" si="8"/>
        <v>0</v>
      </c>
      <c r="J15" s="221">
        <f t="shared" si="0"/>
        <v>0</v>
      </c>
      <c r="K15" s="222">
        <v>0</v>
      </c>
      <c r="L15" s="228">
        <f t="shared" ca="1" si="1"/>
        <v>0</v>
      </c>
      <c r="M15" s="229">
        <f t="shared" ca="1" si="2"/>
        <v>0</v>
      </c>
      <c r="N15" s="165">
        <v>0</v>
      </c>
      <c r="O15" s="230">
        <f t="shared" ca="1" si="3"/>
        <v>0</v>
      </c>
      <c r="P15" s="231" t="e">
        <f t="shared" ca="1" si="4"/>
        <v>#NAME?</v>
      </c>
      <c r="Q15" s="231" t="str">
        <f t="shared" ca="1" si="5"/>
        <v>-</v>
      </c>
      <c r="R15" s="232">
        <f t="shared" ca="1" si="6"/>
        <v>0</v>
      </c>
      <c r="S15" s="233" t="str">
        <f t="shared" ca="1" si="7"/>
        <v>-</v>
      </c>
      <c r="AE15" s="234"/>
    </row>
    <row r="16" spans="1:31">
      <c r="A16" s="138">
        <v>200707</v>
      </c>
      <c r="B16" s="214">
        <v>51.14</v>
      </c>
      <c r="C16" s="215">
        <v>278</v>
      </c>
      <c r="D16" s="216">
        <v>10</v>
      </c>
      <c r="E16" s="253">
        <v>106</v>
      </c>
      <c r="F16" s="2">
        <v>0.29166666666666669</v>
      </c>
      <c r="G16" s="2">
        <f ca="1">IF(VALUE(NOW()-TODAY())&lt;VALUE(0.82292),VALUE(NOW()-TODAY()),VALUE(NOW()-TODAY())-0.021)</f>
        <v>0.36705451388843358</v>
      </c>
      <c r="H16" s="258">
        <f t="shared" ca="1" si="8"/>
        <v>191.78668333217496</v>
      </c>
      <c r="J16" s="221">
        <f t="shared" si="0"/>
        <v>0</v>
      </c>
      <c r="K16" s="222">
        <v>0</v>
      </c>
      <c r="L16" s="228">
        <f t="shared" ca="1" si="1"/>
        <v>0</v>
      </c>
      <c r="M16" s="229">
        <f t="shared" ca="1" si="2"/>
        <v>0</v>
      </c>
      <c r="N16" s="165">
        <v>0</v>
      </c>
      <c r="O16" s="230">
        <f t="shared" ca="1" si="3"/>
        <v>0</v>
      </c>
      <c r="P16" s="231" t="e">
        <f t="shared" ca="1" si="4"/>
        <v>#NAME?</v>
      </c>
      <c r="Q16" s="231" t="str">
        <f t="shared" ca="1" si="5"/>
        <v>-</v>
      </c>
      <c r="R16" s="232">
        <f t="shared" ca="1" si="6"/>
        <v>0</v>
      </c>
      <c r="S16" s="233" t="str">
        <f t="shared" ca="1" si="7"/>
        <v>-</v>
      </c>
      <c r="Z16" s="157"/>
      <c r="AA16" s="157"/>
      <c r="AE16" s="234"/>
    </row>
    <row r="17" spans="1:31">
      <c r="A17" s="138">
        <v>200709</v>
      </c>
      <c r="B17" s="214">
        <v>75.650000000000006</v>
      </c>
      <c r="C17" s="215">
        <v>281</v>
      </c>
      <c r="D17" s="216">
        <v>9.24</v>
      </c>
      <c r="H17" s="259"/>
      <c r="J17" s="221">
        <f t="shared" si="0"/>
        <v>0</v>
      </c>
      <c r="K17" s="222">
        <v>0</v>
      </c>
      <c r="L17" s="228">
        <f t="shared" ca="1" si="1"/>
        <v>0</v>
      </c>
      <c r="M17" s="229">
        <f t="shared" ca="1" si="2"/>
        <v>0</v>
      </c>
      <c r="N17" s="165">
        <v>0</v>
      </c>
      <c r="O17" s="230">
        <f t="shared" ca="1" si="3"/>
        <v>0</v>
      </c>
      <c r="P17" s="231" t="e">
        <f t="shared" ca="1" si="4"/>
        <v>#NAME?</v>
      </c>
      <c r="Q17" s="231" t="str">
        <f t="shared" ca="1" si="5"/>
        <v>-</v>
      </c>
      <c r="R17" s="232">
        <f t="shared" ca="1" si="6"/>
        <v>0</v>
      </c>
      <c r="S17" s="233" t="str">
        <f t="shared" ca="1" si="7"/>
        <v>-</v>
      </c>
      <c r="Z17" s="157"/>
      <c r="AA17" s="157"/>
      <c r="AE17" s="234"/>
    </row>
    <row r="18" spans="1:31">
      <c r="A18" s="138">
        <v>200710</v>
      </c>
      <c r="B18" s="214">
        <v>130.09</v>
      </c>
      <c r="C18" s="215">
        <v>282</v>
      </c>
      <c r="D18" s="260">
        <v>10.56</v>
      </c>
      <c r="E18" s="261"/>
      <c r="F18" s="262"/>
      <c r="G18" s="263"/>
      <c r="H18" s="263"/>
      <c r="I18" s="264"/>
      <c r="J18" s="221">
        <f t="shared" si="0"/>
        <v>0</v>
      </c>
      <c r="K18" s="222">
        <v>0</v>
      </c>
      <c r="L18" s="228">
        <f t="shared" ca="1" si="1"/>
        <v>0</v>
      </c>
      <c r="M18" s="229">
        <f t="shared" ca="1" si="2"/>
        <v>0</v>
      </c>
      <c r="N18" s="165">
        <v>0</v>
      </c>
      <c r="O18" s="230">
        <f t="shared" ca="1" si="3"/>
        <v>0</v>
      </c>
      <c r="P18" s="231" t="e">
        <f t="shared" ca="1" si="4"/>
        <v>#NAME?</v>
      </c>
      <c r="Q18" s="231" t="str">
        <f t="shared" ca="1" si="5"/>
        <v>-</v>
      </c>
      <c r="R18" s="232">
        <f t="shared" ca="1" si="6"/>
        <v>0</v>
      </c>
      <c r="S18" s="233" t="str">
        <f t="shared" ca="1" si="7"/>
        <v>-</v>
      </c>
      <c r="Z18" s="157"/>
      <c r="AA18" s="157"/>
      <c r="AE18" s="234"/>
    </row>
    <row r="19" spans="1:31">
      <c r="A19" s="138">
        <v>200711</v>
      </c>
      <c r="B19" s="214">
        <v>70.319999999999993</v>
      </c>
      <c r="C19" s="215">
        <v>283</v>
      </c>
      <c r="D19" s="260">
        <v>13.64</v>
      </c>
      <c r="E19" s="265"/>
      <c r="F19" s="266"/>
      <c r="G19" s="144"/>
      <c r="H19" s="263"/>
      <c r="I19" s="264"/>
      <c r="J19" s="221">
        <f t="shared" si="0"/>
        <v>0</v>
      </c>
      <c r="K19" s="222">
        <v>0</v>
      </c>
      <c r="L19" s="228">
        <f t="shared" ca="1" si="1"/>
        <v>0</v>
      </c>
      <c r="M19" s="229">
        <f t="shared" ca="1" si="2"/>
        <v>0</v>
      </c>
      <c r="N19" s="165">
        <v>0</v>
      </c>
      <c r="O19" s="230">
        <f t="shared" ca="1" si="3"/>
        <v>0</v>
      </c>
      <c r="P19" s="231" t="e">
        <f t="shared" ca="1" si="4"/>
        <v>#NAME?</v>
      </c>
      <c r="Q19" s="231" t="str">
        <f t="shared" ca="1" si="5"/>
        <v>-</v>
      </c>
      <c r="R19" s="232">
        <f t="shared" ca="1" si="6"/>
        <v>0</v>
      </c>
      <c r="S19" s="233" t="str">
        <f t="shared" ca="1" si="7"/>
        <v>-</v>
      </c>
      <c r="Z19" s="157"/>
      <c r="AA19" s="157"/>
      <c r="AE19" s="234"/>
    </row>
    <row r="20" spans="1:31">
      <c r="A20" s="138">
        <v>200712</v>
      </c>
      <c r="B20" s="214">
        <v>25.34</v>
      </c>
      <c r="C20" s="215">
        <v>284</v>
      </c>
      <c r="D20" s="260">
        <v>15.84</v>
      </c>
      <c r="E20" s="265"/>
      <c r="F20" s="267"/>
      <c r="G20" s="263"/>
      <c r="H20" s="263"/>
      <c r="I20" s="264"/>
      <c r="J20" s="221">
        <f t="shared" si="0"/>
        <v>0</v>
      </c>
      <c r="K20" s="222">
        <v>0</v>
      </c>
      <c r="L20" s="228">
        <f t="shared" ca="1" si="1"/>
        <v>0</v>
      </c>
      <c r="M20" s="229">
        <f t="shared" ca="1" si="2"/>
        <v>0</v>
      </c>
      <c r="N20" s="165">
        <v>0</v>
      </c>
      <c r="O20" s="230">
        <f t="shared" ca="1" si="3"/>
        <v>0</v>
      </c>
      <c r="P20" s="231" t="e">
        <f t="shared" ca="1" si="4"/>
        <v>#NAME?</v>
      </c>
      <c r="Q20" s="231" t="str">
        <f t="shared" ca="1" si="5"/>
        <v>-</v>
      </c>
      <c r="R20" s="232">
        <f t="shared" ca="1" si="6"/>
        <v>0</v>
      </c>
      <c r="S20" s="233" t="str">
        <f t="shared" ca="1" si="7"/>
        <v>-</v>
      </c>
      <c r="Z20" s="157"/>
      <c r="AA20" s="157"/>
      <c r="AE20" s="234"/>
    </row>
    <row r="21" spans="1:31">
      <c r="A21" s="138">
        <v>200713</v>
      </c>
      <c r="B21" s="214">
        <v>51.14</v>
      </c>
      <c r="C21" s="215">
        <v>285</v>
      </c>
      <c r="D21" s="260">
        <v>15.84</v>
      </c>
      <c r="E21" s="268"/>
      <c r="F21" s="263"/>
      <c r="G21" s="144"/>
      <c r="H21" s="263"/>
      <c r="I21" s="264"/>
      <c r="J21" s="221">
        <f t="shared" si="0"/>
        <v>0</v>
      </c>
      <c r="K21" s="222">
        <v>0</v>
      </c>
      <c r="L21" s="228">
        <f t="shared" ca="1" si="1"/>
        <v>0</v>
      </c>
      <c r="M21" s="229">
        <f t="shared" ca="1" si="2"/>
        <v>0</v>
      </c>
      <c r="N21" s="165">
        <v>0</v>
      </c>
      <c r="O21" s="230">
        <f t="shared" ca="1" si="3"/>
        <v>0</v>
      </c>
      <c r="P21" s="231" t="e">
        <f t="shared" ca="1" si="4"/>
        <v>#NAME?</v>
      </c>
      <c r="Q21" s="231" t="str">
        <f t="shared" ca="1" si="5"/>
        <v>-</v>
      </c>
      <c r="R21" s="232">
        <f t="shared" ca="1" si="6"/>
        <v>0</v>
      </c>
      <c r="S21" s="233" t="str">
        <f t="shared" ca="1" si="7"/>
        <v>-</v>
      </c>
      <c r="Z21" s="157"/>
      <c r="AA21" s="157"/>
      <c r="AE21" s="234"/>
    </row>
    <row r="22" spans="1:31">
      <c r="A22" s="138">
        <v>200714</v>
      </c>
      <c r="B22" s="214">
        <v>29.13</v>
      </c>
      <c r="C22" s="215">
        <v>286</v>
      </c>
      <c r="D22" s="260">
        <v>10.56</v>
      </c>
      <c r="F22" s="267"/>
      <c r="G22" s="144"/>
      <c r="H22" s="269"/>
      <c r="I22" s="264"/>
      <c r="J22" s="221">
        <f t="shared" si="0"/>
        <v>0</v>
      </c>
      <c r="K22" s="222">
        <v>0</v>
      </c>
      <c r="L22" s="228">
        <f t="shared" ca="1" si="1"/>
        <v>0</v>
      </c>
      <c r="M22" s="229">
        <f t="shared" ca="1" si="2"/>
        <v>0</v>
      </c>
      <c r="N22" s="165">
        <v>0</v>
      </c>
      <c r="O22" s="230">
        <f t="shared" ca="1" si="3"/>
        <v>0</v>
      </c>
      <c r="P22" s="231" t="e">
        <f t="shared" ca="1" si="4"/>
        <v>#NAME?</v>
      </c>
      <c r="Q22" s="231" t="str">
        <f t="shared" ca="1" si="5"/>
        <v>-</v>
      </c>
      <c r="R22" s="232">
        <f t="shared" ca="1" si="6"/>
        <v>0</v>
      </c>
      <c r="S22" s="233" t="str">
        <f t="shared" ca="1" si="7"/>
        <v>-</v>
      </c>
      <c r="Z22" s="157"/>
      <c r="AA22" s="157"/>
      <c r="AE22" s="234"/>
    </row>
    <row r="23" spans="1:31">
      <c r="A23" s="138">
        <v>200715</v>
      </c>
      <c r="B23" s="214">
        <v>144.32</v>
      </c>
      <c r="C23" s="215">
        <v>287</v>
      </c>
      <c r="D23" s="260">
        <v>10.4</v>
      </c>
      <c r="F23" s="263"/>
      <c r="G23" s="144"/>
      <c r="H23" s="263"/>
      <c r="J23" s="221">
        <f t="shared" si="0"/>
        <v>0</v>
      </c>
      <c r="K23" s="222">
        <v>0</v>
      </c>
      <c r="L23" s="228">
        <f t="shared" ca="1" si="1"/>
        <v>0</v>
      </c>
      <c r="M23" s="229">
        <f t="shared" ca="1" si="2"/>
        <v>0</v>
      </c>
      <c r="N23" s="165">
        <v>0</v>
      </c>
      <c r="O23" s="230">
        <f t="shared" ca="1" si="3"/>
        <v>0</v>
      </c>
      <c r="P23" s="231" t="e">
        <f t="shared" ca="1" si="4"/>
        <v>#NAME?</v>
      </c>
      <c r="Q23" s="231" t="str">
        <f t="shared" ca="1" si="5"/>
        <v>-</v>
      </c>
      <c r="R23" s="232">
        <f t="shared" ca="1" si="6"/>
        <v>0</v>
      </c>
      <c r="S23" s="233" t="str">
        <f t="shared" ca="1" si="7"/>
        <v>-</v>
      </c>
      <c r="Z23" s="157"/>
      <c r="AA23" s="157"/>
      <c r="AE23" s="234"/>
    </row>
    <row r="24" spans="1:31">
      <c r="A24" s="138">
        <v>200716</v>
      </c>
      <c r="B24" s="214">
        <v>72.03</v>
      </c>
      <c r="C24" s="215">
        <v>288</v>
      </c>
      <c r="D24" s="260">
        <v>8.4</v>
      </c>
      <c r="F24" s="270"/>
      <c r="G24" s="263"/>
      <c r="H24" s="263"/>
      <c r="J24" s="221">
        <f t="shared" si="0"/>
        <v>0</v>
      </c>
      <c r="K24" s="222">
        <v>0</v>
      </c>
      <c r="L24" s="228">
        <f t="shared" ca="1" si="1"/>
        <v>0</v>
      </c>
      <c r="M24" s="229">
        <f t="shared" ca="1" si="2"/>
        <v>0</v>
      </c>
      <c r="N24" s="165">
        <v>0</v>
      </c>
      <c r="O24" s="230">
        <f t="shared" ca="1" si="3"/>
        <v>0</v>
      </c>
      <c r="P24" s="231" t="e">
        <f t="shared" ca="1" si="4"/>
        <v>#NAME?</v>
      </c>
      <c r="Q24" s="231" t="str">
        <f t="shared" ca="1" si="5"/>
        <v>-</v>
      </c>
      <c r="R24" s="232">
        <f t="shared" ca="1" si="6"/>
        <v>0</v>
      </c>
      <c r="S24" s="233" t="str">
        <f t="shared" ca="1" si="7"/>
        <v>-</v>
      </c>
      <c r="Z24" s="157"/>
      <c r="AA24" s="157"/>
      <c r="AE24" s="234"/>
    </row>
    <row r="25" spans="1:31">
      <c r="A25" s="138">
        <v>200717</v>
      </c>
      <c r="B25" s="214">
        <v>58.08</v>
      </c>
      <c r="C25" s="215">
        <v>289</v>
      </c>
      <c r="D25" s="260">
        <v>10.56</v>
      </c>
      <c r="F25" s="271"/>
      <c r="G25" s="144"/>
      <c r="H25" s="263"/>
      <c r="J25" s="221">
        <f t="shared" si="0"/>
        <v>0</v>
      </c>
      <c r="K25" s="222">
        <v>0</v>
      </c>
      <c r="L25" s="228">
        <f t="shared" ca="1" si="1"/>
        <v>0</v>
      </c>
      <c r="M25" s="229">
        <f t="shared" ca="1" si="2"/>
        <v>0</v>
      </c>
      <c r="N25" s="165">
        <v>0</v>
      </c>
      <c r="O25" s="230">
        <f t="shared" ca="1" si="3"/>
        <v>0</v>
      </c>
      <c r="P25" s="231" t="e">
        <f t="shared" ca="1" si="4"/>
        <v>#NAME?</v>
      </c>
      <c r="Q25" s="231" t="str">
        <f t="shared" ca="1" si="5"/>
        <v>-</v>
      </c>
      <c r="R25" s="232">
        <f t="shared" ca="1" si="6"/>
        <v>0</v>
      </c>
      <c r="S25" s="233" t="str">
        <f t="shared" ca="1" si="7"/>
        <v>-</v>
      </c>
      <c r="Z25" s="157"/>
      <c r="AA25" s="157"/>
      <c r="AE25" s="234"/>
    </row>
    <row r="26" spans="1:31">
      <c r="A26" s="138">
        <v>200724</v>
      </c>
      <c r="B26" s="214">
        <v>51.47</v>
      </c>
      <c r="C26" s="215">
        <v>290</v>
      </c>
      <c r="D26" s="260">
        <v>10.56</v>
      </c>
      <c r="E26" s="272"/>
      <c r="F26" s="144"/>
      <c r="G26" s="271"/>
      <c r="H26" s="263"/>
      <c r="J26" s="221">
        <f t="shared" si="0"/>
        <v>0</v>
      </c>
      <c r="K26" s="222">
        <v>0</v>
      </c>
      <c r="L26" s="228">
        <f t="shared" ca="1" si="1"/>
        <v>0</v>
      </c>
      <c r="M26" s="229">
        <f t="shared" ca="1" si="2"/>
        <v>0</v>
      </c>
      <c r="N26" s="165">
        <v>0</v>
      </c>
      <c r="O26" s="230">
        <f t="shared" ca="1" si="3"/>
        <v>0</v>
      </c>
      <c r="P26" s="231" t="e">
        <f t="shared" ca="1" si="4"/>
        <v>#NAME?</v>
      </c>
      <c r="Q26" s="231" t="str">
        <f t="shared" ca="1" si="5"/>
        <v>-</v>
      </c>
      <c r="R26" s="232">
        <f t="shared" ca="1" si="6"/>
        <v>0</v>
      </c>
      <c r="S26" s="233" t="str">
        <f t="shared" ca="1" si="7"/>
        <v>-</v>
      </c>
      <c r="Z26" s="157"/>
      <c r="AA26" s="157"/>
      <c r="AE26" s="234"/>
    </row>
    <row r="27" spans="1:31">
      <c r="A27" s="138">
        <v>201851</v>
      </c>
      <c r="B27" s="214">
        <v>42.09</v>
      </c>
      <c r="C27" s="215">
        <v>7173</v>
      </c>
      <c r="D27" s="260">
        <v>15</v>
      </c>
      <c r="F27" s="263"/>
      <c r="G27" s="144"/>
      <c r="H27" s="263"/>
      <c r="J27" s="221">
        <f t="shared" si="0"/>
        <v>0</v>
      </c>
      <c r="K27" s="222">
        <v>0</v>
      </c>
      <c r="L27" s="228">
        <f t="shared" ca="1" si="1"/>
        <v>0</v>
      </c>
      <c r="M27" s="229">
        <f t="shared" ca="1" si="2"/>
        <v>0</v>
      </c>
      <c r="N27" s="165">
        <v>0</v>
      </c>
      <c r="O27" s="230">
        <f t="shared" ca="1" si="3"/>
        <v>0</v>
      </c>
      <c r="P27" s="231" t="e">
        <f t="shared" ca="1" si="4"/>
        <v>#NAME?</v>
      </c>
      <c r="Q27" s="231" t="str">
        <f t="shared" ca="1" si="5"/>
        <v>-</v>
      </c>
      <c r="R27" s="232">
        <f t="shared" ca="1" si="6"/>
        <v>0</v>
      </c>
      <c r="S27" s="233" t="str">
        <f t="shared" ca="1" si="7"/>
        <v>-</v>
      </c>
      <c r="AE27" s="234"/>
    </row>
    <row r="28" spans="1:31">
      <c r="A28" s="138">
        <v>201853</v>
      </c>
      <c r="B28" s="214">
        <v>62.66</v>
      </c>
      <c r="C28" s="215">
        <v>293</v>
      </c>
      <c r="D28" s="260">
        <v>9.24</v>
      </c>
      <c r="F28" s="144"/>
      <c r="G28" s="164"/>
      <c r="J28" s="221">
        <f t="shared" si="0"/>
        <v>0</v>
      </c>
      <c r="K28" s="222">
        <v>0</v>
      </c>
      <c r="L28" s="228">
        <f t="shared" ca="1" si="1"/>
        <v>0</v>
      </c>
      <c r="M28" s="229">
        <f t="shared" ca="1" si="2"/>
        <v>0</v>
      </c>
      <c r="N28" s="165">
        <v>0</v>
      </c>
      <c r="O28" s="230">
        <f t="shared" ca="1" si="3"/>
        <v>0</v>
      </c>
      <c r="P28" s="231" t="e">
        <f t="shared" ca="1" si="4"/>
        <v>#NAME?</v>
      </c>
      <c r="Q28" s="231" t="str">
        <f t="shared" ca="1" si="5"/>
        <v>-</v>
      </c>
      <c r="R28" s="232">
        <f t="shared" ca="1" si="6"/>
        <v>0</v>
      </c>
      <c r="S28" s="233" t="str">
        <f t="shared" ca="1" si="7"/>
        <v>-</v>
      </c>
      <c r="Z28" s="157"/>
      <c r="AA28" s="157"/>
      <c r="AE28" s="234"/>
    </row>
    <row r="29" spans="1:31">
      <c r="A29" s="138">
        <v>201854</v>
      </c>
      <c r="B29" s="214">
        <v>22.76</v>
      </c>
      <c r="C29" s="215">
        <v>294</v>
      </c>
      <c r="D29" s="260">
        <v>7.26</v>
      </c>
      <c r="F29" s="144"/>
      <c r="G29" s="273"/>
      <c r="J29" s="221">
        <f t="shared" si="0"/>
        <v>0</v>
      </c>
      <c r="K29" s="222">
        <v>0</v>
      </c>
      <c r="L29" s="228">
        <f t="shared" ca="1" si="1"/>
        <v>0</v>
      </c>
      <c r="M29" s="229">
        <f t="shared" ca="1" si="2"/>
        <v>0</v>
      </c>
      <c r="N29" s="165">
        <v>0</v>
      </c>
      <c r="O29" s="230">
        <f t="shared" ca="1" si="3"/>
        <v>0</v>
      </c>
      <c r="P29" s="231" t="e">
        <f t="shared" ca="1" si="4"/>
        <v>#NAME?</v>
      </c>
      <c r="Q29" s="231" t="str">
        <f t="shared" ca="1" si="5"/>
        <v>-</v>
      </c>
      <c r="R29" s="232">
        <f t="shared" ca="1" si="6"/>
        <v>0</v>
      </c>
      <c r="S29" s="233" t="str">
        <f t="shared" ca="1" si="7"/>
        <v>-</v>
      </c>
      <c r="Z29" s="157"/>
      <c r="AA29" s="157"/>
      <c r="AE29" s="234"/>
    </row>
    <row r="30" spans="1:31">
      <c r="A30" s="138">
        <v>201855</v>
      </c>
      <c r="B30" s="214">
        <v>45.6</v>
      </c>
      <c r="C30" s="215">
        <v>295</v>
      </c>
      <c r="D30" s="260">
        <v>9.02</v>
      </c>
      <c r="F30" s="144"/>
      <c r="G30" s="273"/>
      <c r="J30" s="221">
        <f t="shared" si="0"/>
        <v>0</v>
      </c>
      <c r="K30" s="222">
        <v>0</v>
      </c>
      <c r="L30" s="228">
        <f t="shared" ca="1" si="1"/>
        <v>0</v>
      </c>
      <c r="M30" s="229">
        <f t="shared" ca="1" si="2"/>
        <v>0</v>
      </c>
      <c r="N30" s="165">
        <v>0</v>
      </c>
      <c r="O30" s="230">
        <f t="shared" ca="1" si="3"/>
        <v>0</v>
      </c>
      <c r="P30" s="231" t="e">
        <f t="shared" ca="1" si="4"/>
        <v>#NAME?</v>
      </c>
      <c r="Q30" s="231" t="str">
        <f t="shared" ca="1" si="5"/>
        <v>-</v>
      </c>
      <c r="R30" s="232">
        <f t="shared" ca="1" si="6"/>
        <v>0</v>
      </c>
      <c r="S30" s="233" t="str">
        <f t="shared" ca="1" si="7"/>
        <v>-</v>
      </c>
      <c r="Z30" s="157"/>
      <c r="AA30" s="157"/>
      <c r="AE30" s="234"/>
    </row>
    <row r="31" spans="1:31">
      <c r="A31" s="138">
        <v>2031</v>
      </c>
      <c r="B31" s="214">
        <v>92.77</v>
      </c>
      <c r="C31" s="215">
        <v>301</v>
      </c>
      <c r="D31" s="260">
        <v>11</v>
      </c>
      <c r="E31" s="144"/>
      <c r="F31" s="274"/>
      <c r="G31" s="144"/>
      <c r="J31" s="221">
        <f t="shared" si="0"/>
        <v>0</v>
      </c>
      <c r="K31" s="222">
        <v>0</v>
      </c>
      <c r="L31" s="228">
        <f t="shared" ca="1" si="1"/>
        <v>0</v>
      </c>
      <c r="M31" s="229">
        <f t="shared" ca="1" si="2"/>
        <v>0</v>
      </c>
      <c r="N31" s="165">
        <v>0</v>
      </c>
      <c r="O31" s="230">
        <f t="shared" ca="1" si="3"/>
        <v>0</v>
      </c>
      <c r="P31" s="231" t="e">
        <f t="shared" ca="1" si="4"/>
        <v>#NAME?</v>
      </c>
      <c r="Q31" s="231" t="str">
        <f t="shared" ca="1" si="5"/>
        <v>-</v>
      </c>
      <c r="R31" s="232">
        <f t="shared" ca="1" si="6"/>
        <v>0</v>
      </c>
      <c r="S31" s="233" t="str">
        <f t="shared" ca="1" si="7"/>
        <v>-</v>
      </c>
      <c r="Z31" s="157"/>
      <c r="AA31" s="157"/>
      <c r="AE31" s="234"/>
    </row>
    <row r="32" spans="1:31">
      <c r="A32" s="138">
        <v>2043</v>
      </c>
      <c r="B32" s="214">
        <v>134.32</v>
      </c>
      <c r="C32" s="215">
        <v>305</v>
      </c>
      <c r="D32" s="260">
        <v>12</v>
      </c>
      <c r="E32" s="144"/>
      <c r="F32" s="274"/>
      <c r="G32" s="4"/>
      <c r="J32" s="221">
        <f t="shared" si="0"/>
        <v>0</v>
      </c>
      <c r="K32" s="222">
        <v>0</v>
      </c>
      <c r="L32" s="228">
        <f t="shared" ca="1" si="1"/>
        <v>0</v>
      </c>
      <c r="M32" s="229">
        <f t="shared" ca="1" si="2"/>
        <v>0</v>
      </c>
      <c r="N32" s="165">
        <v>0</v>
      </c>
      <c r="O32" s="230">
        <f t="shared" ca="1" si="3"/>
        <v>0</v>
      </c>
      <c r="P32" s="231" t="e">
        <f t="shared" ca="1" si="4"/>
        <v>#NAME?</v>
      </c>
      <c r="Q32" s="231" t="str">
        <f t="shared" ca="1" si="5"/>
        <v>-</v>
      </c>
      <c r="R32" s="232">
        <f t="shared" ca="1" si="6"/>
        <v>0</v>
      </c>
      <c r="S32" s="233" t="str">
        <f t="shared" ca="1" si="7"/>
        <v>-</v>
      </c>
      <c r="Z32" s="157"/>
      <c r="AA32" s="157"/>
      <c r="AE32" s="234"/>
    </row>
    <row r="33" spans="1:31">
      <c r="A33" s="138">
        <v>2044</v>
      </c>
      <c r="B33" s="214">
        <v>56.92</v>
      </c>
      <c r="C33" s="215">
        <v>306</v>
      </c>
      <c r="D33" s="260">
        <v>15</v>
      </c>
      <c r="E33" s="273"/>
      <c r="F33" s="275"/>
      <c r="J33" s="221">
        <f t="shared" si="0"/>
        <v>0</v>
      </c>
      <c r="K33" s="222">
        <v>0</v>
      </c>
      <c r="L33" s="228">
        <f t="shared" ca="1" si="1"/>
        <v>0</v>
      </c>
      <c r="M33" s="229">
        <f t="shared" ca="1" si="2"/>
        <v>0</v>
      </c>
      <c r="N33" s="165">
        <v>0</v>
      </c>
      <c r="O33" s="230">
        <f t="shared" ca="1" si="3"/>
        <v>0</v>
      </c>
      <c r="P33" s="231" t="e">
        <f t="shared" ca="1" si="4"/>
        <v>#NAME?</v>
      </c>
      <c r="Q33" s="231" t="str">
        <f t="shared" ca="1" si="5"/>
        <v>-</v>
      </c>
      <c r="R33" s="232">
        <f t="shared" ca="1" si="6"/>
        <v>0</v>
      </c>
      <c r="S33" s="233" t="str">
        <f t="shared" ca="1" si="7"/>
        <v>-</v>
      </c>
      <c r="Z33" s="157"/>
      <c r="AA33" s="157"/>
      <c r="AE33" s="234"/>
    </row>
    <row r="34" spans="1:31">
      <c r="A34" s="138">
        <v>2047</v>
      </c>
      <c r="B34" s="214">
        <v>35.1</v>
      </c>
      <c r="C34" s="215">
        <v>307</v>
      </c>
      <c r="D34" s="260">
        <v>14</v>
      </c>
      <c r="E34" s="273"/>
      <c r="F34" s="275"/>
      <c r="G34" s="276"/>
      <c r="J34" s="221">
        <f t="shared" si="0"/>
        <v>0</v>
      </c>
      <c r="K34" s="222">
        <v>0</v>
      </c>
      <c r="L34" s="228">
        <f t="shared" ca="1" si="1"/>
        <v>0</v>
      </c>
      <c r="M34" s="229">
        <f t="shared" ca="1" si="2"/>
        <v>0</v>
      </c>
      <c r="N34" s="165" t="e">
        <f>_xlfn.XLOOKUP(J34,C:C,D:D)</f>
        <v>#N/A</v>
      </c>
      <c r="O34" s="230">
        <f t="shared" ca="1" si="3"/>
        <v>0</v>
      </c>
      <c r="P34" s="231" t="e">
        <f t="shared" ca="1" si="4"/>
        <v>#NAME?</v>
      </c>
      <c r="Q34" s="231" t="str">
        <f t="shared" ca="1" si="5"/>
        <v>-</v>
      </c>
      <c r="R34" s="232">
        <f t="shared" ca="1" si="6"/>
        <v>0</v>
      </c>
      <c r="S34" s="233" t="str">
        <f t="shared" ca="1" si="7"/>
        <v>-</v>
      </c>
      <c r="Z34" s="157"/>
      <c r="AA34" s="157"/>
      <c r="AE34" s="234"/>
    </row>
    <row r="35" spans="1:31">
      <c r="A35" s="138">
        <v>2060</v>
      </c>
      <c r="B35" s="214">
        <v>44.6</v>
      </c>
      <c r="C35" s="215">
        <v>311</v>
      </c>
      <c r="D35" s="260">
        <v>15</v>
      </c>
      <c r="E35" s="277"/>
      <c r="F35" s="278"/>
      <c r="J35" s="221">
        <f t="shared" si="0"/>
        <v>0</v>
      </c>
      <c r="K35" s="222">
        <v>0</v>
      </c>
      <c r="L35" s="228">
        <f t="shared" ca="1" si="1"/>
        <v>0</v>
      </c>
      <c r="M35" s="229">
        <f t="shared" ca="1" si="2"/>
        <v>0</v>
      </c>
      <c r="N35" s="165">
        <v>0</v>
      </c>
      <c r="O35" s="230">
        <f t="shared" ca="1" si="3"/>
        <v>0</v>
      </c>
      <c r="P35" s="231" t="e">
        <f t="shared" ca="1" si="4"/>
        <v>#NAME?</v>
      </c>
      <c r="Q35" s="231" t="str">
        <f t="shared" ca="1" si="5"/>
        <v>-</v>
      </c>
      <c r="R35" s="232">
        <f t="shared" ca="1" si="6"/>
        <v>0</v>
      </c>
      <c r="S35" s="233" t="str">
        <f t="shared" ca="1" si="7"/>
        <v>-</v>
      </c>
      <c r="Z35" s="157"/>
      <c r="AA35" s="157"/>
      <c r="AE35" s="234"/>
    </row>
    <row r="36" spans="1:31">
      <c r="A36" s="138">
        <v>2061</v>
      </c>
      <c r="B36" s="214">
        <v>52.81</v>
      </c>
      <c r="C36" s="215">
        <v>320</v>
      </c>
      <c r="D36" s="260">
        <v>9.1999999999999993</v>
      </c>
      <c r="E36" s="277"/>
      <c r="F36" s="278"/>
      <c r="J36" s="221">
        <f t="shared" si="0"/>
        <v>0</v>
      </c>
      <c r="K36" s="222">
        <v>0</v>
      </c>
      <c r="L36" s="228">
        <f t="shared" ca="1" si="1"/>
        <v>0</v>
      </c>
      <c r="M36" s="229">
        <f t="shared" ca="1" si="2"/>
        <v>0</v>
      </c>
      <c r="N36" s="165">
        <v>0</v>
      </c>
      <c r="O36" s="230">
        <f t="shared" ca="1" si="3"/>
        <v>0</v>
      </c>
      <c r="P36" s="231" t="e">
        <f t="shared" ca="1" si="4"/>
        <v>#NAME?</v>
      </c>
      <c r="Q36" s="231" t="str">
        <f t="shared" ca="1" si="5"/>
        <v>-</v>
      </c>
      <c r="R36" s="232">
        <f t="shared" ca="1" si="6"/>
        <v>0</v>
      </c>
      <c r="S36" s="233" t="str">
        <f t="shared" ca="1" si="7"/>
        <v>-</v>
      </c>
      <c r="Z36" s="157"/>
      <c r="AA36" s="157"/>
      <c r="AE36" s="234"/>
    </row>
    <row r="37" spans="1:31">
      <c r="A37" s="138">
        <v>2062</v>
      </c>
      <c r="B37" s="214">
        <v>92.66</v>
      </c>
      <c r="C37" s="215">
        <v>323</v>
      </c>
      <c r="D37" s="260">
        <v>16</v>
      </c>
      <c r="E37" s="277"/>
      <c r="F37" s="278"/>
      <c r="J37" s="221">
        <f t="shared" si="0"/>
        <v>0</v>
      </c>
      <c r="K37" s="222">
        <v>0</v>
      </c>
      <c r="L37" s="228">
        <f t="shared" ca="1" si="1"/>
        <v>0</v>
      </c>
      <c r="M37" s="229">
        <f t="shared" ca="1" si="2"/>
        <v>0</v>
      </c>
      <c r="N37" s="165">
        <v>0</v>
      </c>
      <c r="O37" s="230">
        <f t="shared" ca="1" si="3"/>
        <v>0</v>
      </c>
      <c r="P37" s="231" t="e">
        <f t="shared" ca="1" si="4"/>
        <v>#NAME?</v>
      </c>
      <c r="Q37" s="231" t="str">
        <f t="shared" ca="1" si="5"/>
        <v>-</v>
      </c>
      <c r="R37" s="232">
        <f t="shared" ca="1" si="6"/>
        <v>0</v>
      </c>
      <c r="S37" s="233" t="str">
        <f t="shared" ca="1" si="7"/>
        <v>-</v>
      </c>
      <c r="Z37" s="157"/>
      <c r="AA37" s="157"/>
      <c r="AE37" s="234"/>
    </row>
    <row r="38" spans="1:31">
      <c r="A38" s="138">
        <v>2063</v>
      </c>
      <c r="B38" s="214">
        <v>131.02000000000001</v>
      </c>
      <c r="C38" s="215">
        <v>324</v>
      </c>
      <c r="D38" s="260">
        <v>12.8</v>
      </c>
      <c r="E38" s="277"/>
      <c r="F38" s="278"/>
      <c r="J38" s="221">
        <f t="shared" si="0"/>
        <v>0</v>
      </c>
      <c r="K38" s="222">
        <v>0</v>
      </c>
      <c r="L38" s="228">
        <f t="shared" ca="1" si="1"/>
        <v>0</v>
      </c>
      <c r="M38" s="229">
        <f t="shared" ca="1" si="2"/>
        <v>0</v>
      </c>
      <c r="N38" s="165">
        <v>0</v>
      </c>
      <c r="O38" s="230">
        <f t="shared" ca="1" si="3"/>
        <v>0</v>
      </c>
      <c r="P38" s="231" t="e">
        <f t="shared" ca="1" si="4"/>
        <v>#NAME?</v>
      </c>
      <c r="Q38" s="231" t="str">
        <f t="shared" ca="1" si="5"/>
        <v>-</v>
      </c>
      <c r="R38" s="232">
        <f t="shared" ca="1" si="6"/>
        <v>0</v>
      </c>
      <c r="S38" s="233" t="str">
        <f t="shared" ca="1" si="7"/>
        <v>-</v>
      </c>
      <c r="Z38" s="157"/>
      <c r="AA38" s="157"/>
      <c r="AE38" s="234"/>
    </row>
    <row r="39" spans="1:31">
      <c r="A39" s="138">
        <v>2064</v>
      </c>
      <c r="B39" s="214">
        <v>61.57</v>
      </c>
      <c r="C39" s="215">
        <v>325</v>
      </c>
      <c r="D39" s="260">
        <v>12</v>
      </c>
      <c r="E39" s="277"/>
      <c r="F39" s="278"/>
      <c r="G39" s="273"/>
      <c r="J39" s="221">
        <f t="shared" si="0"/>
        <v>0</v>
      </c>
      <c r="K39" s="222">
        <v>0</v>
      </c>
      <c r="L39" s="228">
        <f t="shared" ca="1" si="1"/>
        <v>0</v>
      </c>
      <c r="M39" s="229">
        <f t="shared" ca="1" si="2"/>
        <v>0</v>
      </c>
      <c r="N39" s="165">
        <v>0</v>
      </c>
      <c r="O39" s="230">
        <f t="shared" ca="1" si="3"/>
        <v>0</v>
      </c>
      <c r="P39" s="231" t="e">
        <f t="shared" ca="1" si="4"/>
        <v>#NAME?</v>
      </c>
      <c r="Q39" s="231" t="str">
        <f t="shared" ca="1" si="5"/>
        <v>-</v>
      </c>
      <c r="R39" s="232">
        <f t="shared" ca="1" si="6"/>
        <v>0</v>
      </c>
      <c r="S39" s="233" t="str">
        <f t="shared" ca="1" si="7"/>
        <v>-</v>
      </c>
      <c r="Z39" s="157"/>
      <c r="AA39" s="157"/>
      <c r="AE39" s="234"/>
    </row>
    <row r="40" spans="1:31">
      <c r="A40" s="138">
        <v>2065</v>
      </c>
      <c r="B40" s="214">
        <v>26.74</v>
      </c>
      <c r="C40" s="215">
        <v>329</v>
      </c>
      <c r="D40" s="260">
        <v>16</v>
      </c>
      <c r="E40" s="277"/>
      <c r="F40" s="278"/>
      <c r="G40" s="273"/>
      <c r="J40" s="221">
        <f t="shared" si="0"/>
        <v>0</v>
      </c>
      <c r="K40" s="222">
        <v>0</v>
      </c>
      <c r="L40" s="228">
        <f t="shared" ca="1" si="1"/>
        <v>0</v>
      </c>
      <c r="M40" s="229">
        <f t="shared" ca="1" si="2"/>
        <v>0</v>
      </c>
      <c r="N40" s="165">
        <v>0</v>
      </c>
      <c r="O40" s="230">
        <f t="shared" ca="1" si="3"/>
        <v>0</v>
      </c>
      <c r="P40" s="231" t="e">
        <f t="shared" ca="1" si="4"/>
        <v>#NAME?</v>
      </c>
      <c r="Q40" s="231" t="str">
        <f t="shared" ca="1" si="5"/>
        <v>-</v>
      </c>
      <c r="R40" s="232">
        <f t="shared" ca="1" si="6"/>
        <v>0</v>
      </c>
      <c r="S40" s="233" t="str">
        <f t="shared" ca="1" si="7"/>
        <v>-</v>
      </c>
      <c r="Z40" s="157"/>
      <c r="AA40" s="157"/>
      <c r="AE40" s="234"/>
    </row>
    <row r="41" spans="1:31">
      <c r="A41" s="138">
        <v>2066</v>
      </c>
      <c r="B41" s="214">
        <v>87.06</v>
      </c>
      <c r="C41" s="215">
        <v>330</v>
      </c>
      <c r="D41" s="260">
        <v>10</v>
      </c>
      <c r="E41" s="277"/>
      <c r="G41" s="273"/>
      <c r="J41" s="221">
        <f t="shared" si="0"/>
        <v>0</v>
      </c>
      <c r="K41" s="222">
        <v>0</v>
      </c>
      <c r="L41" s="228">
        <f t="shared" ca="1" si="1"/>
        <v>0</v>
      </c>
      <c r="M41" s="229">
        <f t="shared" ca="1" si="2"/>
        <v>0</v>
      </c>
      <c r="N41" s="165">
        <v>0</v>
      </c>
      <c r="O41" s="230">
        <f t="shared" ca="1" si="3"/>
        <v>0</v>
      </c>
      <c r="P41" s="231" t="e">
        <f t="shared" ca="1" si="4"/>
        <v>#NAME?</v>
      </c>
      <c r="Q41" s="231" t="str">
        <f t="shared" ca="1" si="5"/>
        <v>-</v>
      </c>
      <c r="R41" s="232">
        <f t="shared" ca="1" si="6"/>
        <v>0</v>
      </c>
      <c r="S41" s="233" t="str">
        <f t="shared" ca="1" si="7"/>
        <v>-</v>
      </c>
      <c r="Z41" s="157"/>
      <c r="AA41" s="157"/>
      <c r="AE41" s="234"/>
    </row>
    <row r="42" spans="1:31">
      <c r="A42" s="138">
        <v>2067</v>
      </c>
      <c r="B42" s="214">
        <v>16.82</v>
      </c>
      <c r="C42" s="215">
        <v>331</v>
      </c>
      <c r="D42" s="216">
        <v>15</v>
      </c>
      <c r="G42" s="273"/>
      <c r="J42" s="221">
        <f t="shared" si="0"/>
        <v>0</v>
      </c>
      <c r="K42" s="222">
        <v>0</v>
      </c>
      <c r="L42" s="228">
        <f t="shared" ca="1" si="1"/>
        <v>0</v>
      </c>
      <c r="M42" s="229">
        <f t="shared" ca="1" si="2"/>
        <v>0</v>
      </c>
      <c r="N42" s="165">
        <v>0</v>
      </c>
      <c r="O42" s="230">
        <f t="shared" ca="1" si="3"/>
        <v>0</v>
      </c>
      <c r="P42" s="231" t="e">
        <f t="shared" ca="1" si="4"/>
        <v>#NAME?</v>
      </c>
      <c r="Q42" s="231" t="str">
        <f t="shared" ca="1" si="5"/>
        <v>-</v>
      </c>
      <c r="R42" s="232">
        <f t="shared" ca="1" si="6"/>
        <v>0</v>
      </c>
      <c r="S42" s="233" t="str">
        <f t="shared" ca="1" si="7"/>
        <v>-</v>
      </c>
      <c r="Z42" s="157"/>
      <c r="AA42" s="157"/>
      <c r="AE42" s="234"/>
    </row>
    <row r="43" spans="1:31">
      <c r="A43" s="138">
        <v>2068</v>
      </c>
      <c r="B43" s="214">
        <v>121.26</v>
      </c>
      <c r="C43" s="215">
        <v>332</v>
      </c>
      <c r="D43" s="216">
        <v>15</v>
      </c>
      <c r="J43" s="221">
        <f t="shared" si="0"/>
        <v>0</v>
      </c>
      <c r="K43" s="222">
        <v>0</v>
      </c>
      <c r="L43" s="228">
        <f t="shared" ca="1" si="1"/>
        <v>0</v>
      </c>
      <c r="M43" s="229">
        <f t="shared" ca="1" si="2"/>
        <v>0</v>
      </c>
      <c r="N43" s="165">
        <v>0</v>
      </c>
      <c r="O43" s="230">
        <f t="shared" ca="1" si="3"/>
        <v>0</v>
      </c>
      <c r="P43" s="231" t="e">
        <f t="shared" ca="1" si="4"/>
        <v>#NAME?</v>
      </c>
      <c r="Q43" s="231" t="str">
        <f t="shared" ca="1" si="5"/>
        <v>-</v>
      </c>
      <c r="R43" s="232">
        <f t="shared" ca="1" si="6"/>
        <v>0</v>
      </c>
      <c r="S43" s="233" t="str">
        <f t="shared" ca="1" si="7"/>
        <v>-</v>
      </c>
      <c r="Z43" s="157"/>
      <c r="AA43" s="157"/>
      <c r="AE43" s="234"/>
    </row>
    <row r="44" spans="1:31">
      <c r="A44" s="138">
        <v>2500</v>
      </c>
      <c r="B44" s="214">
        <v>31.19</v>
      </c>
      <c r="C44" s="215">
        <v>334</v>
      </c>
      <c r="D44" s="216">
        <v>12</v>
      </c>
      <c r="J44" s="221">
        <f t="shared" si="0"/>
        <v>0</v>
      </c>
      <c r="K44" s="222">
        <v>0</v>
      </c>
      <c r="L44" s="228">
        <f t="shared" ca="1" si="1"/>
        <v>0</v>
      </c>
      <c r="M44" s="229">
        <f t="shared" ca="1" si="2"/>
        <v>0</v>
      </c>
      <c r="N44" s="165">
        <v>0</v>
      </c>
      <c r="O44" s="230">
        <f t="shared" ca="1" si="3"/>
        <v>0</v>
      </c>
      <c r="P44" s="231" t="e">
        <f t="shared" ca="1" si="4"/>
        <v>#NAME?</v>
      </c>
      <c r="Q44" s="231" t="str">
        <f t="shared" ca="1" si="5"/>
        <v>-</v>
      </c>
      <c r="R44" s="232">
        <f t="shared" ca="1" si="6"/>
        <v>0</v>
      </c>
      <c r="S44" s="233" t="str">
        <f t="shared" ca="1" si="7"/>
        <v>-</v>
      </c>
      <c r="Z44" s="157"/>
      <c r="AA44" s="157"/>
      <c r="AE44" s="234"/>
    </row>
    <row r="45" spans="1:31">
      <c r="A45" s="138">
        <v>2502</v>
      </c>
      <c r="B45" s="214">
        <v>50.84</v>
      </c>
      <c r="C45" s="215">
        <v>344</v>
      </c>
      <c r="D45" s="216">
        <v>15</v>
      </c>
      <c r="J45" s="221">
        <f t="shared" si="0"/>
        <v>0</v>
      </c>
      <c r="K45" s="222">
        <v>0</v>
      </c>
      <c r="L45" s="228">
        <f t="shared" ca="1" si="1"/>
        <v>0</v>
      </c>
      <c r="M45" s="229">
        <f t="shared" ca="1" si="2"/>
        <v>0</v>
      </c>
      <c r="N45" s="165">
        <v>0</v>
      </c>
      <c r="O45" s="230">
        <f t="shared" ca="1" si="3"/>
        <v>0</v>
      </c>
      <c r="P45" s="231" t="e">
        <f t="shared" ca="1" si="4"/>
        <v>#NAME?</v>
      </c>
      <c r="Q45" s="231" t="str">
        <f t="shared" ca="1" si="5"/>
        <v>-</v>
      </c>
      <c r="R45" s="232">
        <f t="shared" ca="1" si="6"/>
        <v>0</v>
      </c>
      <c r="S45" s="233" t="str">
        <f t="shared" ca="1" si="7"/>
        <v>-</v>
      </c>
      <c r="Z45" s="157"/>
      <c r="AA45" s="157"/>
      <c r="AE45" s="234"/>
    </row>
    <row r="46" spans="1:31">
      <c r="A46" s="138">
        <v>2504</v>
      </c>
      <c r="B46" s="214">
        <v>51.39</v>
      </c>
      <c r="C46" s="215">
        <v>347</v>
      </c>
      <c r="D46" s="216">
        <v>15</v>
      </c>
      <c r="J46" s="221">
        <f t="shared" si="0"/>
        <v>0</v>
      </c>
      <c r="K46" s="222">
        <v>0</v>
      </c>
      <c r="L46" s="228">
        <f t="shared" ca="1" si="1"/>
        <v>0</v>
      </c>
      <c r="M46" s="229">
        <f t="shared" ca="1" si="2"/>
        <v>0</v>
      </c>
      <c r="N46" s="165">
        <v>0</v>
      </c>
      <c r="O46" s="230">
        <f t="shared" ca="1" si="3"/>
        <v>0</v>
      </c>
      <c r="P46" s="231" t="e">
        <f t="shared" ca="1" si="4"/>
        <v>#NAME?</v>
      </c>
      <c r="Q46" s="231" t="str">
        <f t="shared" ca="1" si="5"/>
        <v>-</v>
      </c>
      <c r="R46" s="232">
        <f t="shared" ca="1" si="6"/>
        <v>0</v>
      </c>
      <c r="S46" s="233" t="str">
        <f t="shared" ca="1" si="7"/>
        <v>-</v>
      </c>
      <c r="Z46" s="157"/>
      <c r="AA46" s="157"/>
      <c r="AE46" s="234"/>
    </row>
    <row r="47" spans="1:31">
      <c r="A47" s="138">
        <v>2506</v>
      </c>
      <c r="B47" s="214">
        <v>27.07</v>
      </c>
      <c r="C47" s="215">
        <v>348</v>
      </c>
      <c r="D47" s="216">
        <v>12</v>
      </c>
      <c r="J47" s="221">
        <f t="shared" si="0"/>
        <v>0</v>
      </c>
      <c r="K47" s="222">
        <v>0</v>
      </c>
      <c r="L47" s="228">
        <f t="shared" ca="1" si="1"/>
        <v>0</v>
      </c>
      <c r="M47" s="229">
        <f t="shared" ca="1" si="2"/>
        <v>0</v>
      </c>
      <c r="N47" s="165">
        <v>0</v>
      </c>
      <c r="O47" s="230">
        <f t="shared" ca="1" si="3"/>
        <v>0</v>
      </c>
      <c r="P47" s="231" t="e">
        <f t="shared" ca="1" si="4"/>
        <v>#NAME?</v>
      </c>
      <c r="Q47" s="231" t="str">
        <f t="shared" ca="1" si="5"/>
        <v>-</v>
      </c>
      <c r="R47" s="232">
        <f t="shared" ca="1" si="6"/>
        <v>0</v>
      </c>
      <c r="S47" s="233" t="str">
        <f t="shared" ca="1" si="7"/>
        <v>-</v>
      </c>
      <c r="Z47" s="157"/>
      <c r="AA47" s="157"/>
      <c r="AE47" s="234"/>
    </row>
    <row r="48" spans="1:31">
      <c r="A48" s="138">
        <v>2508</v>
      </c>
      <c r="B48" s="214">
        <v>114</v>
      </c>
      <c r="C48" s="215">
        <v>349</v>
      </c>
      <c r="D48" s="216">
        <v>14</v>
      </c>
      <c r="J48" s="221">
        <f t="shared" si="0"/>
        <v>0</v>
      </c>
      <c r="K48" s="222">
        <v>0</v>
      </c>
      <c r="L48" s="228">
        <f t="shared" ca="1" si="1"/>
        <v>0</v>
      </c>
      <c r="M48" s="229">
        <f t="shared" ca="1" si="2"/>
        <v>0</v>
      </c>
      <c r="N48" s="165">
        <v>0</v>
      </c>
      <c r="O48" s="230">
        <f t="shared" ca="1" si="3"/>
        <v>0</v>
      </c>
      <c r="P48" s="231" t="e">
        <f t="shared" ca="1" si="4"/>
        <v>#NAME?</v>
      </c>
      <c r="Q48" s="231" t="str">
        <f t="shared" ca="1" si="5"/>
        <v>-</v>
      </c>
      <c r="R48" s="232">
        <f t="shared" ca="1" si="6"/>
        <v>0</v>
      </c>
      <c r="S48" s="233" t="str">
        <f t="shared" ca="1" si="7"/>
        <v>-</v>
      </c>
      <c r="Z48" s="157"/>
      <c r="AA48" s="157"/>
      <c r="AE48" s="234"/>
    </row>
    <row r="49" spans="1:31">
      <c r="A49" s="138">
        <v>2509</v>
      </c>
      <c r="B49" s="214">
        <v>126.19</v>
      </c>
      <c r="C49" s="215">
        <v>350</v>
      </c>
      <c r="D49" s="216">
        <v>8</v>
      </c>
      <c r="J49" s="221">
        <f t="shared" si="0"/>
        <v>0</v>
      </c>
      <c r="K49" s="222">
        <v>0</v>
      </c>
      <c r="L49" s="228">
        <f t="shared" ca="1" si="1"/>
        <v>0</v>
      </c>
      <c r="M49" s="229">
        <f t="shared" ca="1" si="2"/>
        <v>0</v>
      </c>
      <c r="N49" s="165">
        <v>0</v>
      </c>
      <c r="O49" s="230">
        <f t="shared" ca="1" si="3"/>
        <v>0</v>
      </c>
      <c r="P49" s="231" t="e">
        <f t="shared" ca="1" si="4"/>
        <v>#NAME?</v>
      </c>
      <c r="Q49" s="231" t="str">
        <f t="shared" ca="1" si="5"/>
        <v>-</v>
      </c>
      <c r="R49" s="232">
        <f t="shared" ca="1" si="6"/>
        <v>0</v>
      </c>
      <c r="S49" s="233" t="str">
        <f t="shared" ca="1" si="7"/>
        <v>-</v>
      </c>
      <c r="Z49" s="157"/>
      <c r="AA49" s="157"/>
      <c r="AE49" s="234"/>
    </row>
    <row r="50" spans="1:31">
      <c r="A50" s="138">
        <v>2510</v>
      </c>
      <c r="B50" s="214">
        <v>30.7</v>
      </c>
      <c r="C50" s="215">
        <v>352</v>
      </c>
      <c r="D50" s="216">
        <v>9</v>
      </c>
      <c r="H50" s="279"/>
      <c r="J50" s="221">
        <f t="shared" si="0"/>
        <v>0</v>
      </c>
      <c r="K50" s="222">
        <v>0</v>
      </c>
      <c r="L50" s="228">
        <f t="shared" ca="1" si="1"/>
        <v>0</v>
      </c>
      <c r="M50" s="229">
        <f t="shared" ca="1" si="2"/>
        <v>0</v>
      </c>
      <c r="N50" s="165">
        <v>0</v>
      </c>
      <c r="O50" s="230">
        <f t="shared" ca="1" si="3"/>
        <v>0</v>
      </c>
      <c r="P50" s="231" t="e">
        <f t="shared" ca="1" si="4"/>
        <v>#NAME?</v>
      </c>
      <c r="Q50" s="231" t="str">
        <f t="shared" ca="1" si="5"/>
        <v>-</v>
      </c>
      <c r="R50" s="232">
        <f t="shared" ca="1" si="6"/>
        <v>0</v>
      </c>
      <c r="S50" s="233" t="str">
        <f t="shared" ca="1" si="7"/>
        <v>-</v>
      </c>
      <c r="Z50" s="157"/>
      <c r="AA50" s="157"/>
      <c r="AE50" s="234"/>
    </row>
    <row r="51" spans="1:31">
      <c r="A51" s="138">
        <v>2512</v>
      </c>
      <c r="B51" s="214">
        <v>30.7</v>
      </c>
      <c r="C51" s="215"/>
      <c r="D51" s="216"/>
      <c r="J51" s="221">
        <f t="shared" si="0"/>
        <v>0</v>
      </c>
      <c r="K51" s="222">
        <v>0</v>
      </c>
      <c r="L51" s="228">
        <f t="shared" ca="1" si="1"/>
        <v>0</v>
      </c>
      <c r="M51" s="229">
        <f t="shared" ca="1" si="2"/>
        <v>0</v>
      </c>
      <c r="N51" s="165">
        <v>0</v>
      </c>
      <c r="O51" s="230">
        <f t="shared" ca="1" si="3"/>
        <v>0</v>
      </c>
      <c r="P51" s="231" t="e">
        <f t="shared" ca="1" si="4"/>
        <v>#NAME?</v>
      </c>
      <c r="Q51" s="231" t="str">
        <f t="shared" ca="1" si="5"/>
        <v>-</v>
      </c>
      <c r="R51" s="232">
        <f t="shared" ca="1" si="6"/>
        <v>0</v>
      </c>
      <c r="S51" s="233" t="str">
        <f t="shared" ca="1" si="7"/>
        <v>-</v>
      </c>
      <c r="Z51" s="157"/>
      <c r="AA51" s="157"/>
      <c r="AE51" s="234"/>
    </row>
    <row r="52" spans="1:31">
      <c r="A52" s="138">
        <v>7017</v>
      </c>
      <c r="B52" s="214">
        <v>96.02</v>
      </c>
      <c r="C52" s="215">
        <v>355</v>
      </c>
      <c r="D52" s="216">
        <v>15</v>
      </c>
      <c r="J52" s="221">
        <f t="shared" si="0"/>
        <v>0</v>
      </c>
      <c r="K52" s="222">
        <v>0</v>
      </c>
      <c r="L52" s="228">
        <f t="shared" ca="1" si="1"/>
        <v>0</v>
      </c>
      <c r="M52" s="229">
        <f t="shared" ca="1" si="2"/>
        <v>0</v>
      </c>
      <c r="N52" s="165">
        <v>0</v>
      </c>
      <c r="O52" s="230">
        <f t="shared" ca="1" si="3"/>
        <v>0</v>
      </c>
      <c r="P52" s="231" t="e">
        <f t="shared" ca="1" si="4"/>
        <v>#NAME?</v>
      </c>
      <c r="Q52" s="231" t="str">
        <f t="shared" ca="1" si="5"/>
        <v>-</v>
      </c>
      <c r="R52" s="232">
        <f t="shared" ca="1" si="6"/>
        <v>0</v>
      </c>
      <c r="S52" s="233" t="str">
        <f t="shared" ca="1" si="7"/>
        <v>-</v>
      </c>
      <c r="Z52" s="157"/>
      <c r="AA52" s="157"/>
      <c r="AE52" s="234"/>
    </row>
    <row r="53" spans="1:31">
      <c r="A53" s="138">
        <v>7018</v>
      </c>
      <c r="B53" s="214">
        <v>26.78</v>
      </c>
      <c r="C53" s="215">
        <v>359</v>
      </c>
      <c r="D53" s="216">
        <v>12</v>
      </c>
      <c r="J53" s="221">
        <f t="shared" si="0"/>
        <v>0</v>
      </c>
      <c r="K53" s="222">
        <v>0</v>
      </c>
      <c r="L53" s="228">
        <f t="shared" ca="1" si="1"/>
        <v>0</v>
      </c>
      <c r="M53" s="229">
        <f t="shared" ca="1" si="2"/>
        <v>0</v>
      </c>
      <c r="N53" s="165">
        <v>0</v>
      </c>
      <c r="O53" s="230">
        <f t="shared" ca="1" si="3"/>
        <v>0</v>
      </c>
      <c r="P53" s="231" t="e">
        <f t="shared" ca="1" si="4"/>
        <v>#NAME?</v>
      </c>
      <c r="Q53" s="231" t="str">
        <f t="shared" ca="1" si="5"/>
        <v>-</v>
      </c>
      <c r="R53" s="232">
        <f t="shared" ca="1" si="6"/>
        <v>0</v>
      </c>
      <c r="S53" s="233" t="str">
        <f t="shared" ca="1" si="7"/>
        <v>-</v>
      </c>
      <c r="Z53" s="157"/>
      <c r="AA53" s="157"/>
      <c r="AE53" s="234"/>
    </row>
    <row r="54" spans="1:31">
      <c r="A54" s="138">
        <v>7091</v>
      </c>
      <c r="B54" s="214">
        <v>82.96</v>
      </c>
      <c r="C54" s="215">
        <v>361</v>
      </c>
      <c r="D54" s="216">
        <v>9.24</v>
      </c>
      <c r="J54" s="221">
        <f t="shared" si="0"/>
        <v>0</v>
      </c>
      <c r="K54" s="222">
        <v>0</v>
      </c>
      <c r="L54" s="228">
        <f t="shared" ca="1" si="1"/>
        <v>0</v>
      </c>
      <c r="M54" s="229">
        <f t="shared" ca="1" si="2"/>
        <v>0</v>
      </c>
      <c r="N54" s="165">
        <v>0</v>
      </c>
      <c r="O54" s="230">
        <f t="shared" ca="1" si="3"/>
        <v>0</v>
      </c>
      <c r="P54" s="231" t="e">
        <f t="shared" ca="1" si="4"/>
        <v>#NAME?</v>
      </c>
      <c r="Q54" s="231" t="str">
        <f t="shared" ca="1" si="5"/>
        <v>-</v>
      </c>
      <c r="R54" s="232">
        <f t="shared" ca="1" si="6"/>
        <v>0</v>
      </c>
      <c r="S54" s="233" t="str">
        <f t="shared" ca="1" si="7"/>
        <v>-</v>
      </c>
      <c r="Z54" s="157"/>
      <c r="AA54" s="157"/>
      <c r="AE54" s="234"/>
    </row>
    <row r="55" spans="1:31">
      <c r="A55" s="138">
        <v>7104</v>
      </c>
      <c r="B55" s="214">
        <v>45.72</v>
      </c>
      <c r="C55" s="215">
        <v>362</v>
      </c>
      <c r="D55" s="216">
        <v>9.24</v>
      </c>
      <c r="J55" s="221">
        <f t="shared" si="0"/>
        <v>0</v>
      </c>
      <c r="K55" s="222">
        <v>0</v>
      </c>
      <c r="L55" s="228">
        <f t="shared" ca="1" si="1"/>
        <v>0</v>
      </c>
      <c r="M55" s="229">
        <f t="shared" ca="1" si="2"/>
        <v>0</v>
      </c>
      <c r="N55" s="165">
        <v>0</v>
      </c>
      <c r="O55" s="230">
        <f t="shared" ca="1" si="3"/>
        <v>0</v>
      </c>
      <c r="P55" s="231" t="e">
        <f t="shared" ca="1" si="4"/>
        <v>#NAME?</v>
      </c>
      <c r="Q55" s="231" t="str">
        <f t="shared" ca="1" si="5"/>
        <v>-</v>
      </c>
      <c r="R55" s="232">
        <f t="shared" ca="1" si="6"/>
        <v>0</v>
      </c>
      <c r="S55" s="233" t="str">
        <f t="shared" ca="1" si="7"/>
        <v>-</v>
      </c>
      <c r="Z55" s="157"/>
      <c r="AA55" s="157"/>
      <c r="AE55" s="234"/>
    </row>
    <row r="56" spans="1:31">
      <c r="A56" s="138">
        <v>7105</v>
      </c>
      <c r="B56" s="214">
        <v>107.39</v>
      </c>
      <c r="C56" s="215">
        <v>363</v>
      </c>
      <c r="D56" s="216">
        <v>8.58</v>
      </c>
      <c r="J56" s="221">
        <f t="shared" si="0"/>
        <v>0</v>
      </c>
      <c r="K56" s="222">
        <v>0</v>
      </c>
      <c r="L56" s="228">
        <f t="shared" ca="1" si="1"/>
        <v>0</v>
      </c>
      <c r="M56" s="229">
        <f t="shared" ca="1" si="2"/>
        <v>0</v>
      </c>
      <c r="N56" s="165">
        <v>0</v>
      </c>
      <c r="O56" s="230">
        <f t="shared" ca="1" si="3"/>
        <v>0</v>
      </c>
      <c r="P56" s="231" t="e">
        <f t="shared" ca="1" si="4"/>
        <v>#NAME?</v>
      </c>
      <c r="Q56" s="231" t="str">
        <f t="shared" ca="1" si="5"/>
        <v>-</v>
      </c>
      <c r="R56" s="232">
        <f t="shared" ca="1" si="6"/>
        <v>0</v>
      </c>
      <c r="S56" s="233" t="str">
        <f t="shared" ca="1" si="7"/>
        <v>-</v>
      </c>
      <c r="Z56" s="157"/>
      <c r="AA56" s="157"/>
      <c r="AE56" s="234"/>
    </row>
    <row r="57" spans="1:31">
      <c r="A57" s="138">
        <v>7107</v>
      </c>
      <c r="B57" s="214">
        <v>70.010000000000005</v>
      </c>
      <c r="C57" s="215">
        <v>364</v>
      </c>
      <c r="D57" s="216">
        <v>10.56</v>
      </c>
      <c r="J57" s="221">
        <f t="shared" si="0"/>
        <v>0</v>
      </c>
      <c r="K57" s="222">
        <v>0</v>
      </c>
      <c r="L57" s="228">
        <f t="shared" ca="1" si="1"/>
        <v>0</v>
      </c>
      <c r="M57" s="229">
        <f t="shared" ca="1" si="2"/>
        <v>0</v>
      </c>
      <c r="N57" s="165">
        <v>0</v>
      </c>
      <c r="O57" s="230">
        <f t="shared" ca="1" si="3"/>
        <v>0</v>
      </c>
      <c r="P57" s="231" t="e">
        <f t="shared" ca="1" si="4"/>
        <v>#NAME?</v>
      </c>
      <c r="Q57" s="231" t="str">
        <f t="shared" ca="1" si="5"/>
        <v>-</v>
      </c>
      <c r="R57" s="232">
        <f t="shared" ca="1" si="6"/>
        <v>0</v>
      </c>
      <c r="S57" s="233" t="str">
        <f t="shared" ca="1" si="7"/>
        <v>-</v>
      </c>
      <c r="Z57" s="157"/>
      <c r="AA57" s="157"/>
      <c r="AE57" s="234"/>
    </row>
    <row r="58" spans="1:31">
      <c r="A58" s="138">
        <v>7108</v>
      </c>
      <c r="B58" s="214">
        <v>67.900000000000006</v>
      </c>
      <c r="C58" s="215">
        <v>365</v>
      </c>
      <c r="D58" s="216">
        <v>9.24</v>
      </c>
      <c r="J58" s="221">
        <f t="shared" si="0"/>
        <v>0</v>
      </c>
      <c r="K58" s="222">
        <v>0</v>
      </c>
      <c r="L58" s="228">
        <f t="shared" ca="1" si="1"/>
        <v>0</v>
      </c>
      <c r="M58" s="229">
        <f t="shared" ca="1" si="2"/>
        <v>0</v>
      </c>
      <c r="N58" s="165">
        <v>0</v>
      </c>
      <c r="O58" s="230">
        <f t="shared" ca="1" si="3"/>
        <v>0</v>
      </c>
      <c r="P58" s="231" t="e">
        <f t="shared" ca="1" si="4"/>
        <v>#NAME?</v>
      </c>
      <c r="Q58" s="231" t="str">
        <f t="shared" ca="1" si="5"/>
        <v>-</v>
      </c>
      <c r="R58" s="232">
        <f t="shared" ca="1" si="6"/>
        <v>0</v>
      </c>
      <c r="S58" s="233" t="str">
        <f t="shared" ca="1" si="7"/>
        <v>-</v>
      </c>
      <c r="Z58" s="157"/>
      <c r="AA58" s="157"/>
      <c r="AE58" s="234"/>
    </row>
    <row r="59" spans="1:31">
      <c r="A59" s="138">
        <v>7109</v>
      </c>
      <c r="B59" s="214">
        <v>96.02</v>
      </c>
      <c r="C59" s="215">
        <v>366</v>
      </c>
      <c r="D59" s="216">
        <v>10.5</v>
      </c>
      <c r="J59" s="221">
        <f t="shared" si="0"/>
        <v>0</v>
      </c>
      <c r="K59" s="222">
        <v>0</v>
      </c>
      <c r="L59" s="228">
        <f t="shared" ca="1" si="1"/>
        <v>0</v>
      </c>
      <c r="M59" s="229">
        <f t="shared" ca="1" si="2"/>
        <v>0</v>
      </c>
      <c r="N59" s="165">
        <v>0</v>
      </c>
      <c r="O59" s="230">
        <f t="shared" ca="1" si="3"/>
        <v>0</v>
      </c>
      <c r="P59" s="231" t="e">
        <f t="shared" ca="1" si="4"/>
        <v>#NAME?</v>
      </c>
      <c r="Q59" s="231" t="str">
        <f t="shared" ca="1" si="5"/>
        <v>-</v>
      </c>
      <c r="R59" s="232">
        <f t="shared" ca="1" si="6"/>
        <v>0</v>
      </c>
      <c r="S59" s="233" t="str">
        <f t="shared" ca="1" si="7"/>
        <v>-</v>
      </c>
      <c r="Z59" s="157"/>
      <c r="AA59" s="157"/>
      <c r="AE59" s="234"/>
    </row>
    <row r="60" spans="1:31">
      <c r="A60" s="138">
        <v>7115</v>
      </c>
      <c r="B60" s="214">
        <v>67.900000000000006</v>
      </c>
      <c r="C60" s="215">
        <v>367</v>
      </c>
      <c r="D60" s="216">
        <v>8.91</v>
      </c>
      <c r="J60" s="221">
        <f t="shared" si="0"/>
        <v>0</v>
      </c>
      <c r="K60" s="222">
        <v>0</v>
      </c>
      <c r="L60" s="228">
        <f t="shared" ca="1" si="1"/>
        <v>0</v>
      </c>
      <c r="M60" s="229">
        <f t="shared" ca="1" si="2"/>
        <v>0</v>
      </c>
      <c r="N60" s="165">
        <v>0</v>
      </c>
      <c r="O60" s="230">
        <f t="shared" ca="1" si="3"/>
        <v>0</v>
      </c>
      <c r="P60" s="231" t="e">
        <f t="shared" ca="1" si="4"/>
        <v>#NAME?</v>
      </c>
      <c r="Q60" s="231" t="str">
        <f t="shared" ca="1" si="5"/>
        <v>-</v>
      </c>
      <c r="R60" s="232">
        <f t="shared" ca="1" si="6"/>
        <v>0</v>
      </c>
      <c r="S60" s="233" t="str">
        <f t="shared" ca="1" si="7"/>
        <v>-</v>
      </c>
      <c r="Z60" s="157"/>
      <c r="AA60" s="157"/>
      <c r="AE60" s="234"/>
    </row>
    <row r="61" spans="1:31">
      <c r="A61" s="138">
        <v>7116</v>
      </c>
      <c r="B61" s="214">
        <v>45.72</v>
      </c>
      <c r="C61" s="215">
        <v>368</v>
      </c>
      <c r="D61" s="216">
        <v>9.9</v>
      </c>
      <c r="J61" s="221">
        <f t="shared" si="0"/>
        <v>0</v>
      </c>
      <c r="K61" s="222">
        <v>0</v>
      </c>
      <c r="L61" s="228">
        <f t="shared" ca="1" si="1"/>
        <v>0</v>
      </c>
      <c r="M61" s="229">
        <f t="shared" ca="1" si="2"/>
        <v>0</v>
      </c>
      <c r="N61" s="165">
        <v>0</v>
      </c>
      <c r="O61" s="230">
        <f t="shared" ca="1" si="3"/>
        <v>0</v>
      </c>
      <c r="P61" s="231" t="e">
        <f t="shared" ca="1" si="4"/>
        <v>#NAME?</v>
      </c>
      <c r="Q61" s="231" t="str">
        <f t="shared" ca="1" si="5"/>
        <v>-</v>
      </c>
      <c r="R61" s="232">
        <f t="shared" ca="1" si="6"/>
        <v>0</v>
      </c>
      <c r="S61" s="233" t="str">
        <f t="shared" ca="1" si="7"/>
        <v>-</v>
      </c>
      <c r="Z61" s="157"/>
      <c r="AA61" s="157"/>
      <c r="AE61" s="234"/>
    </row>
    <row r="62" spans="1:31">
      <c r="A62" s="138">
        <v>7117</v>
      </c>
      <c r="B62" s="214">
        <v>96.02</v>
      </c>
      <c r="C62" s="215">
        <v>369</v>
      </c>
      <c r="D62" s="216">
        <v>9.24</v>
      </c>
      <c r="J62" s="221">
        <f t="shared" si="0"/>
        <v>0</v>
      </c>
      <c r="K62" s="222">
        <v>0</v>
      </c>
      <c r="L62" s="228">
        <f t="shared" ca="1" si="1"/>
        <v>0</v>
      </c>
      <c r="M62" s="229">
        <f t="shared" ca="1" si="2"/>
        <v>0</v>
      </c>
      <c r="N62" s="165">
        <v>0</v>
      </c>
      <c r="O62" s="230">
        <f t="shared" ca="1" si="3"/>
        <v>0</v>
      </c>
      <c r="P62" s="231" t="e">
        <f t="shared" ca="1" si="4"/>
        <v>#NAME?</v>
      </c>
      <c r="Q62" s="231" t="str">
        <f t="shared" ca="1" si="5"/>
        <v>-</v>
      </c>
      <c r="R62" s="232">
        <f t="shared" ca="1" si="6"/>
        <v>0</v>
      </c>
      <c r="S62" s="233" t="str">
        <f t="shared" ca="1" si="7"/>
        <v>-</v>
      </c>
      <c r="Z62" s="157"/>
      <c r="AA62" s="157"/>
      <c r="AE62" s="234"/>
    </row>
    <row r="63" spans="1:31">
      <c r="A63" s="138">
        <v>7118</v>
      </c>
      <c r="B63" s="214">
        <v>70.010000000000005</v>
      </c>
      <c r="C63" s="215">
        <v>370</v>
      </c>
      <c r="D63" s="216">
        <v>9.24</v>
      </c>
      <c r="J63" s="221">
        <f t="shared" si="0"/>
        <v>0</v>
      </c>
      <c r="K63" s="222">
        <v>0</v>
      </c>
      <c r="L63" s="228">
        <f t="shared" ca="1" si="1"/>
        <v>0</v>
      </c>
      <c r="M63" s="229">
        <f t="shared" ca="1" si="2"/>
        <v>0</v>
      </c>
      <c r="N63" s="165">
        <v>0</v>
      </c>
      <c r="O63" s="230">
        <f t="shared" ca="1" si="3"/>
        <v>0</v>
      </c>
      <c r="P63" s="231" t="e">
        <f t="shared" ca="1" si="4"/>
        <v>#NAME?</v>
      </c>
      <c r="Q63" s="231" t="str">
        <f t="shared" ca="1" si="5"/>
        <v>-</v>
      </c>
      <c r="R63" s="232">
        <f t="shared" ca="1" si="6"/>
        <v>0</v>
      </c>
      <c r="S63" s="233" t="str">
        <f t="shared" ca="1" si="7"/>
        <v>-</v>
      </c>
      <c r="Z63" s="157"/>
      <c r="AA63" s="157"/>
      <c r="AE63" s="234"/>
    </row>
    <row r="64" spans="1:31">
      <c r="A64" s="138">
        <v>7119</v>
      </c>
      <c r="B64" s="214">
        <v>70.010000000000005</v>
      </c>
      <c r="C64" s="215">
        <v>378</v>
      </c>
      <c r="D64" s="216">
        <v>16</v>
      </c>
      <c r="J64" s="221">
        <f t="shared" si="0"/>
        <v>0</v>
      </c>
      <c r="K64" s="222">
        <v>0</v>
      </c>
      <c r="L64" s="228">
        <f t="shared" ca="1" si="1"/>
        <v>0</v>
      </c>
      <c r="M64" s="229">
        <f t="shared" ca="1" si="2"/>
        <v>0</v>
      </c>
      <c r="N64" s="165">
        <v>0</v>
      </c>
      <c r="O64" s="230">
        <f t="shared" ca="1" si="3"/>
        <v>0</v>
      </c>
      <c r="P64" s="231" t="e">
        <f t="shared" ca="1" si="4"/>
        <v>#NAME?</v>
      </c>
      <c r="Q64" s="231" t="str">
        <f t="shared" ca="1" si="5"/>
        <v>-</v>
      </c>
      <c r="R64" s="232">
        <f t="shared" ca="1" si="6"/>
        <v>0</v>
      </c>
      <c r="S64" s="233" t="str">
        <f t="shared" ca="1" si="7"/>
        <v>-</v>
      </c>
      <c r="Z64" s="157"/>
      <c r="AA64" s="157"/>
      <c r="AE64" s="234"/>
    </row>
    <row r="65" spans="1:31">
      <c r="A65" s="138">
        <v>7120</v>
      </c>
      <c r="B65" s="214">
        <v>20.8</v>
      </c>
      <c r="C65" s="215">
        <v>381</v>
      </c>
      <c r="D65" s="216">
        <v>9.24</v>
      </c>
      <c r="J65" s="221">
        <f t="shared" si="0"/>
        <v>0</v>
      </c>
      <c r="K65" s="222">
        <v>0</v>
      </c>
      <c r="L65" s="228">
        <f t="shared" ca="1" si="1"/>
        <v>0</v>
      </c>
      <c r="M65" s="229">
        <f t="shared" ca="1" si="2"/>
        <v>0</v>
      </c>
      <c r="N65" s="165">
        <v>0</v>
      </c>
      <c r="O65" s="230">
        <f t="shared" ca="1" si="3"/>
        <v>0</v>
      </c>
      <c r="P65" s="231" t="e">
        <f t="shared" ca="1" si="4"/>
        <v>#NAME?</v>
      </c>
      <c r="Q65" s="231" t="str">
        <f t="shared" ca="1" si="5"/>
        <v>-</v>
      </c>
      <c r="R65" s="232">
        <f t="shared" ca="1" si="6"/>
        <v>0</v>
      </c>
      <c r="S65" s="233" t="str">
        <f t="shared" ca="1" si="7"/>
        <v>-</v>
      </c>
      <c r="Z65" s="157"/>
      <c r="AA65" s="157"/>
      <c r="AE65" s="234"/>
    </row>
    <row r="66" spans="1:31">
      <c r="A66" s="138">
        <v>7137</v>
      </c>
      <c r="B66" s="214">
        <v>34.75</v>
      </c>
      <c r="C66" s="215">
        <v>382</v>
      </c>
      <c r="D66" s="216">
        <v>10.56</v>
      </c>
      <c r="J66" s="221">
        <f t="shared" si="0"/>
        <v>0</v>
      </c>
      <c r="K66" s="222">
        <v>0</v>
      </c>
      <c r="L66" s="228">
        <f t="shared" ca="1" si="1"/>
        <v>0</v>
      </c>
      <c r="M66" s="229">
        <f t="shared" ca="1" si="2"/>
        <v>0</v>
      </c>
      <c r="N66" s="165">
        <v>0</v>
      </c>
      <c r="O66" s="230">
        <f t="shared" ca="1" si="3"/>
        <v>0</v>
      </c>
      <c r="P66" s="231" t="e">
        <f t="shared" ca="1" si="4"/>
        <v>#NAME?</v>
      </c>
      <c r="Q66" s="231" t="str">
        <f t="shared" ca="1" si="5"/>
        <v>-</v>
      </c>
      <c r="R66" s="232">
        <f t="shared" ca="1" si="6"/>
        <v>0</v>
      </c>
      <c r="S66" s="233" t="str">
        <f t="shared" ca="1" si="7"/>
        <v>-</v>
      </c>
      <c r="Z66" s="157"/>
      <c r="AA66" s="157"/>
      <c r="AE66" s="234"/>
    </row>
    <row r="67" spans="1:31">
      <c r="A67" s="138">
        <v>7145</v>
      </c>
      <c r="B67" s="214">
        <v>89.97</v>
      </c>
      <c r="C67" s="215">
        <v>383</v>
      </c>
      <c r="D67" s="216">
        <v>13.64</v>
      </c>
      <c r="J67" s="221">
        <f t="shared" ref="J67:J130" si="9">T67</f>
        <v>0</v>
      </c>
      <c r="K67" s="222">
        <v>0</v>
      </c>
      <c r="L67" s="228">
        <f t="shared" ref="L67:L130" ca="1" si="10">IFERROR(M67/25,"")</f>
        <v>0</v>
      </c>
      <c r="M67" s="229">
        <f t="shared" ref="M67:M130" ca="1" si="11">IF(ISNUMBER(P67),Z67,0)</f>
        <v>0</v>
      </c>
      <c r="N67" s="165">
        <v>0</v>
      </c>
      <c r="O67" s="230">
        <f t="shared" ref="O67:O130" ca="1" si="12">IF(ISNUMBER(P67),X67,0)</f>
        <v>0</v>
      </c>
      <c r="P67" s="231" t="e">
        <f t="shared" ref="P67:P130" ca="1" si="13">_xludf.IFNA(Z67/_xlfn.XLOOKUP(T67,$A$2:$A$624,$B$2:$B$624,""),"")</f>
        <v>#NAME?</v>
      </c>
      <c r="Q67" s="231" t="str">
        <f t="shared" ref="Q67:Q130" ca="1" si="14">IFERROR(M67/O67,"-")</f>
        <v>-</v>
      </c>
      <c r="R67" s="232">
        <f t="shared" ref="R67:R130" ca="1" si="15">IF(ISNUMBER(P67),AE67,0)</f>
        <v>0</v>
      </c>
      <c r="S67" s="233" t="str">
        <f t="shared" ref="S67:S130" ca="1" si="16">IFERROR((N67/Q67),"-")</f>
        <v>-</v>
      </c>
      <c r="Z67" s="157"/>
      <c r="AA67" s="157"/>
      <c r="AE67" s="234"/>
    </row>
    <row r="68" spans="1:31">
      <c r="A68" s="138">
        <v>7146</v>
      </c>
      <c r="B68" s="214">
        <v>92.35</v>
      </c>
      <c r="C68" s="215">
        <v>384</v>
      </c>
      <c r="D68" s="216">
        <v>15.84</v>
      </c>
      <c r="J68" s="221">
        <f t="shared" si="9"/>
        <v>0</v>
      </c>
      <c r="K68" s="222">
        <v>0</v>
      </c>
      <c r="L68" s="228">
        <f t="shared" ca="1" si="10"/>
        <v>0</v>
      </c>
      <c r="M68" s="229">
        <f t="shared" ca="1" si="11"/>
        <v>0</v>
      </c>
      <c r="N68" s="165">
        <v>0</v>
      </c>
      <c r="O68" s="230">
        <f t="shared" ca="1" si="12"/>
        <v>0</v>
      </c>
      <c r="P68" s="231" t="e">
        <f t="shared" ca="1" si="13"/>
        <v>#NAME?</v>
      </c>
      <c r="Q68" s="231" t="str">
        <f t="shared" ca="1" si="14"/>
        <v>-</v>
      </c>
      <c r="R68" s="232">
        <f t="shared" ca="1" si="15"/>
        <v>0</v>
      </c>
      <c r="S68" s="233" t="str">
        <f t="shared" ca="1" si="16"/>
        <v>-</v>
      </c>
      <c r="Z68" s="157"/>
      <c r="AA68" s="157"/>
      <c r="AE68" s="234"/>
    </row>
    <row r="69" spans="1:31">
      <c r="A69" s="138">
        <v>7149</v>
      </c>
      <c r="B69" s="214">
        <v>92.35</v>
      </c>
      <c r="C69" s="215">
        <v>385</v>
      </c>
      <c r="D69" s="216">
        <v>15.84</v>
      </c>
      <c r="J69" s="221">
        <f t="shared" si="9"/>
        <v>0</v>
      </c>
      <c r="K69" s="222">
        <v>0</v>
      </c>
      <c r="L69" s="228">
        <f t="shared" ca="1" si="10"/>
        <v>0</v>
      </c>
      <c r="M69" s="229">
        <f t="shared" ca="1" si="11"/>
        <v>0</v>
      </c>
      <c r="N69" s="165">
        <v>0</v>
      </c>
      <c r="O69" s="230">
        <f t="shared" ca="1" si="12"/>
        <v>0</v>
      </c>
      <c r="P69" s="231" t="e">
        <f t="shared" ca="1" si="13"/>
        <v>#NAME?</v>
      </c>
      <c r="Q69" s="231" t="str">
        <f t="shared" ca="1" si="14"/>
        <v>-</v>
      </c>
      <c r="R69" s="232">
        <f t="shared" ca="1" si="15"/>
        <v>0</v>
      </c>
      <c r="S69" s="233" t="str">
        <f t="shared" ca="1" si="16"/>
        <v>-</v>
      </c>
      <c r="Z69" s="157"/>
      <c r="AA69" s="157"/>
      <c r="AE69" s="234"/>
    </row>
    <row r="70" spans="1:31">
      <c r="A70" s="138">
        <v>7150</v>
      </c>
      <c r="B70" s="214">
        <v>113.7</v>
      </c>
      <c r="C70" s="215">
        <v>386</v>
      </c>
      <c r="D70" s="216">
        <v>10.56</v>
      </c>
      <c r="J70" s="221">
        <f t="shared" si="9"/>
        <v>0</v>
      </c>
      <c r="K70" s="222">
        <v>0</v>
      </c>
      <c r="L70" s="228">
        <f t="shared" ca="1" si="10"/>
        <v>0</v>
      </c>
      <c r="M70" s="229">
        <f t="shared" ca="1" si="11"/>
        <v>0</v>
      </c>
      <c r="N70" s="165">
        <v>0</v>
      </c>
      <c r="O70" s="230">
        <f t="shared" ca="1" si="12"/>
        <v>0</v>
      </c>
      <c r="P70" s="231" t="e">
        <f t="shared" ca="1" si="13"/>
        <v>#NAME?</v>
      </c>
      <c r="Q70" s="231" t="str">
        <f t="shared" ca="1" si="14"/>
        <v>-</v>
      </c>
      <c r="R70" s="232">
        <f t="shared" ca="1" si="15"/>
        <v>0</v>
      </c>
      <c r="S70" s="233" t="str">
        <f t="shared" ca="1" si="16"/>
        <v>-</v>
      </c>
      <c r="Z70" s="157"/>
      <c r="AA70" s="157"/>
      <c r="AE70" s="234"/>
    </row>
    <row r="71" spans="1:31">
      <c r="A71" s="138">
        <v>7153</v>
      </c>
      <c r="B71" s="214">
        <v>70.010000000000005</v>
      </c>
      <c r="C71" s="215">
        <v>389</v>
      </c>
      <c r="D71" s="216">
        <v>10.56</v>
      </c>
      <c r="J71" s="221">
        <f t="shared" si="9"/>
        <v>0</v>
      </c>
      <c r="K71" s="222">
        <v>0</v>
      </c>
      <c r="L71" s="228">
        <f t="shared" ca="1" si="10"/>
        <v>0</v>
      </c>
      <c r="M71" s="229">
        <f t="shared" ca="1" si="11"/>
        <v>0</v>
      </c>
      <c r="N71" s="165">
        <v>0</v>
      </c>
      <c r="O71" s="230">
        <f t="shared" ca="1" si="12"/>
        <v>0</v>
      </c>
      <c r="P71" s="231" t="e">
        <f t="shared" ca="1" si="13"/>
        <v>#NAME?</v>
      </c>
      <c r="Q71" s="231" t="str">
        <f t="shared" ca="1" si="14"/>
        <v>-</v>
      </c>
      <c r="R71" s="232">
        <f t="shared" ca="1" si="15"/>
        <v>0</v>
      </c>
      <c r="S71" s="233" t="str">
        <f t="shared" ca="1" si="16"/>
        <v>-</v>
      </c>
      <c r="Z71" s="157"/>
      <c r="AA71" s="157"/>
      <c r="AE71" s="234"/>
    </row>
    <row r="72" spans="1:31">
      <c r="A72" s="138">
        <v>7155</v>
      </c>
      <c r="B72" s="214">
        <v>88.44</v>
      </c>
      <c r="C72" s="215">
        <v>390</v>
      </c>
      <c r="D72" s="216">
        <v>10.56</v>
      </c>
      <c r="J72" s="221">
        <f t="shared" si="9"/>
        <v>0</v>
      </c>
      <c r="K72" s="222">
        <v>0</v>
      </c>
      <c r="L72" s="228">
        <f t="shared" ca="1" si="10"/>
        <v>0</v>
      </c>
      <c r="M72" s="229">
        <f t="shared" ca="1" si="11"/>
        <v>0</v>
      </c>
      <c r="N72" s="165">
        <v>0</v>
      </c>
      <c r="O72" s="230">
        <f t="shared" ca="1" si="12"/>
        <v>0</v>
      </c>
      <c r="P72" s="231" t="e">
        <f t="shared" ca="1" si="13"/>
        <v>#NAME?</v>
      </c>
      <c r="Q72" s="231" t="str">
        <f t="shared" ca="1" si="14"/>
        <v>-</v>
      </c>
      <c r="R72" s="232">
        <f t="shared" ca="1" si="15"/>
        <v>0</v>
      </c>
      <c r="S72" s="233" t="str">
        <f t="shared" ca="1" si="16"/>
        <v>-</v>
      </c>
      <c r="Z72" s="157"/>
      <c r="AA72" s="157"/>
      <c r="AE72" s="234"/>
    </row>
    <row r="73" spans="1:31">
      <c r="A73" s="138">
        <v>7168</v>
      </c>
      <c r="B73" s="214">
        <v>67.900000000000006</v>
      </c>
      <c r="C73" s="215">
        <v>392</v>
      </c>
      <c r="D73" s="216">
        <v>10.119999999999999</v>
      </c>
      <c r="J73" s="221">
        <f t="shared" si="9"/>
        <v>0</v>
      </c>
      <c r="K73" s="222">
        <v>0</v>
      </c>
      <c r="L73" s="228">
        <f t="shared" ca="1" si="10"/>
        <v>0</v>
      </c>
      <c r="M73" s="229">
        <f t="shared" ca="1" si="11"/>
        <v>0</v>
      </c>
      <c r="N73" s="165">
        <v>0</v>
      </c>
      <c r="O73" s="230">
        <f t="shared" ca="1" si="12"/>
        <v>0</v>
      </c>
      <c r="P73" s="231" t="e">
        <f t="shared" ca="1" si="13"/>
        <v>#NAME?</v>
      </c>
      <c r="Q73" s="231" t="str">
        <f t="shared" ca="1" si="14"/>
        <v>-</v>
      </c>
      <c r="R73" s="232">
        <f t="shared" ca="1" si="15"/>
        <v>0</v>
      </c>
      <c r="S73" s="233" t="str">
        <f t="shared" ca="1" si="16"/>
        <v>-</v>
      </c>
      <c r="Z73" s="157"/>
      <c r="AA73" s="157"/>
      <c r="AE73" s="234"/>
    </row>
    <row r="74" spans="1:31">
      <c r="A74" s="138">
        <v>7169</v>
      </c>
      <c r="B74" s="214">
        <v>45.72</v>
      </c>
      <c r="C74" s="215">
        <v>393</v>
      </c>
      <c r="D74" s="216">
        <v>9.24</v>
      </c>
      <c r="J74" s="221">
        <f t="shared" si="9"/>
        <v>0</v>
      </c>
      <c r="K74" s="222">
        <v>0</v>
      </c>
      <c r="L74" s="228">
        <f t="shared" ca="1" si="10"/>
        <v>0</v>
      </c>
      <c r="M74" s="229">
        <f t="shared" ca="1" si="11"/>
        <v>0</v>
      </c>
      <c r="N74" s="165">
        <v>0</v>
      </c>
      <c r="O74" s="230">
        <f t="shared" ca="1" si="12"/>
        <v>0</v>
      </c>
      <c r="P74" s="231" t="e">
        <f t="shared" ca="1" si="13"/>
        <v>#NAME?</v>
      </c>
      <c r="Q74" s="231" t="str">
        <f t="shared" ca="1" si="14"/>
        <v>-</v>
      </c>
      <c r="R74" s="232">
        <f t="shared" ca="1" si="15"/>
        <v>0</v>
      </c>
      <c r="S74" s="233" t="str">
        <f t="shared" ca="1" si="16"/>
        <v>-</v>
      </c>
      <c r="Z74" s="157"/>
      <c r="AA74" s="157"/>
      <c r="AE74" s="234"/>
    </row>
    <row r="75" spans="1:31">
      <c r="A75" s="138">
        <v>7178</v>
      </c>
      <c r="B75" s="214">
        <v>133.08000000000001</v>
      </c>
      <c r="C75" s="215">
        <v>394</v>
      </c>
      <c r="D75" s="216">
        <v>7.26</v>
      </c>
      <c r="J75" s="221">
        <f t="shared" si="9"/>
        <v>0</v>
      </c>
      <c r="K75" s="222">
        <v>0</v>
      </c>
      <c r="L75" s="228">
        <f t="shared" ca="1" si="10"/>
        <v>0</v>
      </c>
      <c r="M75" s="229">
        <f t="shared" ca="1" si="11"/>
        <v>0</v>
      </c>
      <c r="N75" s="165">
        <v>0</v>
      </c>
      <c r="O75" s="230">
        <f t="shared" ca="1" si="12"/>
        <v>0</v>
      </c>
      <c r="P75" s="231" t="e">
        <f t="shared" ca="1" si="13"/>
        <v>#NAME?</v>
      </c>
      <c r="Q75" s="231" t="str">
        <f t="shared" ca="1" si="14"/>
        <v>-</v>
      </c>
      <c r="R75" s="232">
        <f t="shared" ca="1" si="15"/>
        <v>0</v>
      </c>
      <c r="S75" s="233" t="str">
        <f t="shared" ca="1" si="16"/>
        <v>-</v>
      </c>
      <c r="Z75" s="157"/>
      <c r="AA75" s="157"/>
      <c r="AE75" s="234"/>
    </row>
    <row r="76" spans="1:31">
      <c r="A76" s="138">
        <v>7179</v>
      </c>
      <c r="B76" s="214">
        <v>113.7</v>
      </c>
      <c r="C76" s="215">
        <v>395</v>
      </c>
      <c r="D76" s="216">
        <v>9.02</v>
      </c>
      <c r="J76" s="221">
        <f t="shared" si="9"/>
        <v>0</v>
      </c>
      <c r="K76" s="222">
        <v>0</v>
      </c>
      <c r="L76" s="228">
        <f t="shared" ca="1" si="10"/>
        <v>0</v>
      </c>
      <c r="M76" s="229">
        <f t="shared" ca="1" si="11"/>
        <v>0</v>
      </c>
      <c r="N76" s="165">
        <v>0</v>
      </c>
      <c r="O76" s="230">
        <f t="shared" ca="1" si="12"/>
        <v>0</v>
      </c>
      <c r="P76" s="231" t="e">
        <f t="shared" ca="1" si="13"/>
        <v>#NAME?</v>
      </c>
      <c r="Q76" s="231" t="str">
        <f t="shared" ca="1" si="14"/>
        <v>-</v>
      </c>
      <c r="R76" s="232">
        <f t="shared" ca="1" si="15"/>
        <v>0</v>
      </c>
      <c r="S76" s="233" t="str">
        <f t="shared" ca="1" si="16"/>
        <v>-</v>
      </c>
      <c r="Z76" s="157"/>
      <c r="AA76" s="157"/>
      <c r="AE76" s="234"/>
    </row>
    <row r="77" spans="1:31">
      <c r="A77" s="138">
        <v>7188</v>
      </c>
      <c r="B77" s="214">
        <v>52.6</v>
      </c>
      <c r="C77" s="215">
        <v>396</v>
      </c>
      <c r="D77" s="216">
        <v>12</v>
      </c>
      <c r="J77" s="221">
        <f t="shared" si="9"/>
        <v>0</v>
      </c>
      <c r="K77" s="222">
        <v>0</v>
      </c>
      <c r="L77" s="228">
        <f t="shared" ca="1" si="10"/>
        <v>0</v>
      </c>
      <c r="M77" s="229">
        <f t="shared" ca="1" si="11"/>
        <v>0</v>
      </c>
      <c r="N77" s="165">
        <v>0</v>
      </c>
      <c r="O77" s="230">
        <f t="shared" ca="1" si="12"/>
        <v>0</v>
      </c>
      <c r="P77" s="231" t="e">
        <f t="shared" ca="1" si="13"/>
        <v>#NAME?</v>
      </c>
      <c r="Q77" s="231" t="str">
        <f t="shared" ca="1" si="14"/>
        <v>-</v>
      </c>
      <c r="R77" s="232">
        <f t="shared" ca="1" si="15"/>
        <v>0</v>
      </c>
      <c r="S77" s="233" t="str">
        <f t="shared" ca="1" si="16"/>
        <v>-</v>
      </c>
      <c r="Z77" s="157"/>
      <c r="AA77" s="157"/>
      <c r="AE77" s="234"/>
    </row>
    <row r="78" spans="1:31">
      <c r="A78" s="138">
        <v>7191</v>
      </c>
      <c r="B78" s="214">
        <v>82.96</v>
      </c>
      <c r="C78" s="215">
        <v>397</v>
      </c>
      <c r="D78" s="216">
        <v>14</v>
      </c>
      <c r="J78" s="221">
        <f t="shared" si="9"/>
        <v>0</v>
      </c>
      <c r="K78" s="222">
        <v>0</v>
      </c>
      <c r="L78" s="228">
        <f t="shared" ca="1" si="10"/>
        <v>0</v>
      </c>
      <c r="M78" s="229">
        <f t="shared" ca="1" si="11"/>
        <v>0</v>
      </c>
      <c r="N78" s="165">
        <v>0</v>
      </c>
      <c r="O78" s="230">
        <f t="shared" ca="1" si="12"/>
        <v>0</v>
      </c>
      <c r="P78" s="231" t="e">
        <f t="shared" ca="1" si="13"/>
        <v>#NAME?</v>
      </c>
      <c r="Q78" s="231" t="str">
        <f t="shared" ca="1" si="14"/>
        <v>-</v>
      </c>
      <c r="R78" s="232">
        <f t="shared" ca="1" si="15"/>
        <v>0</v>
      </c>
      <c r="S78" s="233" t="str">
        <f t="shared" ca="1" si="16"/>
        <v>-</v>
      </c>
      <c r="Z78" s="157"/>
      <c r="AA78" s="157"/>
      <c r="AE78" s="234"/>
    </row>
    <row r="79" spans="1:31">
      <c r="A79" s="138">
        <v>7229</v>
      </c>
      <c r="B79" s="214">
        <v>95.34</v>
      </c>
      <c r="C79" s="215">
        <v>398</v>
      </c>
      <c r="D79" s="216">
        <v>15</v>
      </c>
      <c r="J79" s="221">
        <f t="shared" si="9"/>
        <v>0</v>
      </c>
      <c r="K79" s="222">
        <v>0</v>
      </c>
      <c r="L79" s="228">
        <f t="shared" ca="1" si="10"/>
        <v>0</v>
      </c>
      <c r="M79" s="229">
        <f t="shared" ca="1" si="11"/>
        <v>0</v>
      </c>
      <c r="N79" s="165">
        <v>0</v>
      </c>
      <c r="O79" s="230">
        <f t="shared" ca="1" si="12"/>
        <v>0</v>
      </c>
      <c r="P79" s="231" t="e">
        <f t="shared" ca="1" si="13"/>
        <v>#NAME?</v>
      </c>
      <c r="Q79" s="231" t="str">
        <f t="shared" ca="1" si="14"/>
        <v>-</v>
      </c>
      <c r="R79" s="232">
        <f t="shared" ca="1" si="15"/>
        <v>0</v>
      </c>
      <c r="S79" s="233" t="str">
        <f t="shared" ca="1" si="16"/>
        <v>-</v>
      </c>
      <c r="Z79" s="157"/>
      <c r="AA79" s="157"/>
      <c r="AE79" s="234"/>
    </row>
    <row r="80" spans="1:31">
      <c r="A80" s="138">
        <v>7230</v>
      </c>
      <c r="B80" s="214">
        <v>79.099999999999994</v>
      </c>
      <c r="C80" s="215">
        <v>401</v>
      </c>
      <c r="D80" s="216">
        <v>12.5</v>
      </c>
      <c r="J80" s="221">
        <f t="shared" si="9"/>
        <v>0</v>
      </c>
      <c r="K80" s="222">
        <v>0</v>
      </c>
      <c r="L80" s="228">
        <f t="shared" ca="1" si="10"/>
        <v>0</v>
      </c>
      <c r="M80" s="229">
        <f t="shared" ca="1" si="11"/>
        <v>0</v>
      </c>
      <c r="N80" s="165">
        <v>0</v>
      </c>
      <c r="O80" s="230">
        <f t="shared" ca="1" si="12"/>
        <v>0</v>
      </c>
      <c r="P80" s="231" t="e">
        <f t="shared" ca="1" si="13"/>
        <v>#NAME?</v>
      </c>
      <c r="Q80" s="231" t="str">
        <f t="shared" ca="1" si="14"/>
        <v>-</v>
      </c>
      <c r="R80" s="232">
        <f t="shared" ca="1" si="15"/>
        <v>0</v>
      </c>
      <c r="S80" s="233" t="str">
        <f t="shared" ca="1" si="16"/>
        <v>-</v>
      </c>
      <c r="Z80" s="157"/>
      <c r="AA80" s="157"/>
      <c r="AE80" s="234"/>
    </row>
    <row r="81" spans="1:31">
      <c r="A81" s="138">
        <v>7231</v>
      </c>
      <c r="B81" s="214">
        <v>72.03</v>
      </c>
      <c r="C81" s="215">
        <v>411</v>
      </c>
      <c r="D81" s="216">
        <v>12</v>
      </c>
      <c r="J81" s="221">
        <f t="shared" si="9"/>
        <v>0</v>
      </c>
      <c r="K81" s="222">
        <v>0</v>
      </c>
      <c r="L81" s="228">
        <f t="shared" ca="1" si="10"/>
        <v>0</v>
      </c>
      <c r="M81" s="229">
        <f t="shared" ca="1" si="11"/>
        <v>0</v>
      </c>
      <c r="N81" s="165">
        <v>0</v>
      </c>
      <c r="O81" s="230">
        <f t="shared" ca="1" si="12"/>
        <v>0</v>
      </c>
      <c r="P81" s="231" t="e">
        <f t="shared" ca="1" si="13"/>
        <v>#NAME?</v>
      </c>
      <c r="Q81" s="231" t="str">
        <f t="shared" ca="1" si="14"/>
        <v>-</v>
      </c>
      <c r="R81" s="232">
        <f t="shared" ca="1" si="15"/>
        <v>0</v>
      </c>
      <c r="S81" s="233" t="str">
        <f t="shared" ca="1" si="16"/>
        <v>-</v>
      </c>
      <c r="Z81" s="157"/>
      <c r="AA81" s="157"/>
      <c r="AE81" s="234"/>
    </row>
    <row r="82" spans="1:31">
      <c r="A82" s="138">
        <v>7232</v>
      </c>
      <c r="B82" s="214">
        <v>31.1</v>
      </c>
      <c r="C82" s="215">
        <v>412</v>
      </c>
      <c r="D82" s="216">
        <v>5.0999999999999996</v>
      </c>
      <c r="J82" s="221">
        <f t="shared" si="9"/>
        <v>0</v>
      </c>
      <c r="K82" s="222">
        <v>0</v>
      </c>
      <c r="L82" s="228">
        <f t="shared" ca="1" si="10"/>
        <v>0</v>
      </c>
      <c r="M82" s="229">
        <f t="shared" ca="1" si="11"/>
        <v>0</v>
      </c>
      <c r="N82" s="165">
        <v>0</v>
      </c>
      <c r="O82" s="230">
        <f t="shared" ca="1" si="12"/>
        <v>0</v>
      </c>
      <c r="P82" s="231" t="e">
        <f t="shared" ca="1" si="13"/>
        <v>#NAME?</v>
      </c>
      <c r="Q82" s="231" t="str">
        <f t="shared" ca="1" si="14"/>
        <v>-</v>
      </c>
      <c r="R82" s="232">
        <f t="shared" ca="1" si="15"/>
        <v>0</v>
      </c>
      <c r="S82" s="233" t="str">
        <f t="shared" ca="1" si="16"/>
        <v>-</v>
      </c>
      <c r="Z82" s="157"/>
      <c r="AA82" s="157"/>
      <c r="AE82" s="234"/>
    </row>
    <row r="83" spans="1:31">
      <c r="A83" s="138">
        <v>7234</v>
      </c>
      <c r="B83" s="214">
        <v>37.58</v>
      </c>
      <c r="C83" s="215">
        <v>414</v>
      </c>
      <c r="D83" s="216">
        <v>7.2</v>
      </c>
      <c r="J83" s="221">
        <f t="shared" si="9"/>
        <v>0</v>
      </c>
      <c r="K83" s="222">
        <v>0</v>
      </c>
      <c r="L83" s="228">
        <f t="shared" ca="1" si="10"/>
        <v>0</v>
      </c>
      <c r="M83" s="229">
        <f t="shared" ca="1" si="11"/>
        <v>0</v>
      </c>
      <c r="N83" s="165">
        <v>0</v>
      </c>
      <c r="O83" s="230">
        <f t="shared" ca="1" si="12"/>
        <v>0</v>
      </c>
      <c r="P83" s="231" t="e">
        <f t="shared" ca="1" si="13"/>
        <v>#NAME?</v>
      </c>
      <c r="Q83" s="231" t="str">
        <f t="shared" ca="1" si="14"/>
        <v>-</v>
      </c>
      <c r="R83" s="232">
        <f t="shared" ca="1" si="15"/>
        <v>0</v>
      </c>
      <c r="S83" s="233" t="str">
        <f t="shared" ca="1" si="16"/>
        <v>-</v>
      </c>
      <c r="Z83" s="157"/>
      <c r="AA83" s="157"/>
      <c r="AE83" s="234"/>
    </row>
    <row r="84" spans="1:31">
      <c r="A84" s="138">
        <v>7235</v>
      </c>
      <c r="B84" s="214">
        <v>29.8</v>
      </c>
      <c r="C84" s="215">
        <v>415</v>
      </c>
      <c r="D84" s="216">
        <v>12</v>
      </c>
      <c r="J84" s="221">
        <f t="shared" si="9"/>
        <v>0</v>
      </c>
      <c r="K84" s="222">
        <v>0</v>
      </c>
      <c r="L84" s="228">
        <f t="shared" ca="1" si="10"/>
        <v>0</v>
      </c>
      <c r="M84" s="229">
        <f t="shared" ca="1" si="11"/>
        <v>0</v>
      </c>
      <c r="N84" s="165">
        <v>0</v>
      </c>
      <c r="O84" s="230">
        <f t="shared" ca="1" si="12"/>
        <v>0</v>
      </c>
      <c r="P84" s="231" t="e">
        <f t="shared" ca="1" si="13"/>
        <v>#NAME?</v>
      </c>
      <c r="Q84" s="231" t="str">
        <f t="shared" ca="1" si="14"/>
        <v>-</v>
      </c>
      <c r="R84" s="232">
        <f t="shared" ca="1" si="15"/>
        <v>0</v>
      </c>
      <c r="S84" s="233" t="str">
        <f t="shared" ca="1" si="16"/>
        <v>-</v>
      </c>
      <c r="Z84" s="157"/>
      <c r="AA84" s="157"/>
      <c r="AE84" s="234"/>
    </row>
    <row r="85" spans="1:31">
      <c r="A85" s="138">
        <v>7236</v>
      </c>
      <c r="B85" s="214">
        <v>62.64</v>
      </c>
      <c r="C85" s="215">
        <v>417</v>
      </c>
      <c r="D85" s="216">
        <v>12</v>
      </c>
      <c r="J85" s="221">
        <f t="shared" si="9"/>
        <v>0</v>
      </c>
      <c r="K85" s="222">
        <v>0</v>
      </c>
      <c r="L85" s="228">
        <f t="shared" ca="1" si="10"/>
        <v>0</v>
      </c>
      <c r="M85" s="229">
        <f t="shared" ca="1" si="11"/>
        <v>0</v>
      </c>
      <c r="N85" s="165">
        <v>0</v>
      </c>
      <c r="O85" s="230">
        <f t="shared" ca="1" si="12"/>
        <v>0</v>
      </c>
      <c r="P85" s="231" t="e">
        <f t="shared" ca="1" si="13"/>
        <v>#NAME?</v>
      </c>
      <c r="Q85" s="231" t="str">
        <f t="shared" ca="1" si="14"/>
        <v>-</v>
      </c>
      <c r="R85" s="232">
        <f t="shared" ca="1" si="15"/>
        <v>0</v>
      </c>
      <c r="S85" s="233" t="str">
        <f t="shared" ca="1" si="16"/>
        <v>-</v>
      </c>
      <c r="Z85" s="157"/>
      <c r="AA85" s="157"/>
      <c r="AE85" s="234"/>
    </row>
    <row r="86" spans="1:31">
      <c r="A86" s="138">
        <v>7239</v>
      </c>
      <c r="B86" s="214">
        <v>132.63</v>
      </c>
      <c r="C86" s="215">
        <v>418</v>
      </c>
      <c r="D86" s="216">
        <v>12</v>
      </c>
      <c r="J86" s="221">
        <f t="shared" si="9"/>
        <v>0</v>
      </c>
      <c r="K86" s="222">
        <v>0</v>
      </c>
      <c r="L86" s="228">
        <f t="shared" ca="1" si="10"/>
        <v>0</v>
      </c>
      <c r="M86" s="229">
        <f t="shared" ca="1" si="11"/>
        <v>0</v>
      </c>
      <c r="N86" s="165">
        <v>0</v>
      </c>
      <c r="O86" s="230">
        <f t="shared" ca="1" si="12"/>
        <v>0</v>
      </c>
      <c r="P86" s="231" t="e">
        <f t="shared" ca="1" si="13"/>
        <v>#NAME?</v>
      </c>
      <c r="Q86" s="231" t="str">
        <f t="shared" ca="1" si="14"/>
        <v>-</v>
      </c>
      <c r="R86" s="232">
        <f t="shared" ca="1" si="15"/>
        <v>0</v>
      </c>
      <c r="S86" s="233" t="str">
        <f t="shared" ca="1" si="16"/>
        <v>-</v>
      </c>
      <c r="Z86" s="157"/>
      <c r="AA86" s="157"/>
      <c r="AE86" s="234"/>
    </row>
    <row r="87" spans="1:31">
      <c r="A87" s="138">
        <v>7240</v>
      </c>
      <c r="B87" s="214">
        <v>114.34</v>
      </c>
      <c r="C87" s="215">
        <v>447</v>
      </c>
      <c r="D87" s="216">
        <v>15</v>
      </c>
      <c r="J87" s="221">
        <f t="shared" si="9"/>
        <v>0</v>
      </c>
      <c r="K87" s="222">
        <v>0</v>
      </c>
      <c r="L87" s="228">
        <f t="shared" ca="1" si="10"/>
        <v>0</v>
      </c>
      <c r="M87" s="229">
        <f t="shared" ca="1" si="11"/>
        <v>0</v>
      </c>
      <c r="N87" s="165">
        <v>0</v>
      </c>
      <c r="O87" s="230">
        <f t="shared" ca="1" si="12"/>
        <v>0</v>
      </c>
      <c r="P87" s="231" t="e">
        <f t="shared" ca="1" si="13"/>
        <v>#NAME?</v>
      </c>
      <c r="Q87" s="231" t="str">
        <f t="shared" ca="1" si="14"/>
        <v>-</v>
      </c>
      <c r="R87" s="232">
        <f t="shared" ca="1" si="15"/>
        <v>0</v>
      </c>
      <c r="S87" s="233" t="str">
        <f t="shared" ca="1" si="16"/>
        <v>-</v>
      </c>
      <c r="Z87" s="157"/>
      <c r="AA87" s="157"/>
      <c r="AE87" s="234"/>
    </row>
    <row r="88" spans="1:31">
      <c r="A88" s="138">
        <v>7241</v>
      </c>
      <c r="B88" s="214">
        <v>22.85</v>
      </c>
      <c r="C88" s="215">
        <v>455</v>
      </c>
      <c r="D88" s="216">
        <v>12</v>
      </c>
      <c r="J88" s="221">
        <f t="shared" si="9"/>
        <v>0</v>
      </c>
      <c r="K88" s="222">
        <v>0</v>
      </c>
      <c r="L88" s="228">
        <f t="shared" ca="1" si="10"/>
        <v>0</v>
      </c>
      <c r="M88" s="229">
        <f t="shared" ca="1" si="11"/>
        <v>0</v>
      </c>
      <c r="N88" s="165">
        <v>0</v>
      </c>
      <c r="O88" s="230">
        <f t="shared" ca="1" si="12"/>
        <v>0</v>
      </c>
      <c r="P88" s="231" t="e">
        <f t="shared" ca="1" si="13"/>
        <v>#NAME?</v>
      </c>
      <c r="Q88" s="231" t="str">
        <f t="shared" ca="1" si="14"/>
        <v>-</v>
      </c>
      <c r="R88" s="232">
        <f t="shared" ca="1" si="15"/>
        <v>0</v>
      </c>
      <c r="S88" s="233" t="str">
        <f t="shared" ca="1" si="16"/>
        <v>-</v>
      </c>
      <c r="Z88" s="157"/>
      <c r="AA88" s="157"/>
      <c r="AE88" s="234"/>
    </row>
    <row r="89" spans="1:31">
      <c r="A89" s="138">
        <v>7242</v>
      </c>
      <c r="B89" s="214">
        <v>25.17</v>
      </c>
      <c r="C89" s="215">
        <v>484</v>
      </c>
      <c r="D89" s="216">
        <v>13</v>
      </c>
      <c r="J89" s="221">
        <f t="shared" si="9"/>
        <v>0</v>
      </c>
      <c r="K89" s="222">
        <v>0</v>
      </c>
      <c r="L89" s="228">
        <f t="shared" ca="1" si="10"/>
        <v>0</v>
      </c>
      <c r="M89" s="229">
        <f t="shared" ca="1" si="11"/>
        <v>0</v>
      </c>
      <c r="N89" s="165">
        <v>0</v>
      </c>
      <c r="O89" s="230">
        <f t="shared" ca="1" si="12"/>
        <v>0</v>
      </c>
      <c r="P89" s="231" t="e">
        <f t="shared" ca="1" si="13"/>
        <v>#NAME?</v>
      </c>
      <c r="Q89" s="231" t="str">
        <f t="shared" ca="1" si="14"/>
        <v>-</v>
      </c>
      <c r="R89" s="232">
        <f t="shared" ca="1" si="15"/>
        <v>0</v>
      </c>
      <c r="S89" s="233" t="str">
        <f t="shared" ca="1" si="16"/>
        <v>-</v>
      </c>
      <c r="Z89" s="157"/>
      <c r="AA89" s="157"/>
      <c r="AE89" s="234"/>
    </row>
    <row r="90" spans="1:31">
      <c r="A90" s="138">
        <v>7250</v>
      </c>
      <c r="B90" s="214">
        <v>48.4</v>
      </c>
      <c r="C90" s="215">
        <v>545</v>
      </c>
      <c r="D90" s="216">
        <v>7</v>
      </c>
      <c r="J90" s="221">
        <f t="shared" si="9"/>
        <v>0</v>
      </c>
      <c r="K90" s="222">
        <v>0</v>
      </c>
      <c r="L90" s="228">
        <f t="shared" ca="1" si="10"/>
        <v>0</v>
      </c>
      <c r="M90" s="229">
        <f t="shared" ca="1" si="11"/>
        <v>0</v>
      </c>
      <c r="N90" s="165">
        <v>0</v>
      </c>
      <c r="O90" s="230">
        <f t="shared" ca="1" si="12"/>
        <v>0</v>
      </c>
      <c r="P90" s="231" t="e">
        <f t="shared" ca="1" si="13"/>
        <v>#NAME?</v>
      </c>
      <c r="Q90" s="231" t="str">
        <f t="shared" ca="1" si="14"/>
        <v>-</v>
      </c>
      <c r="R90" s="232">
        <f t="shared" ca="1" si="15"/>
        <v>0</v>
      </c>
      <c r="S90" s="233" t="str">
        <f t="shared" ca="1" si="16"/>
        <v>-</v>
      </c>
      <c r="Z90" s="157"/>
      <c r="AA90" s="157"/>
      <c r="AE90" s="234"/>
    </row>
    <row r="91" spans="1:31">
      <c r="A91" s="138">
        <v>7251</v>
      </c>
      <c r="B91" s="214">
        <v>55.32</v>
      </c>
      <c r="C91" s="215">
        <v>548</v>
      </c>
      <c r="D91" s="216">
        <v>10.8</v>
      </c>
      <c r="J91" s="221">
        <f t="shared" si="9"/>
        <v>0</v>
      </c>
      <c r="K91" s="222">
        <v>0</v>
      </c>
      <c r="L91" s="228">
        <f t="shared" ca="1" si="10"/>
        <v>0</v>
      </c>
      <c r="M91" s="229">
        <f t="shared" ca="1" si="11"/>
        <v>0</v>
      </c>
      <c r="N91" s="165">
        <v>0</v>
      </c>
      <c r="O91" s="230">
        <f t="shared" ca="1" si="12"/>
        <v>0</v>
      </c>
      <c r="P91" s="231" t="e">
        <f t="shared" ca="1" si="13"/>
        <v>#NAME?</v>
      </c>
      <c r="Q91" s="231" t="str">
        <f t="shared" ca="1" si="14"/>
        <v>-</v>
      </c>
      <c r="R91" s="232">
        <f t="shared" ca="1" si="15"/>
        <v>0</v>
      </c>
      <c r="S91" s="233" t="str">
        <f t="shared" ca="1" si="16"/>
        <v>-</v>
      </c>
      <c r="Z91" s="157"/>
      <c r="AA91" s="157"/>
      <c r="AE91" s="234"/>
    </row>
    <row r="92" spans="1:31">
      <c r="A92" s="138">
        <v>7260</v>
      </c>
      <c r="B92" s="214">
        <v>102.86</v>
      </c>
      <c r="C92" s="215">
        <v>549</v>
      </c>
      <c r="D92" s="216">
        <v>10.8</v>
      </c>
      <c r="J92" s="221">
        <f t="shared" si="9"/>
        <v>0</v>
      </c>
      <c r="K92" s="222">
        <v>0</v>
      </c>
      <c r="L92" s="228">
        <f t="shared" ca="1" si="10"/>
        <v>0</v>
      </c>
      <c r="M92" s="229">
        <f t="shared" ca="1" si="11"/>
        <v>0</v>
      </c>
      <c r="N92" s="165">
        <v>0</v>
      </c>
      <c r="O92" s="230">
        <f t="shared" ca="1" si="12"/>
        <v>0</v>
      </c>
      <c r="P92" s="231" t="e">
        <f t="shared" ca="1" si="13"/>
        <v>#NAME?</v>
      </c>
      <c r="Q92" s="231" t="str">
        <f t="shared" ca="1" si="14"/>
        <v>-</v>
      </c>
      <c r="R92" s="232">
        <f t="shared" ca="1" si="15"/>
        <v>0</v>
      </c>
      <c r="S92" s="233" t="str">
        <f t="shared" ca="1" si="16"/>
        <v>-</v>
      </c>
      <c r="Z92" s="157"/>
      <c r="AA92" s="157"/>
      <c r="AE92" s="234"/>
    </row>
    <row r="93" spans="1:31">
      <c r="A93" s="138">
        <v>7278</v>
      </c>
      <c r="B93" s="214">
        <v>20.8</v>
      </c>
      <c r="C93" s="215">
        <v>551</v>
      </c>
      <c r="D93" s="216">
        <v>9</v>
      </c>
      <c r="J93" s="221">
        <f t="shared" si="9"/>
        <v>0</v>
      </c>
      <c r="K93" s="222">
        <v>0</v>
      </c>
      <c r="L93" s="228">
        <f t="shared" ca="1" si="10"/>
        <v>0</v>
      </c>
      <c r="M93" s="229">
        <f t="shared" ca="1" si="11"/>
        <v>0</v>
      </c>
      <c r="N93" s="165">
        <v>0</v>
      </c>
      <c r="O93" s="230">
        <f t="shared" ca="1" si="12"/>
        <v>0</v>
      </c>
      <c r="P93" s="231" t="e">
        <f t="shared" ca="1" si="13"/>
        <v>#NAME?</v>
      </c>
      <c r="Q93" s="231" t="str">
        <f t="shared" ca="1" si="14"/>
        <v>-</v>
      </c>
      <c r="R93" s="232">
        <f t="shared" ca="1" si="15"/>
        <v>0</v>
      </c>
      <c r="S93" s="233" t="str">
        <f t="shared" ca="1" si="16"/>
        <v>-</v>
      </c>
      <c r="AE93" s="234"/>
    </row>
    <row r="94" spans="1:31">
      <c r="A94" s="138">
        <v>7287</v>
      </c>
      <c r="B94" s="214">
        <v>31.29</v>
      </c>
      <c r="C94" s="215">
        <v>552</v>
      </c>
      <c r="D94" s="216">
        <v>13</v>
      </c>
      <c r="J94" s="221">
        <f t="shared" si="9"/>
        <v>0</v>
      </c>
      <c r="K94" s="222">
        <v>0</v>
      </c>
      <c r="L94" s="228">
        <f t="shared" ca="1" si="10"/>
        <v>0</v>
      </c>
      <c r="M94" s="229">
        <f t="shared" ca="1" si="11"/>
        <v>0</v>
      </c>
      <c r="N94" s="165">
        <v>0</v>
      </c>
      <c r="O94" s="230">
        <f t="shared" ca="1" si="12"/>
        <v>0</v>
      </c>
      <c r="P94" s="231" t="e">
        <f t="shared" ca="1" si="13"/>
        <v>#NAME?</v>
      </c>
      <c r="Q94" s="231" t="str">
        <f t="shared" ca="1" si="14"/>
        <v>-</v>
      </c>
      <c r="R94" s="232">
        <f t="shared" ca="1" si="15"/>
        <v>0</v>
      </c>
      <c r="S94" s="233" t="str">
        <f t="shared" ca="1" si="16"/>
        <v>-</v>
      </c>
      <c r="Z94" s="157"/>
      <c r="AA94" s="157"/>
      <c r="AE94" s="234"/>
    </row>
    <row r="95" spans="1:31">
      <c r="A95" s="138">
        <v>7300</v>
      </c>
      <c r="B95" s="214">
        <v>18.96</v>
      </c>
      <c r="C95" s="215">
        <v>558</v>
      </c>
      <c r="D95" s="216">
        <v>9.24</v>
      </c>
      <c r="J95" s="221">
        <f t="shared" si="9"/>
        <v>0</v>
      </c>
      <c r="K95" s="222">
        <v>0</v>
      </c>
      <c r="L95" s="228">
        <f t="shared" ca="1" si="10"/>
        <v>0</v>
      </c>
      <c r="M95" s="229">
        <f t="shared" ca="1" si="11"/>
        <v>0</v>
      </c>
      <c r="N95" s="165">
        <v>0</v>
      </c>
      <c r="O95" s="230">
        <f t="shared" ca="1" si="12"/>
        <v>0</v>
      </c>
      <c r="P95" s="231" t="e">
        <f t="shared" ca="1" si="13"/>
        <v>#NAME?</v>
      </c>
      <c r="Q95" s="231" t="str">
        <f t="shared" ca="1" si="14"/>
        <v>-</v>
      </c>
      <c r="R95" s="232">
        <f t="shared" ca="1" si="15"/>
        <v>0</v>
      </c>
      <c r="S95" s="233" t="str">
        <f t="shared" ca="1" si="16"/>
        <v>-</v>
      </c>
      <c r="Z95" s="157"/>
      <c r="AA95" s="157"/>
      <c r="AE95" s="234"/>
    </row>
    <row r="96" spans="1:31">
      <c r="A96" s="138">
        <v>7303</v>
      </c>
      <c r="B96" s="214">
        <v>36.33</v>
      </c>
      <c r="C96" s="215">
        <v>559</v>
      </c>
      <c r="D96" s="216">
        <v>10.119999999999999</v>
      </c>
      <c r="J96" s="221">
        <f t="shared" si="9"/>
        <v>0</v>
      </c>
      <c r="K96" s="222">
        <v>0</v>
      </c>
      <c r="L96" s="228">
        <f t="shared" ca="1" si="10"/>
        <v>0</v>
      </c>
      <c r="M96" s="229">
        <f t="shared" ca="1" si="11"/>
        <v>0</v>
      </c>
      <c r="N96" s="165">
        <v>0</v>
      </c>
      <c r="O96" s="230">
        <f t="shared" ca="1" si="12"/>
        <v>0</v>
      </c>
      <c r="P96" s="231" t="e">
        <f t="shared" ca="1" si="13"/>
        <v>#NAME?</v>
      </c>
      <c r="Q96" s="231" t="str">
        <f t="shared" ca="1" si="14"/>
        <v>-</v>
      </c>
      <c r="R96" s="232">
        <f t="shared" ca="1" si="15"/>
        <v>0</v>
      </c>
      <c r="S96" s="233" t="str">
        <f t="shared" ca="1" si="16"/>
        <v>-</v>
      </c>
      <c r="Z96" s="157"/>
      <c r="AA96" s="157"/>
      <c r="AE96" s="234"/>
    </row>
    <row r="97" spans="1:31">
      <c r="A97" s="138">
        <v>7304</v>
      </c>
      <c r="B97" s="214">
        <v>40.25</v>
      </c>
      <c r="C97" s="215">
        <v>575</v>
      </c>
      <c r="D97" s="216">
        <v>12.5</v>
      </c>
      <c r="J97" s="221">
        <f t="shared" si="9"/>
        <v>0</v>
      </c>
      <c r="K97" s="222">
        <v>0</v>
      </c>
      <c r="L97" s="228">
        <f t="shared" ca="1" si="10"/>
        <v>0</v>
      </c>
      <c r="M97" s="229">
        <f t="shared" ca="1" si="11"/>
        <v>0</v>
      </c>
      <c r="N97" s="165">
        <v>0</v>
      </c>
      <c r="O97" s="230">
        <f t="shared" ca="1" si="12"/>
        <v>0</v>
      </c>
      <c r="P97" s="231" t="e">
        <f t="shared" ca="1" si="13"/>
        <v>#NAME?</v>
      </c>
      <c r="Q97" s="231" t="str">
        <f t="shared" ca="1" si="14"/>
        <v>-</v>
      </c>
      <c r="R97" s="232">
        <f t="shared" ca="1" si="15"/>
        <v>0</v>
      </c>
      <c r="S97" s="233" t="str">
        <f t="shared" ca="1" si="16"/>
        <v>-</v>
      </c>
      <c r="Z97" s="157"/>
      <c r="AA97" s="157"/>
      <c r="AE97" s="234"/>
    </row>
    <row r="98" spans="1:31">
      <c r="A98" s="138">
        <v>7340</v>
      </c>
      <c r="B98" s="214">
        <v>141.76</v>
      </c>
      <c r="C98" s="215">
        <v>593</v>
      </c>
      <c r="D98" s="216">
        <v>12.5</v>
      </c>
      <c r="J98" s="221">
        <f t="shared" si="9"/>
        <v>0</v>
      </c>
      <c r="K98" s="222">
        <v>0</v>
      </c>
      <c r="L98" s="228">
        <f t="shared" ca="1" si="10"/>
        <v>0</v>
      </c>
      <c r="M98" s="229">
        <f t="shared" ca="1" si="11"/>
        <v>0</v>
      </c>
      <c r="N98" s="165">
        <v>0</v>
      </c>
      <c r="O98" s="230">
        <f t="shared" ca="1" si="12"/>
        <v>0</v>
      </c>
      <c r="P98" s="231" t="e">
        <f t="shared" ca="1" si="13"/>
        <v>#NAME?</v>
      </c>
      <c r="Q98" s="231" t="str">
        <f t="shared" ca="1" si="14"/>
        <v>-</v>
      </c>
      <c r="R98" s="232">
        <f t="shared" ca="1" si="15"/>
        <v>0</v>
      </c>
      <c r="S98" s="233" t="str">
        <f t="shared" ca="1" si="16"/>
        <v>-</v>
      </c>
      <c r="Z98" s="157"/>
      <c r="AA98" s="157"/>
      <c r="AE98" s="234"/>
    </row>
    <row r="99" spans="1:31">
      <c r="A99" s="138">
        <v>7341</v>
      </c>
      <c r="B99" s="214">
        <v>141.76</v>
      </c>
      <c r="C99" s="215">
        <v>595</v>
      </c>
      <c r="D99" s="216">
        <v>10.5</v>
      </c>
      <c r="J99" s="221">
        <f t="shared" si="9"/>
        <v>0</v>
      </c>
      <c r="K99" s="222">
        <v>0</v>
      </c>
      <c r="L99" s="228">
        <f t="shared" ca="1" si="10"/>
        <v>0</v>
      </c>
      <c r="M99" s="229">
        <f t="shared" ca="1" si="11"/>
        <v>0</v>
      </c>
      <c r="N99" s="165">
        <v>0</v>
      </c>
      <c r="O99" s="230">
        <f t="shared" ca="1" si="12"/>
        <v>0</v>
      </c>
      <c r="P99" s="231" t="e">
        <f t="shared" ca="1" si="13"/>
        <v>#NAME?</v>
      </c>
      <c r="Q99" s="231" t="str">
        <f t="shared" ca="1" si="14"/>
        <v>-</v>
      </c>
      <c r="R99" s="232">
        <f t="shared" ca="1" si="15"/>
        <v>0</v>
      </c>
      <c r="S99" s="233" t="str">
        <f t="shared" ca="1" si="16"/>
        <v>-</v>
      </c>
      <c r="Z99" s="157"/>
      <c r="AA99" s="157"/>
      <c r="AE99" s="234"/>
    </row>
    <row r="100" spans="1:31">
      <c r="A100" s="138">
        <v>7342</v>
      </c>
      <c r="B100" s="214">
        <v>78.319999999999993</v>
      </c>
      <c r="C100" s="215">
        <v>719</v>
      </c>
      <c r="D100" s="216">
        <v>7.5</v>
      </c>
      <c r="J100" s="221">
        <f t="shared" si="9"/>
        <v>0</v>
      </c>
      <c r="K100" s="222">
        <v>0</v>
      </c>
      <c r="L100" s="228">
        <f t="shared" ca="1" si="10"/>
        <v>0</v>
      </c>
      <c r="M100" s="229">
        <f t="shared" ca="1" si="11"/>
        <v>0</v>
      </c>
      <c r="N100" s="165">
        <v>0</v>
      </c>
      <c r="O100" s="230">
        <f t="shared" ca="1" si="12"/>
        <v>0</v>
      </c>
      <c r="P100" s="231" t="e">
        <f t="shared" ca="1" si="13"/>
        <v>#NAME?</v>
      </c>
      <c r="Q100" s="231" t="str">
        <f t="shared" ca="1" si="14"/>
        <v>-</v>
      </c>
      <c r="R100" s="232">
        <f t="shared" ca="1" si="15"/>
        <v>0</v>
      </c>
      <c r="S100" s="233" t="str">
        <f t="shared" ca="1" si="16"/>
        <v>-</v>
      </c>
      <c r="Z100" s="157"/>
      <c r="AA100" s="157"/>
      <c r="AE100" s="234"/>
    </row>
    <row r="101" spans="1:31">
      <c r="A101" s="138">
        <v>7343</v>
      </c>
      <c r="B101" s="214">
        <v>102.9</v>
      </c>
      <c r="C101" s="215">
        <v>784</v>
      </c>
      <c r="D101" s="216">
        <v>7.2</v>
      </c>
      <c r="J101" s="221">
        <f t="shared" si="9"/>
        <v>0</v>
      </c>
      <c r="K101" s="222">
        <v>0</v>
      </c>
      <c r="L101" s="228">
        <f t="shared" ca="1" si="10"/>
        <v>0</v>
      </c>
      <c r="M101" s="229">
        <f t="shared" ca="1" si="11"/>
        <v>0</v>
      </c>
      <c r="N101" s="165">
        <v>0</v>
      </c>
      <c r="O101" s="230">
        <f t="shared" ca="1" si="12"/>
        <v>0</v>
      </c>
      <c r="P101" s="231" t="e">
        <f t="shared" ca="1" si="13"/>
        <v>#NAME?</v>
      </c>
      <c r="Q101" s="231" t="str">
        <f t="shared" ca="1" si="14"/>
        <v>-</v>
      </c>
      <c r="R101" s="232">
        <f t="shared" ca="1" si="15"/>
        <v>0</v>
      </c>
      <c r="S101" s="233" t="str">
        <f t="shared" ca="1" si="16"/>
        <v>-</v>
      </c>
      <c r="Z101" s="157"/>
      <c r="AA101" s="157"/>
      <c r="AE101" s="234"/>
    </row>
    <row r="102" spans="1:31">
      <c r="A102" s="138">
        <v>7378</v>
      </c>
      <c r="B102" s="214">
        <v>82.96</v>
      </c>
      <c r="C102" s="215">
        <v>906</v>
      </c>
      <c r="D102" s="216">
        <v>9.48</v>
      </c>
      <c r="H102" s="280"/>
      <c r="J102" s="221">
        <f t="shared" si="9"/>
        <v>0</v>
      </c>
      <c r="K102" s="222">
        <v>0</v>
      </c>
      <c r="L102" s="228">
        <f t="shared" ca="1" si="10"/>
        <v>0</v>
      </c>
      <c r="M102" s="229">
        <f t="shared" ca="1" si="11"/>
        <v>0</v>
      </c>
      <c r="N102" s="165">
        <v>0</v>
      </c>
      <c r="O102" s="230">
        <f t="shared" ca="1" si="12"/>
        <v>0</v>
      </c>
      <c r="P102" s="231" t="e">
        <f t="shared" ca="1" si="13"/>
        <v>#NAME?</v>
      </c>
      <c r="Q102" s="231" t="str">
        <f t="shared" ca="1" si="14"/>
        <v>-</v>
      </c>
      <c r="R102" s="232">
        <f t="shared" ca="1" si="15"/>
        <v>0</v>
      </c>
      <c r="S102" s="233" t="str">
        <f t="shared" ca="1" si="16"/>
        <v>-</v>
      </c>
      <c r="Z102" s="157"/>
      <c r="AA102" s="157"/>
      <c r="AE102" s="234"/>
    </row>
    <row r="103" spans="1:31">
      <c r="A103" s="138">
        <v>7396</v>
      </c>
      <c r="B103" s="281">
        <v>62.01</v>
      </c>
      <c r="C103" s="215">
        <v>910</v>
      </c>
      <c r="D103" s="216">
        <v>9</v>
      </c>
      <c r="J103" s="221">
        <f t="shared" si="9"/>
        <v>0</v>
      </c>
      <c r="K103" s="222">
        <v>0</v>
      </c>
      <c r="L103" s="228">
        <f t="shared" ca="1" si="10"/>
        <v>0</v>
      </c>
      <c r="M103" s="229">
        <f t="shared" ca="1" si="11"/>
        <v>0</v>
      </c>
      <c r="N103" s="165">
        <v>0</v>
      </c>
      <c r="O103" s="230">
        <f t="shared" ca="1" si="12"/>
        <v>0</v>
      </c>
      <c r="P103" s="231" t="e">
        <f t="shared" ca="1" si="13"/>
        <v>#NAME?</v>
      </c>
      <c r="Q103" s="231" t="str">
        <f t="shared" ca="1" si="14"/>
        <v>-</v>
      </c>
      <c r="R103" s="232">
        <f t="shared" ca="1" si="15"/>
        <v>0</v>
      </c>
      <c r="S103" s="233" t="str">
        <f t="shared" ca="1" si="16"/>
        <v>-</v>
      </c>
      <c r="AE103" s="234"/>
    </row>
    <row r="104" spans="1:31">
      <c r="A104" s="138">
        <v>7397</v>
      </c>
      <c r="B104" s="214">
        <v>29.61</v>
      </c>
      <c r="C104" s="215">
        <v>911</v>
      </c>
      <c r="D104" s="216">
        <v>9</v>
      </c>
      <c r="J104" s="221">
        <f t="shared" si="9"/>
        <v>0</v>
      </c>
      <c r="K104" s="222">
        <v>0</v>
      </c>
      <c r="L104" s="228">
        <f t="shared" ca="1" si="10"/>
        <v>0</v>
      </c>
      <c r="M104" s="229">
        <f t="shared" ca="1" si="11"/>
        <v>0</v>
      </c>
      <c r="N104" s="165">
        <v>0</v>
      </c>
      <c r="O104" s="230">
        <f t="shared" ca="1" si="12"/>
        <v>0</v>
      </c>
      <c r="P104" s="231" t="e">
        <f t="shared" ca="1" si="13"/>
        <v>#NAME?</v>
      </c>
      <c r="Q104" s="231" t="str">
        <f t="shared" ca="1" si="14"/>
        <v>-</v>
      </c>
      <c r="R104" s="232">
        <f t="shared" ca="1" si="15"/>
        <v>0</v>
      </c>
      <c r="S104" s="233" t="str">
        <f t="shared" ca="1" si="16"/>
        <v>-</v>
      </c>
      <c r="AE104" s="234"/>
    </row>
    <row r="105" spans="1:31">
      <c r="A105" s="138">
        <v>7416</v>
      </c>
      <c r="B105" s="214">
        <v>128.02000000000001</v>
      </c>
      <c r="C105" s="215">
        <v>912</v>
      </c>
      <c r="D105" s="216">
        <v>12</v>
      </c>
      <c r="H105" s="181"/>
      <c r="J105" s="221">
        <f t="shared" si="9"/>
        <v>0</v>
      </c>
      <c r="K105" s="222">
        <v>0</v>
      </c>
      <c r="L105" s="228">
        <f t="shared" ca="1" si="10"/>
        <v>0</v>
      </c>
      <c r="M105" s="229">
        <f t="shared" ca="1" si="11"/>
        <v>0</v>
      </c>
      <c r="N105" s="165">
        <v>0</v>
      </c>
      <c r="O105" s="230">
        <f t="shared" ca="1" si="12"/>
        <v>0</v>
      </c>
      <c r="P105" s="231" t="e">
        <f t="shared" ca="1" si="13"/>
        <v>#NAME?</v>
      </c>
      <c r="Q105" s="231" t="str">
        <f t="shared" ca="1" si="14"/>
        <v>-</v>
      </c>
      <c r="R105" s="232">
        <f t="shared" ca="1" si="15"/>
        <v>0</v>
      </c>
      <c r="S105" s="233" t="str">
        <f t="shared" ca="1" si="16"/>
        <v>-</v>
      </c>
      <c r="AE105" s="234"/>
    </row>
    <row r="106" spans="1:31">
      <c r="A106" s="138">
        <v>7522</v>
      </c>
      <c r="B106" s="214">
        <v>29.24</v>
      </c>
      <c r="C106" s="215">
        <v>913</v>
      </c>
      <c r="D106" s="216">
        <v>12</v>
      </c>
      <c r="J106" s="221">
        <f t="shared" si="9"/>
        <v>0</v>
      </c>
      <c r="K106" s="222">
        <v>0</v>
      </c>
      <c r="L106" s="228">
        <f t="shared" ca="1" si="10"/>
        <v>0</v>
      </c>
      <c r="M106" s="229">
        <f t="shared" ca="1" si="11"/>
        <v>0</v>
      </c>
      <c r="N106" s="165">
        <v>0</v>
      </c>
      <c r="O106" s="230">
        <f t="shared" ca="1" si="12"/>
        <v>0</v>
      </c>
      <c r="P106" s="231" t="e">
        <f t="shared" ca="1" si="13"/>
        <v>#NAME?</v>
      </c>
      <c r="Q106" s="231" t="str">
        <f t="shared" ca="1" si="14"/>
        <v>-</v>
      </c>
      <c r="R106" s="232">
        <f t="shared" ca="1" si="15"/>
        <v>0</v>
      </c>
      <c r="S106" s="233" t="str">
        <f t="shared" ca="1" si="16"/>
        <v>-</v>
      </c>
      <c r="Z106" s="157"/>
      <c r="AA106" s="157"/>
    </row>
    <row r="107" spans="1:31">
      <c r="A107" s="138">
        <v>7553</v>
      </c>
      <c r="B107" s="214">
        <v>87.63</v>
      </c>
      <c r="C107" s="215">
        <v>914</v>
      </c>
      <c r="D107" s="216">
        <v>11.9</v>
      </c>
      <c r="J107" s="221">
        <f t="shared" si="9"/>
        <v>0</v>
      </c>
      <c r="K107" s="222">
        <v>0</v>
      </c>
      <c r="L107" s="228">
        <f t="shared" ca="1" si="10"/>
        <v>0</v>
      </c>
      <c r="M107" s="229">
        <f t="shared" ca="1" si="11"/>
        <v>0</v>
      </c>
      <c r="N107" s="165">
        <v>0</v>
      </c>
      <c r="O107" s="230">
        <f t="shared" ca="1" si="12"/>
        <v>0</v>
      </c>
      <c r="P107" s="231" t="e">
        <f t="shared" ca="1" si="13"/>
        <v>#NAME?</v>
      </c>
      <c r="Q107" s="231" t="str">
        <f t="shared" ca="1" si="14"/>
        <v>-</v>
      </c>
      <c r="R107" s="232">
        <f t="shared" ca="1" si="15"/>
        <v>0</v>
      </c>
      <c r="S107" s="233" t="str">
        <f t="shared" ca="1" si="16"/>
        <v>-</v>
      </c>
    </row>
    <row r="108" spans="1:31">
      <c r="A108" s="138">
        <v>7554</v>
      </c>
      <c r="B108" s="214">
        <v>83.82</v>
      </c>
      <c r="C108" s="215">
        <v>915</v>
      </c>
      <c r="D108" s="216">
        <v>10.56</v>
      </c>
      <c r="J108" s="221">
        <f t="shared" si="9"/>
        <v>0</v>
      </c>
      <c r="K108" s="222">
        <v>0</v>
      </c>
      <c r="L108" s="228">
        <f t="shared" ca="1" si="10"/>
        <v>0</v>
      </c>
      <c r="M108" s="229">
        <f t="shared" ca="1" si="11"/>
        <v>0</v>
      </c>
      <c r="N108" s="165">
        <v>0</v>
      </c>
      <c r="O108" s="230">
        <f t="shared" ca="1" si="12"/>
        <v>0</v>
      </c>
      <c r="P108" s="231" t="e">
        <f t="shared" ca="1" si="13"/>
        <v>#NAME?</v>
      </c>
      <c r="Q108" s="231" t="str">
        <f t="shared" ca="1" si="14"/>
        <v>-</v>
      </c>
      <c r="R108" s="232">
        <f t="shared" ca="1" si="15"/>
        <v>0</v>
      </c>
      <c r="S108" s="233" t="str">
        <f t="shared" ca="1" si="16"/>
        <v>-</v>
      </c>
    </row>
    <row r="109" spans="1:31">
      <c r="A109" s="138">
        <v>7557</v>
      </c>
      <c r="B109" s="214">
        <v>90.87</v>
      </c>
      <c r="C109" s="215">
        <v>917</v>
      </c>
      <c r="D109" s="216">
        <v>9</v>
      </c>
      <c r="J109" s="221">
        <f t="shared" si="9"/>
        <v>0</v>
      </c>
      <c r="K109" s="222">
        <v>0</v>
      </c>
      <c r="L109" s="228">
        <f t="shared" ca="1" si="10"/>
        <v>0</v>
      </c>
      <c r="M109" s="229">
        <f t="shared" ca="1" si="11"/>
        <v>0</v>
      </c>
      <c r="N109" s="165">
        <v>0</v>
      </c>
      <c r="O109" s="230">
        <f t="shared" ca="1" si="12"/>
        <v>0</v>
      </c>
      <c r="P109" s="231" t="e">
        <f t="shared" ca="1" si="13"/>
        <v>#NAME?</v>
      </c>
      <c r="Q109" s="231" t="str">
        <f t="shared" ca="1" si="14"/>
        <v>-</v>
      </c>
      <c r="R109" s="232">
        <f t="shared" ca="1" si="15"/>
        <v>0</v>
      </c>
      <c r="S109" s="233" t="str">
        <f t="shared" ca="1" si="16"/>
        <v>-</v>
      </c>
    </row>
    <row r="110" spans="1:31">
      <c r="A110" s="138">
        <v>7816</v>
      </c>
      <c r="B110" s="214">
        <v>27.66</v>
      </c>
      <c r="C110" s="215">
        <v>918</v>
      </c>
      <c r="D110" s="216">
        <v>12</v>
      </c>
      <c r="J110" s="221">
        <f t="shared" si="9"/>
        <v>0</v>
      </c>
      <c r="K110" s="222">
        <v>0</v>
      </c>
      <c r="L110" s="228">
        <f t="shared" ca="1" si="10"/>
        <v>0</v>
      </c>
      <c r="M110" s="229">
        <f t="shared" ca="1" si="11"/>
        <v>0</v>
      </c>
      <c r="N110" s="165">
        <v>0</v>
      </c>
      <c r="O110" s="230">
        <f t="shared" ca="1" si="12"/>
        <v>0</v>
      </c>
      <c r="P110" s="231" t="e">
        <f t="shared" ca="1" si="13"/>
        <v>#NAME?</v>
      </c>
      <c r="Q110" s="231" t="str">
        <f t="shared" ca="1" si="14"/>
        <v>-</v>
      </c>
      <c r="R110" s="232">
        <f t="shared" ca="1" si="15"/>
        <v>0</v>
      </c>
      <c r="S110" s="233" t="str">
        <f t="shared" ca="1" si="16"/>
        <v>-</v>
      </c>
    </row>
    <row r="111" spans="1:31">
      <c r="A111" s="138">
        <v>7823</v>
      </c>
      <c r="B111" s="214">
        <v>36.840000000000003</v>
      </c>
      <c r="C111" s="215">
        <v>920</v>
      </c>
      <c r="D111" s="216">
        <v>9.24</v>
      </c>
      <c r="J111" s="221">
        <f t="shared" si="9"/>
        <v>0</v>
      </c>
      <c r="K111" s="222">
        <v>0</v>
      </c>
      <c r="L111" s="228">
        <f t="shared" ca="1" si="10"/>
        <v>0</v>
      </c>
      <c r="M111" s="229">
        <f t="shared" ca="1" si="11"/>
        <v>0</v>
      </c>
      <c r="N111" s="165">
        <v>0</v>
      </c>
      <c r="O111" s="230">
        <f t="shared" ca="1" si="12"/>
        <v>0</v>
      </c>
      <c r="P111" s="231" t="e">
        <f t="shared" ca="1" si="13"/>
        <v>#NAME?</v>
      </c>
      <c r="Q111" s="231" t="str">
        <f t="shared" ca="1" si="14"/>
        <v>-</v>
      </c>
      <c r="R111" s="232">
        <f t="shared" ca="1" si="15"/>
        <v>0</v>
      </c>
      <c r="S111" s="233" t="str">
        <f t="shared" ca="1" si="16"/>
        <v>-</v>
      </c>
    </row>
    <row r="112" spans="1:31">
      <c r="A112" s="138">
        <v>7824</v>
      </c>
      <c r="B112" s="214">
        <v>43.35</v>
      </c>
      <c r="C112" s="215">
        <v>922</v>
      </c>
      <c r="D112" s="216">
        <v>12</v>
      </c>
      <c r="J112" s="221">
        <f t="shared" si="9"/>
        <v>0</v>
      </c>
      <c r="K112" s="222">
        <v>0</v>
      </c>
      <c r="L112" s="228">
        <f t="shared" ca="1" si="10"/>
        <v>0</v>
      </c>
      <c r="M112" s="229">
        <f t="shared" ca="1" si="11"/>
        <v>0</v>
      </c>
      <c r="N112" s="165">
        <v>0</v>
      </c>
      <c r="O112" s="230">
        <f t="shared" ca="1" si="12"/>
        <v>0</v>
      </c>
      <c r="P112" s="231" t="e">
        <f t="shared" ca="1" si="13"/>
        <v>#NAME?</v>
      </c>
      <c r="Q112" s="231" t="str">
        <f t="shared" ca="1" si="14"/>
        <v>-</v>
      </c>
      <c r="R112" s="232">
        <f t="shared" ca="1" si="15"/>
        <v>0</v>
      </c>
      <c r="S112" s="233" t="str">
        <f t="shared" ca="1" si="16"/>
        <v>-</v>
      </c>
    </row>
    <row r="113" spans="1:19">
      <c r="A113" s="138">
        <v>7825</v>
      </c>
      <c r="B113" s="214">
        <v>24</v>
      </c>
      <c r="C113" s="215">
        <v>923</v>
      </c>
      <c r="D113" s="216">
        <v>12</v>
      </c>
      <c r="J113" s="221">
        <f t="shared" si="9"/>
        <v>0</v>
      </c>
      <c r="K113" s="222">
        <v>0</v>
      </c>
      <c r="L113" s="228">
        <f t="shared" ca="1" si="10"/>
        <v>0</v>
      </c>
      <c r="M113" s="229">
        <f t="shared" ca="1" si="11"/>
        <v>0</v>
      </c>
      <c r="N113" s="165">
        <v>0</v>
      </c>
      <c r="O113" s="230">
        <f t="shared" ca="1" si="12"/>
        <v>0</v>
      </c>
      <c r="P113" s="231" t="e">
        <f t="shared" ca="1" si="13"/>
        <v>#NAME?</v>
      </c>
      <c r="Q113" s="231" t="str">
        <f t="shared" ca="1" si="14"/>
        <v>-</v>
      </c>
      <c r="R113" s="232">
        <f t="shared" ca="1" si="15"/>
        <v>0</v>
      </c>
      <c r="S113" s="233" t="str">
        <f t="shared" ca="1" si="16"/>
        <v>-</v>
      </c>
    </row>
    <row r="114" spans="1:19">
      <c r="A114" s="138">
        <v>7826</v>
      </c>
      <c r="B114" s="214">
        <v>98.5</v>
      </c>
      <c r="C114" s="215">
        <v>923</v>
      </c>
      <c r="D114" s="216">
        <v>12</v>
      </c>
      <c r="J114" s="221">
        <f t="shared" si="9"/>
        <v>0</v>
      </c>
      <c r="K114" s="222">
        <v>0</v>
      </c>
      <c r="L114" s="228">
        <f t="shared" ca="1" si="10"/>
        <v>0</v>
      </c>
      <c r="M114" s="229">
        <f t="shared" ca="1" si="11"/>
        <v>0</v>
      </c>
      <c r="N114" s="165">
        <v>0</v>
      </c>
      <c r="O114" s="230">
        <f t="shared" ca="1" si="12"/>
        <v>0</v>
      </c>
      <c r="P114" s="231" t="e">
        <f t="shared" ca="1" si="13"/>
        <v>#NAME?</v>
      </c>
      <c r="Q114" s="231" t="str">
        <f t="shared" ca="1" si="14"/>
        <v>-</v>
      </c>
      <c r="R114" s="232">
        <f t="shared" ca="1" si="15"/>
        <v>0</v>
      </c>
      <c r="S114" s="233" t="str">
        <f t="shared" ca="1" si="16"/>
        <v>-</v>
      </c>
    </row>
    <row r="115" spans="1:19">
      <c r="A115" s="138">
        <v>7827</v>
      </c>
      <c r="B115" s="214">
        <v>140.76</v>
      </c>
      <c r="C115" s="215">
        <v>924</v>
      </c>
      <c r="D115" s="216">
        <v>10.56</v>
      </c>
      <c r="J115" s="221">
        <f t="shared" si="9"/>
        <v>0</v>
      </c>
      <c r="K115" s="222">
        <v>0</v>
      </c>
      <c r="L115" s="228">
        <f t="shared" ca="1" si="10"/>
        <v>0</v>
      </c>
      <c r="M115" s="229">
        <f t="shared" ca="1" si="11"/>
        <v>0</v>
      </c>
      <c r="N115" s="165">
        <v>0</v>
      </c>
      <c r="O115" s="230">
        <f t="shared" ca="1" si="12"/>
        <v>0</v>
      </c>
      <c r="P115" s="231" t="e">
        <f t="shared" ca="1" si="13"/>
        <v>#NAME?</v>
      </c>
      <c r="Q115" s="231" t="str">
        <f t="shared" ca="1" si="14"/>
        <v>-</v>
      </c>
      <c r="R115" s="232">
        <f t="shared" ca="1" si="15"/>
        <v>0</v>
      </c>
      <c r="S115" s="233" t="str">
        <f t="shared" ca="1" si="16"/>
        <v>-</v>
      </c>
    </row>
    <row r="116" spans="1:19">
      <c r="A116" s="138">
        <v>7828</v>
      </c>
      <c r="B116" s="214">
        <v>4.54</v>
      </c>
      <c r="C116" s="215">
        <v>925</v>
      </c>
      <c r="D116" s="216">
        <v>9.24</v>
      </c>
      <c r="J116" s="221">
        <f t="shared" si="9"/>
        <v>0</v>
      </c>
      <c r="K116" s="222">
        <v>0</v>
      </c>
      <c r="L116" s="228">
        <f t="shared" ca="1" si="10"/>
        <v>0</v>
      </c>
      <c r="M116" s="229">
        <f t="shared" ca="1" si="11"/>
        <v>0</v>
      </c>
      <c r="N116" s="165">
        <v>0</v>
      </c>
      <c r="O116" s="230">
        <f t="shared" ca="1" si="12"/>
        <v>0</v>
      </c>
      <c r="P116" s="231" t="e">
        <f t="shared" ca="1" si="13"/>
        <v>#NAME?</v>
      </c>
      <c r="Q116" s="231" t="str">
        <f t="shared" ca="1" si="14"/>
        <v>-</v>
      </c>
      <c r="R116" s="232">
        <f t="shared" ca="1" si="15"/>
        <v>0</v>
      </c>
      <c r="S116" s="233" t="str">
        <f t="shared" ca="1" si="16"/>
        <v>-</v>
      </c>
    </row>
    <row r="117" spans="1:19">
      <c r="A117" s="138">
        <v>7829</v>
      </c>
      <c r="B117" s="214">
        <v>14.61</v>
      </c>
      <c r="C117" s="215">
        <v>926</v>
      </c>
      <c r="D117" s="216">
        <v>10.56</v>
      </c>
      <c r="J117" s="221">
        <f t="shared" si="9"/>
        <v>0</v>
      </c>
      <c r="K117" s="222">
        <v>0</v>
      </c>
      <c r="L117" s="228">
        <f t="shared" ca="1" si="10"/>
        <v>0</v>
      </c>
      <c r="M117" s="229">
        <f t="shared" ca="1" si="11"/>
        <v>0</v>
      </c>
      <c r="N117" s="165">
        <v>0</v>
      </c>
      <c r="O117" s="230">
        <f t="shared" ca="1" si="12"/>
        <v>0</v>
      </c>
      <c r="P117" s="231" t="e">
        <f t="shared" ca="1" si="13"/>
        <v>#NAME?</v>
      </c>
      <c r="Q117" s="231" t="str">
        <f t="shared" ca="1" si="14"/>
        <v>-</v>
      </c>
      <c r="R117" s="232">
        <f t="shared" ca="1" si="15"/>
        <v>0</v>
      </c>
      <c r="S117" s="233" t="str">
        <f t="shared" ca="1" si="16"/>
        <v>-</v>
      </c>
    </row>
    <row r="118" spans="1:19">
      <c r="A118" s="138">
        <v>7830</v>
      </c>
      <c r="B118" s="214">
        <v>25.37</v>
      </c>
      <c r="C118" s="215">
        <v>930</v>
      </c>
      <c r="D118" s="216">
        <v>8.58</v>
      </c>
      <c r="J118" s="221">
        <f t="shared" si="9"/>
        <v>0</v>
      </c>
      <c r="K118" s="222">
        <v>0</v>
      </c>
      <c r="L118" s="228">
        <f t="shared" ca="1" si="10"/>
        <v>0</v>
      </c>
      <c r="M118" s="229">
        <f t="shared" ca="1" si="11"/>
        <v>0</v>
      </c>
      <c r="N118" s="165">
        <v>0</v>
      </c>
      <c r="O118" s="230">
        <f t="shared" ca="1" si="12"/>
        <v>0</v>
      </c>
      <c r="P118" s="231" t="e">
        <f t="shared" ca="1" si="13"/>
        <v>#NAME?</v>
      </c>
      <c r="Q118" s="231" t="str">
        <f t="shared" ca="1" si="14"/>
        <v>-</v>
      </c>
      <c r="R118" s="232">
        <f t="shared" ca="1" si="15"/>
        <v>0</v>
      </c>
      <c r="S118" s="233" t="str">
        <f t="shared" ca="1" si="16"/>
        <v>-</v>
      </c>
    </row>
    <row r="119" spans="1:19">
      <c r="A119" s="138">
        <v>7831</v>
      </c>
      <c r="B119" s="214">
        <v>109.26</v>
      </c>
      <c r="C119" s="215">
        <v>931</v>
      </c>
      <c r="D119" s="216">
        <v>9.1999999999999993</v>
      </c>
      <c r="J119" s="221">
        <f t="shared" si="9"/>
        <v>0</v>
      </c>
      <c r="K119" s="222">
        <v>0</v>
      </c>
      <c r="L119" s="228">
        <f t="shared" ca="1" si="10"/>
        <v>0</v>
      </c>
      <c r="M119" s="229">
        <f t="shared" ca="1" si="11"/>
        <v>0</v>
      </c>
      <c r="N119" s="165">
        <v>0</v>
      </c>
      <c r="O119" s="230">
        <f t="shared" ca="1" si="12"/>
        <v>0</v>
      </c>
      <c r="P119" s="231" t="e">
        <f t="shared" ca="1" si="13"/>
        <v>#NAME?</v>
      </c>
      <c r="Q119" s="231" t="str">
        <f t="shared" ca="1" si="14"/>
        <v>-</v>
      </c>
      <c r="R119" s="232">
        <f t="shared" ca="1" si="15"/>
        <v>0</v>
      </c>
      <c r="S119" s="233" t="str">
        <f t="shared" ca="1" si="16"/>
        <v>-</v>
      </c>
    </row>
    <row r="120" spans="1:19">
      <c r="A120" s="138">
        <v>7833</v>
      </c>
      <c r="B120" s="214">
        <v>155.46</v>
      </c>
      <c r="C120" s="215">
        <v>932</v>
      </c>
      <c r="D120" s="216">
        <v>9.24</v>
      </c>
      <c r="J120" s="221">
        <f t="shared" si="9"/>
        <v>0</v>
      </c>
      <c r="K120" s="222">
        <v>0</v>
      </c>
      <c r="L120" s="228">
        <f t="shared" ca="1" si="10"/>
        <v>0</v>
      </c>
      <c r="M120" s="229">
        <f t="shared" ca="1" si="11"/>
        <v>0</v>
      </c>
      <c r="N120" s="165">
        <v>0</v>
      </c>
      <c r="O120" s="230">
        <f t="shared" ca="1" si="12"/>
        <v>0</v>
      </c>
      <c r="P120" s="231" t="e">
        <f t="shared" ca="1" si="13"/>
        <v>#NAME?</v>
      </c>
      <c r="Q120" s="231" t="str">
        <f t="shared" ca="1" si="14"/>
        <v>-</v>
      </c>
      <c r="R120" s="232">
        <f t="shared" ca="1" si="15"/>
        <v>0</v>
      </c>
      <c r="S120" s="233" t="str">
        <f t="shared" ca="1" si="16"/>
        <v>-</v>
      </c>
    </row>
    <row r="121" spans="1:19">
      <c r="A121" s="138">
        <v>7976</v>
      </c>
      <c r="B121" s="214">
        <v>92.02</v>
      </c>
      <c r="C121" s="215">
        <v>933</v>
      </c>
      <c r="D121" s="216">
        <v>13.8</v>
      </c>
      <c r="J121" s="221">
        <f t="shared" si="9"/>
        <v>0</v>
      </c>
      <c r="K121" s="222">
        <v>0</v>
      </c>
      <c r="L121" s="228">
        <f t="shared" ca="1" si="10"/>
        <v>0</v>
      </c>
      <c r="M121" s="229">
        <f t="shared" ca="1" si="11"/>
        <v>0</v>
      </c>
      <c r="N121" s="165">
        <v>0</v>
      </c>
      <c r="O121" s="230">
        <f t="shared" ca="1" si="12"/>
        <v>0</v>
      </c>
      <c r="P121" s="231" t="e">
        <f t="shared" ca="1" si="13"/>
        <v>#NAME?</v>
      </c>
      <c r="Q121" s="231" t="str">
        <f t="shared" ca="1" si="14"/>
        <v>-</v>
      </c>
      <c r="R121" s="232">
        <f t="shared" ca="1" si="15"/>
        <v>0</v>
      </c>
      <c r="S121" s="233" t="str">
        <f t="shared" ca="1" si="16"/>
        <v>-</v>
      </c>
    </row>
    <row r="122" spans="1:19">
      <c r="A122" s="138">
        <v>7978</v>
      </c>
      <c r="B122" s="214">
        <v>88.9</v>
      </c>
      <c r="C122" s="215">
        <v>936</v>
      </c>
      <c r="D122" s="216">
        <v>13.4</v>
      </c>
      <c r="J122" s="221">
        <f t="shared" si="9"/>
        <v>0</v>
      </c>
      <c r="K122" s="222">
        <v>0</v>
      </c>
      <c r="L122" s="228">
        <f t="shared" ca="1" si="10"/>
        <v>0</v>
      </c>
      <c r="M122" s="229">
        <f t="shared" ca="1" si="11"/>
        <v>0</v>
      </c>
      <c r="N122" s="165">
        <v>0</v>
      </c>
      <c r="O122" s="230">
        <f t="shared" ca="1" si="12"/>
        <v>0</v>
      </c>
      <c r="P122" s="231" t="e">
        <f t="shared" ca="1" si="13"/>
        <v>#NAME?</v>
      </c>
      <c r="Q122" s="231" t="str">
        <f t="shared" ca="1" si="14"/>
        <v>-</v>
      </c>
      <c r="R122" s="232">
        <f t="shared" ca="1" si="15"/>
        <v>0</v>
      </c>
      <c r="S122" s="233" t="str">
        <f t="shared" ca="1" si="16"/>
        <v>-</v>
      </c>
    </row>
    <row r="123" spans="1:19">
      <c r="A123" s="138">
        <v>7851</v>
      </c>
      <c r="B123" s="214">
        <v>46.88</v>
      </c>
      <c r="C123" s="215">
        <v>939</v>
      </c>
      <c r="D123" s="216">
        <v>7.8</v>
      </c>
      <c r="J123" s="221">
        <f t="shared" si="9"/>
        <v>0</v>
      </c>
      <c r="K123" s="222">
        <v>0</v>
      </c>
      <c r="L123" s="228">
        <f t="shared" ca="1" si="10"/>
        <v>0</v>
      </c>
      <c r="M123" s="229">
        <f t="shared" ca="1" si="11"/>
        <v>0</v>
      </c>
      <c r="N123" s="165">
        <v>0</v>
      </c>
      <c r="O123" s="230">
        <f t="shared" ca="1" si="12"/>
        <v>0</v>
      </c>
      <c r="P123" s="231" t="e">
        <f t="shared" ca="1" si="13"/>
        <v>#NAME?</v>
      </c>
      <c r="Q123" s="231" t="str">
        <f t="shared" ca="1" si="14"/>
        <v>-</v>
      </c>
      <c r="R123" s="232">
        <f t="shared" ca="1" si="15"/>
        <v>0</v>
      </c>
      <c r="S123" s="233" t="str">
        <f t="shared" ca="1" si="16"/>
        <v>-</v>
      </c>
    </row>
    <row r="124" spans="1:19">
      <c r="A124" s="138">
        <v>7852</v>
      </c>
      <c r="B124" s="214">
        <v>102.6</v>
      </c>
      <c r="C124" s="215">
        <v>944</v>
      </c>
      <c r="D124" s="216">
        <v>13.36</v>
      </c>
      <c r="J124" s="221">
        <f t="shared" si="9"/>
        <v>0</v>
      </c>
      <c r="K124" s="222">
        <v>0</v>
      </c>
      <c r="L124" s="228">
        <f t="shared" ca="1" si="10"/>
        <v>0</v>
      </c>
      <c r="M124" s="229">
        <f t="shared" ca="1" si="11"/>
        <v>0</v>
      </c>
      <c r="N124" s="165">
        <v>0</v>
      </c>
      <c r="O124" s="230">
        <f t="shared" ca="1" si="12"/>
        <v>0</v>
      </c>
      <c r="P124" s="231" t="e">
        <f t="shared" ca="1" si="13"/>
        <v>#NAME?</v>
      </c>
      <c r="Q124" s="231" t="str">
        <f t="shared" ca="1" si="14"/>
        <v>-</v>
      </c>
      <c r="R124" s="232">
        <f t="shared" ca="1" si="15"/>
        <v>0</v>
      </c>
      <c r="S124" s="233" t="str">
        <f t="shared" ca="1" si="16"/>
        <v>-</v>
      </c>
    </row>
    <row r="125" spans="1:19">
      <c r="A125" s="138">
        <v>7853</v>
      </c>
      <c r="B125" s="214">
        <v>36.840000000000003</v>
      </c>
      <c r="C125" s="215">
        <v>945</v>
      </c>
      <c r="D125" s="216">
        <v>9.6</v>
      </c>
      <c r="J125" s="221">
        <f t="shared" si="9"/>
        <v>0</v>
      </c>
      <c r="K125" s="222">
        <v>0</v>
      </c>
      <c r="L125" s="228">
        <f t="shared" ca="1" si="10"/>
        <v>0</v>
      </c>
      <c r="M125" s="229">
        <f t="shared" ca="1" si="11"/>
        <v>0</v>
      </c>
      <c r="N125" s="165">
        <v>0</v>
      </c>
      <c r="O125" s="230">
        <f t="shared" ca="1" si="12"/>
        <v>0</v>
      </c>
      <c r="P125" s="231" t="e">
        <f t="shared" ca="1" si="13"/>
        <v>#NAME?</v>
      </c>
      <c r="Q125" s="231" t="str">
        <f t="shared" ca="1" si="14"/>
        <v>-</v>
      </c>
      <c r="R125" s="232">
        <f t="shared" ca="1" si="15"/>
        <v>0</v>
      </c>
      <c r="S125" s="233" t="str">
        <f t="shared" ca="1" si="16"/>
        <v>-</v>
      </c>
    </row>
    <row r="126" spans="1:19">
      <c r="A126" s="138">
        <v>7854</v>
      </c>
      <c r="B126" s="214">
        <v>43.35</v>
      </c>
      <c r="C126" s="215">
        <v>946</v>
      </c>
      <c r="D126" s="216">
        <v>16</v>
      </c>
      <c r="J126" s="221">
        <f t="shared" si="9"/>
        <v>0</v>
      </c>
      <c r="K126" s="222">
        <v>0</v>
      </c>
      <c r="L126" s="228">
        <f t="shared" ca="1" si="10"/>
        <v>0</v>
      </c>
      <c r="M126" s="229">
        <f t="shared" ca="1" si="11"/>
        <v>0</v>
      </c>
      <c r="N126" s="165">
        <v>0</v>
      </c>
      <c r="O126" s="230">
        <f t="shared" ca="1" si="12"/>
        <v>0</v>
      </c>
      <c r="P126" s="231" t="e">
        <f t="shared" ca="1" si="13"/>
        <v>#NAME?</v>
      </c>
      <c r="Q126" s="231" t="str">
        <f t="shared" ca="1" si="14"/>
        <v>-</v>
      </c>
      <c r="R126" s="232">
        <f t="shared" ca="1" si="15"/>
        <v>0</v>
      </c>
      <c r="S126" s="233" t="str">
        <f t="shared" ca="1" si="16"/>
        <v>-</v>
      </c>
    </row>
    <row r="127" spans="1:19">
      <c r="A127" s="138">
        <v>7855</v>
      </c>
      <c r="B127" s="214">
        <v>24</v>
      </c>
      <c r="C127" s="215">
        <v>949</v>
      </c>
      <c r="D127" s="216">
        <v>12</v>
      </c>
      <c r="J127" s="221">
        <f t="shared" si="9"/>
        <v>0</v>
      </c>
      <c r="K127" s="222">
        <v>0</v>
      </c>
      <c r="L127" s="228">
        <f t="shared" ca="1" si="10"/>
        <v>0</v>
      </c>
      <c r="M127" s="229">
        <f t="shared" ca="1" si="11"/>
        <v>0</v>
      </c>
      <c r="N127" s="165">
        <v>0</v>
      </c>
      <c r="O127" s="230">
        <f t="shared" ca="1" si="12"/>
        <v>0</v>
      </c>
      <c r="P127" s="231" t="e">
        <f t="shared" ca="1" si="13"/>
        <v>#NAME?</v>
      </c>
      <c r="Q127" s="231" t="str">
        <f t="shared" ca="1" si="14"/>
        <v>-</v>
      </c>
      <c r="R127" s="232">
        <f t="shared" ca="1" si="15"/>
        <v>0</v>
      </c>
      <c r="S127" s="233" t="str">
        <f t="shared" ca="1" si="16"/>
        <v>-</v>
      </c>
    </row>
    <row r="128" spans="1:19">
      <c r="A128" s="138">
        <v>7858</v>
      </c>
      <c r="B128" s="214">
        <v>4.3099999999999996</v>
      </c>
      <c r="C128" s="215">
        <v>954</v>
      </c>
      <c r="D128" s="216">
        <v>6.4</v>
      </c>
      <c r="J128" s="221">
        <f t="shared" si="9"/>
        <v>0</v>
      </c>
      <c r="K128" s="222">
        <v>0</v>
      </c>
      <c r="L128" s="228">
        <f t="shared" ca="1" si="10"/>
        <v>0</v>
      </c>
      <c r="M128" s="229">
        <f t="shared" ca="1" si="11"/>
        <v>0</v>
      </c>
      <c r="N128" s="165">
        <v>0</v>
      </c>
      <c r="O128" s="230">
        <f t="shared" ca="1" si="12"/>
        <v>0</v>
      </c>
      <c r="P128" s="231" t="e">
        <f t="shared" ca="1" si="13"/>
        <v>#NAME?</v>
      </c>
      <c r="Q128" s="231" t="str">
        <f t="shared" ca="1" si="14"/>
        <v>-</v>
      </c>
      <c r="R128" s="232">
        <f t="shared" ca="1" si="15"/>
        <v>0</v>
      </c>
      <c r="S128" s="233" t="str">
        <f t="shared" ca="1" si="16"/>
        <v>-</v>
      </c>
    </row>
    <row r="129" spans="1:19">
      <c r="A129" s="138">
        <v>7859</v>
      </c>
      <c r="B129" s="214">
        <v>14.61</v>
      </c>
      <c r="C129" s="215">
        <v>955</v>
      </c>
      <c r="D129" s="216">
        <v>6.4</v>
      </c>
      <c r="J129" s="221">
        <f t="shared" si="9"/>
        <v>0</v>
      </c>
      <c r="K129" s="222">
        <v>0</v>
      </c>
      <c r="L129" s="228">
        <f t="shared" ca="1" si="10"/>
        <v>0</v>
      </c>
      <c r="M129" s="229">
        <f t="shared" ca="1" si="11"/>
        <v>0</v>
      </c>
      <c r="N129" s="165">
        <v>0</v>
      </c>
      <c r="O129" s="230">
        <f t="shared" ca="1" si="12"/>
        <v>0</v>
      </c>
      <c r="P129" s="231" t="e">
        <f t="shared" ca="1" si="13"/>
        <v>#NAME?</v>
      </c>
      <c r="Q129" s="231" t="str">
        <f t="shared" ca="1" si="14"/>
        <v>-</v>
      </c>
      <c r="R129" s="232">
        <f t="shared" ca="1" si="15"/>
        <v>0</v>
      </c>
      <c r="S129" s="233" t="str">
        <f t="shared" ca="1" si="16"/>
        <v>-</v>
      </c>
    </row>
    <row r="130" spans="1:19">
      <c r="A130" s="138">
        <v>7860</v>
      </c>
      <c r="B130" s="214">
        <v>25.37</v>
      </c>
      <c r="C130" s="215">
        <v>956</v>
      </c>
      <c r="D130" s="216">
        <v>13.4</v>
      </c>
      <c r="J130" s="221">
        <f t="shared" si="9"/>
        <v>0</v>
      </c>
      <c r="K130" s="222">
        <v>0</v>
      </c>
      <c r="L130" s="228">
        <f t="shared" ca="1" si="10"/>
        <v>0</v>
      </c>
      <c r="M130" s="229">
        <f t="shared" ca="1" si="11"/>
        <v>0</v>
      </c>
      <c r="N130" s="165">
        <v>0</v>
      </c>
      <c r="O130" s="230">
        <f t="shared" ca="1" si="12"/>
        <v>0</v>
      </c>
      <c r="P130" s="231" t="e">
        <f t="shared" ca="1" si="13"/>
        <v>#NAME?</v>
      </c>
      <c r="Q130" s="231" t="str">
        <f t="shared" ca="1" si="14"/>
        <v>-</v>
      </c>
      <c r="R130" s="232">
        <f t="shared" ca="1" si="15"/>
        <v>0</v>
      </c>
      <c r="S130" s="233" t="str">
        <f t="shared" ca="1" si="16"/>
        <v>-</v>
      </c>
    </row>
    <row r="131" spans="1:19">
      <c r="A131" s="138">
        <v>7863</v>
      </c>
      <c r="B131" s="214"/>
      <c r="C131" s="215">
        <v>957</v>
      </c>
      <c r="D131" s="216">
        <v>13.8</v>
      </c>
      <c r="J131" s="221">
        <f t="shared" ref="J131:J194" si="17">T131</f>
        <v>0</v>
      </c>
      <c r="K131" s="222">
        <v>0</v>
      </c>
      <c r="L131" s="228">
        <f t="shared" ref="L131:L194" ca="1" si="18">IFERROR(M131/25,"")</f>
        <v>0</v>
      </c>
      <c r="M131" s="229">
        <f t="shared" ref="M131:M194" ca="1" si="19">IF(ISNUMBER(P131),Z131,0)</f>
        <v>0</v>
      </c>
      <c r="N131" s="165">
        <v>0</v>
      </c>
      <c r="O131" s="230">
        <f t="shared" ref="O131:O194" ca="1" si="20">IF(ISNUMBER(P131),X131,0)</f>
        <v>0</v>
      </c>
      <c r="P131" s="231" t="e">
        <f t="shared" ref="P131:P194" ca="1" si="21">_xludf.IFNA(Z131/_xlfn.XLOOKUP(T131,$A$2:$A$624,$B$2:$B$624,""),"")</f>
        <v>#NAME?</v>
      </c>
      <c r="Q131" s="231" t="str">
        <f t="shared" ref="Q131:Q194" ca="1" si="22">IFERROR(M131/O131,"-")</f>
        <v>-</v>
      </c>
      <c r="R131" s="232">
        <f t="shared" ref="R131:R194" ca="1" si="23">IF(ISNUMBER(P131),AE131,0)</f>
        <v>0</v>
      </c>
      <c r="S131" s="233" t="str">
        <f t="shared" ref="S131:S194" ca="1" si="24">IFERROR((N131/Q131),"-")</f>
        <v>-</v>
      </c>
    </row>
    <row r="132" spans="1:19">
      <c r="A132" s="138">
        <v>7865</v>
      </c>
      <c r="B132" s="214"/>
      <c r="C132" s="215">
        <v>958</v>
      </c>
      <c r="D132" s="216">
        <v>6.4</v>
      </c>
      <c r="J132" s="221">
        <f t="shared" si="17"/>
        <v>0</v>
      </c>
      <c r="K132" s="222">
        <v>0</v>
      </c>
      <c r="L132" s="228">
        <f t="shared" ca="1" si="18"/>
        <v>0</v>
      </c>
      <c r="M132" s="229">
        <f t="shared" ca="1" si="19"/>
        <v>0</v>
      </c>
      <c r="N132" s="165">
        <v>0</v>
      </c>
      <c r="O132" s="230">
        <f t="shared" ca="1" si="20"/>
        <v>0</v>
      </c>
      <c r="P132" s="231" t="e">
        <f t="shared" ca="1" si="21"/>
        <v>#NAME?</v>
      </c>
      <c r="Q132" s="231" t="str">
        <f t="shared" ca="1" si="22"/>
        <v>-</v>
      </c>
      <c r="R132" s="232">
        <f t="shared" ca="1" si="23"/>
        <v>0</v>
      </c>
      <c r="S132" s="233" t="str">
        <f t="shared" ca="1" si="24"/>
        <v>-</v>
      </c>
    </row>
    <row r="133" spans="1:19">
      <c r="A133" s="138">
        <v>7866</v>
      </c>
      <c r="B133" s="214"/>
      <c r="C133" s="215">
        <v>959</v>
      </c>
      <c r="D133" s="216">
        <v>8</v>
      </c>
      <c r="J133" s="221">
        <f t="shared" si="17"/>
        <v>0</v>
      </c>
      <c r="K133" s="222">
        <v>0</v>
      </c>
      <c r="L133" s="228">
        <f t="shared" ca="1" si="18"/>
        <v>0</v>
      </c>
      <c r="M133" s="229">
        <f t="shared" ca="1" si="19"/>
        <v>0</v>
      </c>
      <c r="N133" s="165">
        <v>0</v>
      </c>
      <c r="O133" s="230">
        <f t="shared" ca="1" si="20"/>
        <v>0</v>
      </c>
      <c r="P133" s="231" t="e">
        <f t="shared" ca="1" si="21"/>
        <v>#NAME?</v>
      </c>
      <c r="Q133" s="231" t="str">
        <f t="shared" ca="1" si="22"/>
        <v>-</v>
      </c>
      <c r="R133" s="232">
        <f t="shared" ca="1" si="23"/>
        <v>0</v>
      </c>
      <c r="S133" s="233" t="str">
        <f t="shared" ca="1" si="24"/>
        <v>-</v>
      </c>
    </row>
    <row r="134" spans="1:19">
      <c r="A134" s="138">
        <v>7867</v>
      </c>
      <c r="B134" s="214"/>
      <c r="C134" s="215">
        <v>975</v>
      </c>
      <c r="D134" s="216">
        <v>6</v>
      </c>
      <c r="J134" s="221">
        <f t="shared" si="17"/>
        <v>0</v>
      </c>
      <c r="K134" s="222">
        <v>0</v>
      </c>
      <c r="L134" s="228">
        <f t="shared" ca="1" si="18"/>
        <v>0</v>
      </c>
      <c r="M134" s="229">
        <f t="shared" ca="1" si="19"/>
        <v>0</v>
      </c>
      <c r="N134" s="165">
        <v>0</v>
      </c>
      <c r="O134" s="230">
        <f t="shared" ca="1" si="20"/>
        <v>0</v>
      </c>
      <c r="P134" s="231" t="e">
        <f t="shared" ca="1" si="21"/>
        <v>#NAME?</v>
      </c>
      <c r="Q134" s="231" t="str">
        <f t="shared" ca="1" si="22"/>
        <v>-</v>
      </c>
      <c r="R134" s="232">
        <f t="shared" ca="1" si="23"/>
        <v>0</v>
      </c>
      <c r="S134" s="233" t="str">
        <f t="shared" ca="1" si="24"/>
        <v>-</v>
      </c>
    </row>
    <row r="135" spans="1:19">
      <c r="A135" s="138">
        <v>2077</v>
      </c>
      <c r="B135" s="214">
        <v>92.02</v>
      </c>
      <c r="C135" s="215">
        <v>976</v>
      </c>
      <c r="D135" s="216">
        <v>6</v>
      </c>
      <c r="J135" s="221">
        <f t="shared" si="17"/>
        <v>0</v>
      </c>
      <c r="K135" s="222">
        <v>0</v>
      </c>
      <c r="L135" s="228">
        <f t="shared" ca="1" si="18"/>
        <v>0</v>
      </c>
      <c r="M135" s="229">
        <f t="shared" ca="1" si="19"/>
        <v>0</v>
      </c>
      <c r="N135" s="165">
        <v>0</v>
      </c>
      <c r="O135" s="230">
        <f t="shared" ca="1" si="20"/>
        <v>0</v>
      </c>
      <c r="P135" s="231" t="e">
        <f t="shared" ca="1" si="21"/>
        <v>#NAME?</v>
      </c>
      <c r="Q135" s="231" t="str">
        <f t="shared" ca="1" si="22"/>
        <v>-</v>
      </c>
      <c r="R135" s="232">
        <f t="shared" ca="1" si="23"/>
        <v>0</v>
      </c>
      <c r="S135" s="233" t="str">
        <f t="shared" ca="1" si="24"/>
        <v>-</v>
      </c>
    </row>
    <row r="136" spans="1:19">
      <c r="A136" s="138">
        <v>2084</v>
      </c>
      <c r="B136" s="214">
        <v>91.74</v>
      </c>
      <c r="C136" s="215">
        <v>977</v>
      </c>
      <c r="D136" s="216">
        <v>6.4</v>
      </c>
      <c r="J136" s="221">
        <f t="shared" si="17"/>
        <v>0</v>
      </c>
      <c r="K136" s="222">
        <v>0</v>
      </c>
      <c r="L136" s="228">
        <f t="shared" ca="1" si="18"/>
        <v>0</v>
      </c>
      <c r="M136" s="229">
        <f t="shared" ca="1" si="19"/>
        <v>0</v>
      </c>
      <c r="N136" s="165">
        <v>0</v>
      </c>
      <c r="O136" s="230">
        <f t="shared" ca="1" si="20"/>
        <v>0</v>
      </c>
      <c r="P136" s="231" t="e">
        <f t="shared" ca="1" si="21"/>
        <v>#NAME?</v>
      </c>
      <c r="Q136" s="231" t="str">
        <f t="shared" ca="1" si="22"/>
        <v>-</v>
      </c>
      <c r="R136" s="232">
        <f t="shared" ca="1" si="23"/>
        <v>0</v>
      </c>
      <c r="S136" s="233" t="str">
        <f t="shared" ca="1" si="24"/>
        <v>-</v>
      </c>
    </row>
    <row r="137" spans="1:19">
      <c r="A137" s="138">
        <v>2085</v>
      </c>
      <c r="B137" s="214">
        <v>25</v>
      </c>
      <c r="C137" s="215">
        <v>2500</v>
      </c>
      <c r="D137" s="216">
        <v>8.1999999999999993</v>
      </c>
      <c r="J137" s="221">
        <f t="shared" si="17"/>
        <v>0</v>
      </c>
      <c r="K137" s="222">
        <v>0</v>
      </c>
      <c r="L137" s="228">
        <f t="shared" ca="1" si="18"/>
        <v>0</v>
      </c>
      <c r="M137" s="229">
        <f t="shared" ca="1" si="19"/>
        <v>0</v>
      </c>
      <c r="N137" s="165">
        <v>0</v>
      </c>
      <c r="O137" s="230">
        <f t="shared" ca="1" si="20"/>
        <v>0</v>
      </c>
      <c r="P137" s="231" t="e">
        <f t="shared" ca="1" si="21"/>
        <v>#NAME?</v>
      </c>
      <c r="Q137" s="231" t="str">
        <f t="shared" ca="1" si="22"/>
        <v>-</v>
      </c>
      <c r="R137" s="232">
        <f t="shared" ca="1" si="23"/>
        <v>0</v>
      </c>
      <c r="S137" s="233" t="str">
        <f t="shared" ca="1" si="24"/>
        <v>-</v>
      </c>
    </row>
    <row r="138" spans="1:19">
      <c r="A138" s="138">
        <v>2069</v>
      </c>
      <c r="B138" s="214">
        <v>116.71</v>
      </c>
      <c r="C138" s="215">
        <v>2501</v>
      </c>
      <c r="D138" s="216">
        <v>8.1999999999999993</v>
      </c>
      <c r="J138" s="221">
        <f t="shared" si="17"/>
        <v>0</v>
      </c>
      <c r="K138" s="222">
        <v>0</v>
      </c>
      <c r="L138" s="228">
        <f t="shared" ca="1" si="18"/>
        <v>0</v>
      </c>
      <c r="M138" s="229">
        <f t="shared" ca="1" si="19"/>
        <v>0</v>
      </c>
      <c r="N138" s="165">
        <v>0</v>
      </c>
      <c r="O138" s="230">
        <f t="shared" ca="1" si="20"/>
        <v>0</v>
      </c>
      <c r="P138" s="231" t="e">
        <f t="shared" ca="1" si="21"/>
        <v>#NAME?</v>
      </c>
      <c r="Q138" s="231" t="str">
        <f t="shared" ca="1" si="22"/>
        <v>-</v>
      </c>
      <c r="R138" s="232">
        <f t="shared" ca="1" si="23"/>
        <v>0</v>
      </c>
      <c r="S138" s="233" t="str">
        <f t="shared" ca="1" si="24"/>
        <v>-</v>
      </c>
    </row>
    <row r="139" spans="1:19">
      <c r="A139" s="138">
        <v>2070</v>
      </c>
      <c r="B139" s="214">
        <v>116.71</v>
      </c>
      <c r="C139" s="215">
        <v>2502</v>
      </c>
      <c r="D139" s="216">
        <v>8.92</v>
      </c>
      <c r="J139" s="221">
        <f t="shared" si="17"/>
        <v>0</v>
      </c>
      <c r="K139" s="222">
        <v>0</v>
      </c>
      <c r="L139" s="228">
        <f t="shared" ca="1" si="18"/>
        <v>0</v>
      </c>
      <c r="M139" s="229">
        <f t="shared" ca="1" si="19"/>
        <v>0</v>
      </c>
      <c r="N139" s="165">
        <v>0</v>
      </c>
      <c r="O139" s="230">
        <f t="shared" ca="1" si="20"/>
        <v>0</v>
      </c>
      <c r="P139" s="231" t="e">
        <f t="shared" ca="1" si="21"/>
        <v>#NAME?</v>
      </c>
      <c r="Q139" s="231" t="str">
        <f t="shared" ca="1" si="22"/>
        <v>-</v>
      </c>
      <c r="R139" s="232">
        <f t="shared" ca="1" si="23"/>
        <v>0</v>
      </c>
      <c r="S139" s="233" t="str">
        <f t="shared" ca="1" si="24"/>
        <v>-</v>
      </c>
    </row>
    <row r="140" spans="1:19">
      <c r="A140" s="138">
        <v>2071</v>
      </c>
      <c r="B140" s="214">
        <v>105.01</v>
      </c>
      <c r="C140" s="215">
        <v>2503</v>
      </c>
      <c r="D140" s="216">
        <v>8.92</v>
      </c>
      <c r="J140" s="221">
        <f t="shared" si="17"/>
        <v>0</v>
      </c>
      <c r="K140" s="222">
        <v>0</v>
      </c>
      <c r="L140" s="228">
        <f t="shared" ca="1" si="18"/>
        <v>0</v>
      </c>
      <c r="M140" s="229">
        <f t="shared" ca="1" si="19"/>
        <v>0</v>
      </c>
      <c r="N140" s="165">
        <v>0</v>
      </c>
      <c r="O140" s="230">
        <f t="shared" ca="1" si="20"/>
        <v>0</v>
      </c>
      <c r="P140" s="231" t="e">
        <f t="shared" ca="1" si="21"/>
        <v>#NAME?</v>
      </c>
      <c r="Q140" s="231" t="str">
        <f t="shared" ca="1" si="22"/>
        <v>-</v>
      </c>
      <c r="R140" s="232">
        <f t="shared" ca="1" si="23"/>
        <v>0</v>
      </c>
      <c r="S140" s="233" t="str">
        <f t="shared" ca="1" si="24"/>
        <v>-</v>
      </c>
    </row>
    <row r="141" spans="1:19">
      <c r="A141" s="138">
        <v>2072</v>
      </c>
      <c r="B141" s="214">
        <v>63.93</v>
      </c>
      <c r="C141" s="215">
        <v>2504</v>
      </c>
      <c r="D141" s="216">
        <v>7.89</v>
      </c>
      <c r="J141" s="221">
        <f t="shared" si="17"/>
        <v>0</v>
      </c>
      <c r="K141" s="222">
        <v>0</v>
      </c>
      <c r="L141" s="228">
        <f t="shared" ca="1" si="18"/>
        <v>0</v>
      </c>
      <c r="M141" s="229">
        <f t="shared" ca="1" si="19"/>
        <v>0</v>
      </c>
      <c r="N141" s="165">
        <v>0</v>
      </c>
      <c r="O141" s="230">
        <f t="shared" ca="1" si="20"/>
        <v>0</v>
      </c>
      <c r="P141" s="231" t="e">
        <f t="shared" ca="1" si="21"/>
        <v>#NAME?</v>
      </c>
      <c r="Q141" s="231" t="str">
        <f t="shared" ca="1" si="22"/>
        <v>-</v>
      </c>
      <c r="R141" s="232">
        <f t="shared" ca="1" si="23"/>
        <v>0</v>
      </c>
      <c r="S141" s="233" t="str">
        <f t="shared" ca="1" si="24"/>
        <v>-</v>
      </c>
    </row>
    <row r="142" spans="1:19">
      <c r="A142" s="138">
        <v>2073</v>
      </c>
      <c r="B142" s="214">
        <v>26.79</v>
      </c>
      <c r="C142" s="215">
        <v>2505</v>
      </c>
      <c r="D142" s="216">
        <v>7.89</v>
      </c>
      <c r="J142" s="221">
        <f t="shared" si="17"/>
        <v>0</v>
      </c>
      <c r="K142" s="222">
        <v>0</v>
      </c>
      <c r="L142" s="228">
        <f t="shared" ca="1" si="18"/>
        <v>0</v>
      </c>
      <c r="M142" s="229">
        <f t="shared" ca="1" si="19"/>
        <v>0</v>
      </c>
      <c r="N142" s="165">
        <v>0</v>
      </c>
      <c r="O142" s="230">
        <f t="shared" ca="1" si="20"/>
        <v>0</v>
      </c>
      <c r="P142" s="231" t="e">
        <f t="shared" ca="1" si="21"/>
        <v>#NAME?</v>
      </c>
      <c r="Q142" s="231" t="str">
        <f t="shared" ca="1" si="22"/>
        <v>-</v>
      </c>
      <c r="R142" s="232">
        <f t="shared" ca="1" si="23"/>
        <v>0</v>
      </c>
      <c r="S142" s="233" t="str">
        <f t="shared" ca="1" si="24"/>
        <v>-</v>
      </c>
    </row>
    <row r="143" spans="1:19">
      <c r="A143" s="138">
        <v>2074</v>
      </c>
      <c r="B143" s="214">
        <v>33.61</v>
      </c>
      <c r="C143" s="215">
        <v>2506</v>
      </c>
      <c r="D143" s="216">
        <v>8.8800000000000008</v>
      </c>
      <c r="J143" s="221">
        <f t="shared" si="17"/>
        <v>0</v>
      </c>
      <c r="K143" s="222">
        <v>0</v>
      </c>
      <c r="L143" s="228">
        <f t="shared" ca="1" si="18"/>
        <v>0</v>
      </c>
      <c r="M143" s="229">
        <f t="shared" ca="1" si="19"/>
        <v>0</v>
      </c>
      <c r="N143" s="165">
        <v>0</v>
      </c>
      <c r="O143" s="230">
        <f t="shared" ca="1" si="20"/>
        <v>0</v>
      </c>
      <c r="P143" s="231" t="e">
        <f t="shared" ca="1" si="21"/>
        <v>#NAME?</v>
      </c>
      <c r="Q143" s="231" t="str">
        <f t="shared" ca="1" si="22"/>
        <v>-</v>
      </c>
      <c r="R143" s="232">
        <f t="shared" ca="1" si="23"/>
        <v>0</v>
      </c>
      <c r="S143" s="233" t="str">
        <f t="shared" ca="1" si="24"/>
        <v>-</v>
      </c>
    </row>
    <row r="144" spans="1:19">
      <c r="A144" s="138">
        <v>2075</v>
      </c>
      <c r="B144" s="214">
        <v>113.84</v>
      </c>
      <c r="C144" s="215">
        <v>2508</v>
      </c>
      <c r="D144" s="216">
        <v>8.6</v>
      </c>
      <c r="J144" s="221">
        <f t="shared" si="17"/>
        <v>0</v>
      </c>
      <c r="K144" s="222">
        <v>0</v>
      </c>
      <c r="L144" s="228">
        <f t="shared" ca="1" si="18"/>
        <v>0</v>
      </c>
      <c r="M144" s="229">
        <f t="shared" ca="1" si="19"/>
        <v>0</v>
      </c>
      <c r="N144" s="165">
        <v>0</v>
      </c>
      <c r="O144" s="230">
        <f t="shared" ca="1" si="20"/>
        <v>0</v>
      </c>
      <c r="P144" s="231" t="e">
        <f t="shared" ca="1" si="21"/>
        <v>#NAME?</v>
      </c>
      <c r="Q144" s="231" t="str">
        <f t="shared" ca="1" si="22"/>
        <v>-</v>
      </c>
      <c r="R144" s="232">
        <f t="shared" ca="1" si="23"/>
        <v>0</v>
      </c>
      <c r="S144" s="233" t="str">
        <f t="shared" ca="1" si="24"/>
        <v>-</v>
      </c>
    </row>
    <row r="145" spans="1:19">
      <c r="A145" s="138">
        <v>2076</v>
      </c>
      <c r="B145" s="214">
        <v>25.87</v>
      </c>
      <c r="C145" s="215">
        <v>1012</v>
      </c>
      <c r="D145" s="216">
        <v>8</v>
      </c>
      <c r="J145" s="221">
        <f t="shared" si="17"/>
        <v>0</v>
      </c>
      <c r="K145" s="222">
        <v>0</v>
      </c>
      <c r="L145" s="228">
        <f t="shared" ca="1" si="18"/>
        <v>0</v>
      </c>
      <c r="M145" s="229">
        <f t="shared" ca="1" si="19"/>
        <v>0</v>
      </c>
      <c r="N145" s="165">
        <v>0</v>
      </c>
      <c r="O145" s="230">
        <f t="shared" ca="1" si="20"/>
        <v>0</v>
      </c>
      <c r="P145" s="231" t="e">
        <f t="shared" ca="1" si="21"/>
        <v>#NAME?</v>
      </c>
      <c r="Q145" s="231" t="str">
        <f t="shared" ca="1" si="22"/>
        <v>-</v>
      </c>
      <c r="R145" s="232">
        <f t="shared" ca="1" si="23"/>
        <v>0</v>
      </c>
      <c r="S145" s="233" t="str">
        <f t="shared" ca="1" si="24"/>
        <v>-</v>
      </c>
    </row>
    <row r="146" spans="1:19">
      <c r="A146" s="138">
        <v>2078</v>
      </c>
      <c r="B146" s="214">
        <v>160.44999999999999</v>
      </c>
      <c r="C146" s="215">
        <v>1013</v>
      </c>
      <c r="D146" s="216">
        <v>7.2</v>
      </c>
      <c r="J146" s="221">
        <f t="shared" si="17"/>
        <v>0</v>
      </c>
      <c r="K146" s="222">
        <v>0</v>
      </c>
      <c r="L146" s="228">
        <f t="shared" ca="1" si="18"/>
        <v>0</v>
      </c>
      <c r="M146" s="229">
        <f t="shared" ca="1" si="19"/>
        <v>0</v>
      </c>
      <c r="N146" s="165">
        <v>0</v>
      </c>
      <c r="O146" s="230">
        <f t="shared" ca="1" si="20"/>
        <v>0</v>
      </c>
      <c r="P146" s="231" t="e">
        <f t="shared" ca="1" si="21"/>
        <v>#NAME?</v>
      </c>
      <c r="Q146" s="231" t="str">
        <f t="shared" ca="1" si="22"/>
        <v>-</v>
      </c>
      <c r="R146" s="232">
        <f t="shared" ca="1" si="23"/>
        <v>0</v>
      </c>
      <c r="S146" s="233" t="str">
        <f t="shared" ca="1" si="24"/>
        <v>-</v>
      </c>
    </row>
    <row r="147" spans="1:19">
      <c r="A147" s="138">
        <v>2082</v>
      </c>
      <c r="B147" s="214">
        <v>107.06</v>
      </c>
      <c r="C147" s="215">
        <v>1014</v>
      </c>
      <c r="D147" s="216">
        <v>7</v>
      </c>
      <c r="J147" s="221">
        <f t="shared" si="17"/>
        <v>0</v>
      </c>
      <c r="K147" s="222">
        <v>0</v>
      </c>
      <c r="L147" s="228">
        <f t="shared" ca="1" si="18"/>
        <v>0</v>
      </c>
      <c r="M147" s="229">
        <f t="shared" ca="1" si="19"/>
        <v>0</v>
      </c>
      <c r="N147" s="165">
        <v>0</v>
      </c>
      <c r="O147" s="230">
        <f t="shared" ca="1" si="20"/>
        <v>0</v>
      </c>
      <c r="P147" s="231" t="e">
        <f t="shared" ca="1" si="21"/>
        <v>#NAME?</v>
      </c>
      <c r="Q147" s="231" t="str">
        <f t="shared" ca="1" si="22"/>
        <v>-</v>
      </c>
      <c r="R147" s="232">
        <f t="shared" ca="1" si="23"/>
        <v>0</v>
      </c>
      <c r="S147" s="233" t="str">
        <f t="shared" ca="1" si="24"/>
        <v>-</v>
      </c>
    </row>
    <row r="148" spans="1:19">
      <c r="A148" s="138">
        <v>2045</v>
      </c>
      <c r="B148" s="214">
        <v>53.8</v>
      </c>
      <c r="C148" s="215">
        <v>1017</v>
      </c>
      <c r="D148" s="216">
        <v>12.5</v>
      </c>
      <c r="J148" s="221">
        <f t="shared" si="17"/>
        <v>0</v>
      </c>
      <c r="K148" s="222">
        <v>0</v>
      </c>
      <c r="L148" s="228">
        <f t="shared" ca="1" si="18"/>
        <v>0</v>
      </c>
      <c r="M148" s="229">
        <f t="shared" ca="1" si="19"/>
        <v>0</v>
      </c>
      <c r="N148" s="165">
        <v>0</v>
      </c>
      <c r="O148" s="230">
        <f t="shared" ca="1" si="20"/>
        <v>0</v>
      </c>
      <c r="P148" s="231" t="e">
        <f t="shared" ca="1" si="21"/>
        <v>#NAME?</v>
      </c>
      <c r="Q148" s="231" t="str">
        <f t="shared" ca="1" si="22"/>
        <v>-</v>
      </c>
      <c r="R148" s="232">
        <f t="shared" ca="1" si="23"/>
        <v>0</v>
      </c>
      <c r="S148" s="233" t="str">
        <f t="shared" ca="1" si="24"/>
        <v>-</v>
      </c>
    </row>
    <row r="149" spans="1:19">
      <c r="A149" s="138">
        <v>2046</v>
      </c>
      <c r="B149" s="214">
        <v>37.92</v>
      </c>
      <c r="C149" s="215">
        <v>1018</v>
      </c>
      <c r="D149" s="216">
        <v>12.8</v>
      </c>
      <c r="J149" s="221">
        <f t="shared" si="17"/>
        <v>0</v>
      </c>
      <c r="K149" s="222">
        <v>0</v>
      </c>
      <c r="L149" s="228">
        <f t="shared" ca="1" si="18"/>
        <v>0</v>
      </c>
      <c r="M149" s="229">
        <f t="shared" ca="1" si="19"/>
        <v>0</v>
      </c>
      <c r="N149" s="165">
        <v>0</v>
      </c>
      <c r="O149" s="230">
        <f t="shared" ca="1" si="20"/>
        <v>0</v>
      </c>
      <c r="P149" s="231" t="e">
        <f t="shared" ca="1" si="21"/>
        <v>#NAME?</v>
      </c>
      <c r="Q149" s="231" t="str">
        <f t="shared" ca="1" si="22"/>
        <v>-</v>
      </c>
      <c r="R149" s="232">
        <f t="shared" ca="1" si="23"/>
        <v>0</v>
      </c>
      <c r="S149" s="233" t="str">
        <f t="shared" ca="1" si="24"/>
        <v>-</v>
      </c>
    </row>
    <row r="150" spans="1:19">
      <c r="A150" s="138">
        <v>200723</v>
      </c>
      <c r="B150" s="214">
        <v>40</v>
      </c>
      <c r="C150" s="215">
        <v>1019</v>
      </c>
      <c r="D150" s="216">
        <v>15</v>
      </c>
      <c r="J150" s="221">
        <f t="shared" si="17"/>
        <v>0</v>
      </c>
      <c r="K150" s="222">
        <v>0</v>
      </c>
      <c r="L150" s="228">
        <f t="shared" ca="1" si="18"/>
        <v>0</v>
      </c>
      <c r="M150" s="229">
        <f t="shared" ca="1" si="19"/>
        <v>0</v>
      </c>
      <c r="N150" s="165">
        <v>0</v>
      </c>
      <c r="O150" s="230">
        <f t="shared" ca="1" si="20"/>
        <v>0</v>
      </c>
      <c r="P150" s="231" t="e">
        <f t="shared" ca="1" si="21"/>
        <v>#NAME?</v>
      </c>
      <c r="Q150" s="231" t="str">
        <f t="shared" ca="1" si="22"/>
        <v>-</v>
      </c>
      <c r="R150" s="232">
        <f t="shared" ca="1" si="23"/>
        <v>0</v>
      </c>
      <c r="S150" s="233" t="str">
        <f t="shared" ca="1" si="24"/>
        <v>-</v>
      </c>
    </row>
    <row r="151" spans="1:19">
      <c r="A151" s="138">
        <v>2124</v>
      </c>
      <c r="B151" s="214">
        <v>72.73</v>
      </c>
      <c r="C151" s="215">
        <v>1020</v>
      </c>
      <c r="D151" s="216">
        <v>14</v>
      </c>
      <c r="H151" s="282" t="s">
        <v>568</v>
      </c>
      <c r="I151" s="283">
        <f ca="1">H3</f>
        <v>0</v>
      </c>
      <c r="J151" s="221">
        <f t="shared" si="17"/>
        <v>0</v>
      </c>
      <c r="K151" s="222">
        <v>0</v>
      </c>
      <c r="L151" s="228">
        <f t="shared" ca="1" si="18"/>
        <v>0</v>
      </c>
      <c r="M151" s="229">
        <f t="shared" ca="1" si="19"/>
        <v>0</v>
      </c>
      <c r="N151" s="165">
        <v>0</v>
      </c>
      <c r="O151" s="230">
        <f t="shared" ca="1" si="20"/>
        <v>0</v>
      </c>
      <c r="P151" s="231" t="e">
        <f t="shared" ca="1" si="21"/>
        <v>#NAME?</v>
      </c>
      <c r="Q151" s="231" t="str">
        <f t="shared" ca="1" si="22"/>
        <v>-</v>
      </c>
      <c r="R151" s="232">
        <f t="shared" ca="1" si="23"/>
        <v>0</v>
      </c>
      <c r="S151" s="233" t="str">
        <f t="shared" ca="1" si="24"/>
        <v>-</v>
      </c>
    </row>
    <row r="152" spans="1:19">
      <c r="A152" s="138"/>
      <c r="B152" s="214"/>
      <c r="C152" s="215">
        <v>1021</v>
      </c>
      <c r="D152" s="216">
        <v>7</v>
      </c>
      <c r="J152" s="221">
        <f t="shared" si="17"/>
        <v>0</v>
      </c>
      <c r="K152" s="222">
        <v>0</v>
      </c>
      <c r="L152" s="228">
        <f t="shared" ca="1" si="18"/>
        <v>0</v>
      </c>
      <c r="M152" s="229">
        <f t="shared" ca="1" si="19"/>
        <v>0</v>
      </c>
      <c r="N152" s="165">
        <v>0</v>
      </c>
      <c r="O152" s="230">
        <f t="shared" ca="1" si="20"/>
        <v>0</v>
      </c>
      <c r="P152" s="231" t="e">
        <f t="shared" ca="1" si="21"/>
        <v>#NAME?</v>
      </c>
      <c r="Q152" s="231" t="str">
        <f t="shared" ca="1" si="22"/>
        <v>-</v>
      </c>
      <c r="R152" s="232">
        <f t="shared" ca="1" si="23"/>
        <v>0</v>
      </c>
      <c r="S152" s="233" t="str">
        <f t="shared" ca="1" si="24"/>
        <v>-</v>
      </c>
    </row>
    <row r="153" spans="1:19">
      <c r="A153" s="284"/>
      <c r="B153" s="214"/>
      <c r="C153" s="215">
        <v>1023</v>
      </c>
      <c r="D153" s="216">
        <v>13</v>
      </c>
      <c r="J153" s="221">
        <f t="shared" si="17"/>
        <v>0</v>
      </c>
      <c r="K153" s="222">
        <v>0</v>
      </c>
      <c r="L153" s="228">
        <f t="shared" ca="1" si="18"/>
        <v>0</v>
      </c>
      <c r="M153" s="229">
        <f t="shared" ca="1" si="19"/>
        <v>0</v>
      </c>
      <c r="N153" s="165">
        <v>0</v>
      </c>
      <c r="O153" s="230">
        <f t="shared" ca="1" si="20"/>
        <v>0</v>
      </c>
      <c r="P153" s="231" t="e">
        <f t="shared" ca="1" si="21"/>
        <v>#NAME?</v>
      </c>
      <c r="Q153" s="231" t="str">
        <f t="shared" ca="1" si="22"/>
        <v>-</v>
      </c>
      <c r="R153" s="232">
        <f t="shared" ca="1" si="23"/>
        <v>0</v>
      </c>
      <c r="S153" s="233" t="str">
        <f t="shared" ca="1" si="24"/>
        <v>-</v>
      </c>
    </row>
    <row r="154" spans="1:19">
      <c r="A154" s="284"/>
      <c r="B154" s="285"/>
      <c r="C154" s="215">
        <v>1024</v>
      </c>
      <c r="D154" s="216">
        <v>9.5</v>
      </c>
      <c r="J154" s="221">
        <f t="shared" si="17"/>
        <v>0</v>
      </c>
      <c r="K154" s="222">
        <v>0</v>
      </c>
      <c r="L154" s="228">
        <f t="shared" ca="1" si="18"/>
        <v>0</v>
      </c>
      <c r="M154" s="229">
        <f t="shared" ca="1" si="19"/>
        <v>0</v>
      </c>
      <c r="N154" s="165">
        <v>0</v>
      </c>
      <c r="O154" s="230">
        <f t="shared" ca="1" si="20"/>
        <v>0</v>
      </c>
      <c r="P154" s="231" t="e">
        <f t="shared" ca="1" si="21"/>
        <v>#NAME?</v>
      </c>
      <c r="Q154" s="231" t="str">
        <f t="shared" ca="1" si="22"/>
        <v>-</v>
      </c>
      <c r="R154" s="232">
        <f t="shared" ca="1" si="23"/>
        <v>0</v>
      </c>
      <c r="S154" s="233" t="str">
        <f t="shared" ca="1" si="24"/>
        <v>-</v>
      </c>
    </row>
    <row r="155" spans="1:19">
      <c r="A155" s="138"/>
      <c r="B155" s="214"/>
      <c r="C155" s="215">
        <v>1025</v>
      </c>
      <c r="D155" s="216">
        <v>15.4</v>
      </c>
      <c r="J155" s="221">
        <f t="shared" si="17"/>
        <v>0</v>
      </c>
      <c r="K155" s="222">
        <v>0</v>
      </c>
      <c r="L155" s="228">
        <f t="shared" ca="1" si="18"/>
        <v>0</v>
      </c>
      <c r="M155" s="229">
        <f t="shared" ca="1" si="19"/>
        <v>0</v>
      </c>
      <c r="N155" s="165">
        <v>0</v>
      </c>
      <c r="O155" s="230">
        <f t="shared" ca="1" si="20"/>
        <v>0</v>
      </c>
      <c r="P155" s="231" t="e">
        <f t="shared" ca="1" si="21"/>
        <v>#NAME?</v>
      </c>
      <c r="Q155" s="231" t="str">
        <f t="shared" ca="1" si="22"/>
        <v>-</v>
      </c>
      <c r="R155" s="232">
        <f t="shared" ca="1" si="23"/>
        <v>0</v>
      </c>
      <c r="S155" s="233" t="str">
        <f t="shared" ca="1" si="24"/>
        <v>-</v>
      </c>
    </row>
    <row r="156" spans="1:19">
      <c r="A156" s="138"/>
      <c r="B156" s="214"/>
      <c r="C156" s="215">
        <v>1027</v>
      </c>
      <c r="D156" s="216">
        <v>5.12</v>
      </c>
      <c r="J156" s="221">
        <f t="shared" si="17"/>
        <v>0</v>
      </c>
      <c r="K156" s="222">
        <v>0</v>
      </c>
      <c r="L156" s="228">
        <f t="shared" ca="1" si="18"/>
        <v>0</v>
      </c>
      <c r="M156" s="229">
        <f t="shared" ca="1" si="19"/>
        <v>0</v>
      </c>
      <c r="N156" s="165">
        <v>0</v>
      </c>
      <c r="O156" s="230">
        <f t="shared" ca="1" si="20"/>
        <v>0</v>
      </c>
      <c r="P156" s="231" t="e">
        <f t="shared" ca="1" si="21"/>
        <v>#NAME?</v>
      </c>
      <c r="Q156" s="231" t="str">
        <f t="shared" ca="1" si="22"/>
        <v>-</v>
      </c>
      <c r="R156" s="232">
        <f t="shared" ca="1" si="23"/>
        <v>0</v>
      </c>
      <c r="S156" s="233" t="str">
        <f t="shared" ca="1" si="24"/>
        <v>-</v>
      </c>
    </row>
    <row r="157" spans="1:19">
      <c r="A157" s="138"/>
      <c r="B157" s="214"/>
      <c r="C157" s="215">
        <v>1028</v>
      </c>
      <c r="D157" s="216">
        <v>5.12</v>
      </c>
      <c r="J157" s="221">
        <f t="shared" si="17"/>
        <v>0</v>
      </c>
      <c r="K157" s="222">
        <v>0</v>
      </c>
      <c r="L157" s="228">
        <f t="shared" ca="1" si="18"/>
        <v>0</v>
      </c>
      <c r="M157" s="229">
        <f t="shared" ca="1" si="19"/>
        <v>0</v>
      </c>
      <c r="N157" s="165">
        <v>0</v>
      </c>
      <c r="O157" s="230">
        <f t="shared" ca="1" si="20"/>
        <v>0</v>
      </c>
      <c r="P157" s="231" t="e">
        <f t="shared" ca="1" si="21"/>
        <v>#NAME?</v>
      </c>
      <c r="Q157" s="231" t="str">
        <f t="shared" ca="1" si="22"/>
        <v>-</v>
      </c>
      <c r="R157" s="232">
        <f t="shared" ca="1" si="23"/>
        <v>0</v>
      </c>
      <c r="S157" s="233" t="str">
        <f t="shared" ca="1" si="24"/>
        <v>-</v>
      </c>
    </row>
    <row r="158" spans="1:19">
      <c r="A158" s="138"/>
      <c r="B158" s="214"/>
      <c r="C158" s="215">
        <v>1029</v>
      </c>
      <c r="D158" s="216">
        <v>4.5999999999999996</v>
      </c>
      <c r="J158" s="221">
        <f t="shared" si="17"/>
        <v>0</v>
      </c>
      <c r="K158" s="222">
        <v>0</v>
      </c>
      <c r="L158" s="228">
        <f t="shared" ca="1" si="18"/>
        <v>0</v>
      </c>
      <c r="M158" s="229">
        <f t="shared" ca="1" si="19"/>
        <v>0</v>
      </c>
      <c r="N158" s="165">
        <v>0</v>
      </c>
      <c r="O158" s="230">
        <f t="shared" ca="1" si="20"/>
        <v>0</v>
      </c>
      <c r="P158" s="231" t="e">
        <f t="shared" ca="1" si="21"/>
        <v>#NAME?</v>
      </c>
      <c r="Q158" s="231" t="str">
        <f t="shared" ca="1" si="22"/>
        <v>-</v>
      </c>
      <c r="R158" s="232">
        <f t="shared" ca="1" si="23"/>
        <v>0</v>
      </c>
      <c r="S158" s="233" t="str">
        <f t="shared" ca="1" si="24"/>
        <v>-</v>
      </c>
    </row>
    <row r="159" spans="1:19">
      <c r="A159" s="138"/>
      <c r="B159" s="214"/>
      <c r="C159" s="215">
        <v>1030</v>
      </c>
      <c r="D159" s="216">
        <v>4.5999999999999996</v>
      </c>
      <c r="J159" s="221">
        <f t="shared" si="17"/>
        <v>0</v>
      </c>
      <c r="K159" s="222">
        <v>0</v>
      </c>
      <c r="L159" s="228">
        <f t="shared" ca="1" si="18"/>
        <v>0</v>
      </c>
      <c r="M159" s="229">
        <f t="shared" ca="1" si="19"/>
        <v>0</v>
      </c>
      <c r="N159" s="165">
        <v>0</v>
      </c>
      <c r="O159" s="230">
        <f t="shared" ca="1" si="20"/>
        <v>0</v>
      </c>
      <c r="P159" s="231" t="e">
        <f t="shared" ca="1" si="21"/>
        <v>#NAME?</v>
      </c>
      <c r="Q159" s="231" t="str">
        <f t="shared" ca="1" si="22"/>
        <v>-</v>
      </c>
      <c r="R159" s="232">
        <f t="shared" ca="1" si="23"/>
        <v>0</v>
      </c>
      <c r="S159" s="233" t="str">
        <f t="shared" ca="1" si="24"/>
        <v>-</v>
      </c>
    </row>
    <row r="160" spans="1:19">
      <c r="A160" s="138"/>
      <c r="B160" s="214"/>
      <c r="C160" s="215">
        <v>7300</v>
      </c>
      <c r="D160" s="216">
        <v>6.24</v>
      </c>
      <c r="J160" s="221">
        <f t="shared" si="17"/>
        <v>0</v>
      </c>
      <c r="K160" s="222">
        <v>0</v>
      </c>
      <c r="L160" s="228">
        <f t="shared" ca="1" si="18"/>
        <v>0</v>
      </c>
      <c r="M160" s="229">
        <f t="shared" ca="1" si="19"/>
        <v>0</v>
      </c>
      <c r="N160" s="165">
        <v>0</v>
      </c>
      <c r="O160" s="230">
        <f t="shared" ca="1" si="20"/>
        <v>0</v>
      </c>
      <c r="P160" s="231" t="e">
        <f t="shared" ca="1" si="21"/>
        <v>#NAME?</v>
      </c>
      <c r="Q160" s="231" t="str">
        <f t="shared" ca="1" si="22"/>
        <v>-</v>
      </c>
      <c r="R160" s="232">
        <f t="shared" ca="1" si="23"/>
        <v>0</v>
      </c>
      <c r="S160" s="233" t="str">
        <f t="shared" ca="1" si="24"/>
        <v>-</v>
      </c>
    </row>
    <row r="161" spans="1:19">
      <c r="A161" s="138"/>
      <c r="B161" s="214"/>
      <c r="C161" s="215">
        <v>7304</v>
      </c>
      <c r="D161" s="216">
        <v>6.24</v>
      </c>
      <c r="J161" s="221">
        <f t="shared" si="17"/>
        <v>0</v>
      </c>
      <c r="K161" s="222">
        <v>0</v>
      </c>
      <c r="L161" s="228">
        <f t="shared" ca="1" si="18"/>
        <v>0</v>
      </c>
      <c r="M161" s="229">
        <f t="shared" ca="1" si="19"/>
        <v>0</v>
      </c>
      <c r="N161" s="165">
        <v>0</v>
      </c>
      <c r="O161" s="230">
        <f t="shared" ca="1" si="20"/>
        <v>0</v>
      </c>
      <c r="P161" s="231" t="e">
        <f t="shared" ca="1" si="21"/>
        <v>#NAME?</v>
      </c>
      <c r="Q161" s="231" t="str">
        <f t="shared" ca="1" si="22"/>
        <v>-</v>
      </c>
      <c r="R161" s="232">
        <f t="shared" ca="1" si="23"/>
        <v>0</v>
      </c>
      <c r="S161" s="233" t="str">
        <f t="shared" ca="1" si="24"/>
        <v>-</v>
      </c>
    </row>
    <row r="162" spans="1:19">
      <c r="A162" s="138"/>
      <c r="B162" s="214"/>
      <c r="C162" s="215">
        <v>7305</v>
      </c>
      <c r="D162" s="216">
        <v>6</v>
      </c>
      <c r="J162" s="221">
        <f t="shared" si="17"/>
        <v>0</v>
      </c>
      <c r="K162" s="222">
        <v>0</v>
      </c>
      <c r="L162" s="228">
        <f t="shared" ca="1" si="18"/>
        <v>0</v>
      </c>
      <c r="M162" s="229">
        <f t="shared" ca="1" si="19"/>
        <v>0</v>
      </c>
      <c r="N162" s="165">
        <v>0</v>
      </c>
      <c r="O162" s="230">
        <f t="shared" ca="1" si="20"/>
        <v>0</v>
      </c>
      <c r="P162" s="231" t="e">
        <f t="shared" ca="1" si="21"/>
        <v>#NAME?</v>
      </c>
      <c r="Q162" s="231" t="str">
        <f t="shared" ca="1" si="22"/>
        <v>-</v>
      </c>
      <c r="R162" s="232">
        <f t="shared" ca="1" si="23"/>
        <v>0</v>
      </c>
      <c r="S162" s="233" t="str">
        <f t="shared" ca="1" si="24"/>
        <v>-</v>
      </c>
    </row>
    <row r="163" spans="1:19">
      <c r="A163" s="138"/>
      <c r="B163" s="214"/>
      <c r="C163" s="215">
        <v>7311</v>
      </c>
      <c r="D163" s="216">
        <v>5.58</v>
      </c>
      <c r="J163" s="221">
        <f t="shared" si="17"/>
        <v>0</v>
      </c>
      <c r="K163" s="222">
        <v>0</v>
      </c>
      <c r="L163" s="228">
        <f t="shared" ca="1" si="18"/>
        <v>0</v>
      </c>
      <c r="M163" s="229">
        <f t="shared" ca="1" si="19"/>
        <v>0</v>
      </c>
      <c r="N163" s="165">
        <v>0</v>
      </c>
      <c r="O163" s="230">
        <f t="shared" ca="1" si="20"/>
        <v>0</v>
      </c>
      <c r="P163" s="231" t="e">
        <f t="shared" ca="1" si="21"/>
        <v>#NAME?</v>
      </c>
      <c r="Q163" s="231" t="str">
        <f t="shared" ca="1" si="22"/>
        <v>-</v>
      </c>
      <c r="R163" s="232">
        <f t="shared" ca="1" si="23"/>
        <v>0</v>
      </c>
      <c r="S163" s="233" t="str">
        <f t="shared" ca="1" si="24"/>
        <v>-</v>
      </c>
    </row>
    <row r="164" spans="1:19">
      <c r="A164" s="138"/>
      <c r="B164" s="214"/>
      <c r="C164" s="215">
        <v>7313</v>
      </c>
      <c r="D164" s="216">
        <v>5.7</v>
      </c>
      <c r="J164" s="221">
        <f t="shared" si="17"/>
        <v>0</v>
      </c>
      <c r="K164" s="222">
        <v>0</v>
      </c>
      <c r="L164" s="228">
        <f t="shared" ca="1" si="18"/>
        <v>0</v>
      </c>
      <c r="M164" s="229">
        <f t="shared" ca="1" si="19"/>
        <v>0</v>
      </c>
      <c r="N164" s="165">
        <v>0</v>
      </c>
      <c r="O164" s="230">
        <f t="shared" ca="1" si="20"/>
        <v>0</v>
      </c>
      <c r="P164" s="231" t="e">
        <f t="shared" ca="1" si="21"/>
        <v>#NAME?</v>
      </c>
      <c r="Q164" s="231" t="str">
        <f t="shared" ca="1" si="22"/>
        <v>-</v>
      </c>
      <c r="R164" s="232">
        <f t="shared" ca="1" si="23"/>
        <v>0</v>
      </c>
      <c r="S164" s="233" t="str">
        <f t="shared" ca="1" si="24"/>
        <v>-</v>
      </c>
    </row>
    <row r="165" spans="1:19">
      <c r="A165" s="138"/>
      <c r="B165" s="214"/>
      <c r="C165" s="215">
        <v>7316</v>
      </c>
      <c r="D165" s="216">
        <v>8.1999999999999993</v>
      </c>
      <c r="J165" s="221">
        <f t="shared" si="17"/>
        <v>0</v>
      </c>
      <c r="K165" s="222">
        <v>0</v>
      </c>
      <c r="L165" s="228">
        <f t="shared" ca="1" si="18"/>
        <v>0</v>
      </c>
      <c r="M165" s="229">
        <f t="shared" ca="1" si="19"/>
        <v>0</v>
      </c>
      <c r="N165" s="165">
        <v>0</v>
      </c>
      <c r="O165" s="230">
        <f t="shared" ca="1" si="20"/>
        <v>0</v>
      </c>
      <c r="P165" s="231" t="e">
        <f t="shared" ca="1" si="21"/>
        <v>#NAME?</v>
      </c>
      <c r="Q165" s="231" t="str">
        <f t="shared" ca="1" si="22"/>
        <v>-</v>
      </c>
      <c r="R165" s="232">
        <f t="shared" ca="1" si="23"/>
        <v>0</v>
      </c>
      <c r="S165" s="233" t="str">
        <f t="shared" ca="1" si="24"/>
        <v>-</v>
      </c>
    </row>
    <row r="166" spans="1:19">
      <c r="A166" s="286"/>
      <c r="B166" s="214"/>
      <c r="C166" s="215">
        <v>7317</v>
      </c>
      <c r="D166" s="216">
        <v>8.92</v>
      </c>
      <c r="J166" s="221">
        <f t="shared" si="17"/>
        <v>0</v>
      </c>
      <c r="K166" s="222">
        <v>0</v>
      </c>
      <c r="L166" s="228">
        <f t="shared" ca="1" si="18"/>
        <v>0</v>
      </c>
      <c r="M166" s="229">
        <f t="shared" ca="1" si="19"/>
        <v>0</v>
      </c>
      <c r="N166" s="165">
        <v>0</v>
      </c>
      <c r="O166" s="230">
        <f t="shared" ca="1" si="20"/>
        <v>0</v>
      </c>
      <c r="P166" s="231" t="e">
        <f t="shared" ca="1" si="21"/>
        <v>#NAME?</v>
      </c>
      <c r="Q166" s="231" t="str">
        <f t="shared" ca="1" si="22"/>
        <v>-</v>
      </c>
      <c r="R166" s="232">
        <f t="shared" ca="1" si="23"/>
        <v>0</v>
      </c>
      <c r="S166" s="233" t="str">
        <f t="shared" ca="1" si="24"/>
        <v>-</v>
      </c>
    </row>
    <row r="167" spans="1:19">
      <c r="A167" s="286"/>
      <c r="B167" s="214"/>
      <c r="C167" s="215">
        <v>7318</v>
      </c>
      <c r="D167" s="216">
        <v>7.89</v>
      </c>
      <c r="J167" s="221">
        <f t="shared" si="17"/>
        <v>0</v>
      </c>
      <c r="K167" s="222">
        <v>0</v>
      </c>
      <c r="L167" s="228">
        <f t="shared" ca="1" si="18"/>
        <v>0</v>
      </c>
      <c r="M167" s="229">
        <f t="shared" ca="1" si="19"/>
        <v>0</v>
      </c>
      <c r="N167" s="165">
        <v>0</v>
      </c>
      <c r="O167" s="230">
        <f t="shared" ca="1" si="20"/>
        <v>0</v>
      </c>
      <c r="P167" s="231" t="e">
        <f t="shared" ca="1" si="21"/>
        <v>#NAME?</v>
      </c>
      <c r="Q167" s="231" t="str">
        <f t="shared" ca="1" si="22"/>
        <v>-</v>
      </c>
      <c r="R167" s="232">
        <f t="shared" ca="1" si="23"/>
        <v>0</v>
      </c>
      <c r="S167" s="233" t="str">
        <f t="shared" ca="1" si="24"/>
        <v>-</v>
      </c>
    </row>
    <row r="168" spans="1:19">
      <c r="A168" s="286"/>
      <c r="B168" s="214"/>
      <c r="C168" s="215">
        <v>7319</v>
      </c>
      <c r="D168" s="216">
        <v>8.8800000000000008</v>
      </c>
      <c r="J168" s="221">
        <f t="shared" si="17"/>
        <v>0</v>
      </c>
      <c r="K168" s="222">
        <v>0</v>
      </c>
      <c r="L168" s="228">
        <f t="shared" ca="1" si="18"/>
        <v>0</v>
      </c>
      <c r="M168" s="229">
        <f t="shared" ca="1" si="19"/>
        <v>0</v>
      </c>
      <c r="N168" s="165">
        <v>0</v>
      </c>
      <c r="O168" s="230">
        <f t="shared" ca="1" si="20"/>
        <v>0</v>
      </c>
      <c r="P168" s="231" t="e">
        <f t="shared" ca="1" si="21"/>
        <v>#NAME?</v>
      </c>
      <c r="Q168" s="231" t="str">
        <f t="shared" ca="1" si="22"/>
        <v>-</v>
      </c>
      <c r="R168" s="232">
        <f t="shared" ca="1" si="23"/>
        <v>0</v>
      </c>
      <c r="S168" s="233" t="str">
        <f t="shared" ca="1" si="24"/>
        <v>-</v>
      </c>
    </row>
    <row r="169" spans="1:19">
      <c r="A169" s="286"/>
      <c r="B169" s="214"/>
      <c r="C169" s="215">
        <v>7397</v>
      </c>
      <c r="D169" s="216">
        <v>13</v>
      </c>
      <c r="J169" s="221">
        <f t="shared" si="17"/>
        <v>0</v>
      </c>
      <c r="K169" s="222">
        <v>0</v>
      </c>
      <c r="L169" s="228">
        <f t="shared" ca="1" si="18"/>
        <v>0</v>
      </c>
      <c r="M169" s="229">
        <f t="shared" ca="1" si="19"/>
        <v>0</v>
      </c>
      <c r="N169" s="165">
        <v>0</v>
      </c>
      <c r="O169" s="230">
        <f t="shared" ca="1" si="20"/>
        <v>0</v>
      </c>
      <c r="P169" s="231" t="e">
        <f t="shared" ca="1" si="21"/>
        <v>#NAME?</v>
      </c>
      <c r="Q169" s="231" t="str">
        <f t="shared" ca="1" si="22"/>
        <v>-</v>
      </c>
      <c r="R169" s="232">
        <f t="shared" ca="1" si="23"/>
        <v>0</v>
      </c>
      <c r="S169" s="233" t="str">
        <f t="shared" ca="1" si="24"/>
        <v>-</v>
      </c>
    </row>
    <row r="170" spans="1:19">
      <c r="A170" s="286"/>
      <c r="B170" s="214"/>
      <c r="C170" s="215">
        <v>7416</v>
      </c>
      <c r="D170" s="216">
        <v>9.1</v>
      </c>
      <c r="J170" s="221">
        <f t="shared" si="17"/>
        <v>0</v>
      </c>
      <c r="K170" s="222">
        <v>0</v>
      </c>
      <c r="L170" s="228">
        <f t="shared" ca="1" si="18"/>
        <v>0</v>
      </c>
      <c r="M170" s="229">
        <f t="shared" ca="1" si="19"/>
        <v>0</v>
      </c>
      <c r="N170" s="165">
        <v>0</v>
      </c>
      <c r="O170" s="230">
        <f t="shared" ca="1" si="20"/>
        <v>0</v>
      </c>
      <c r="P170" s="231" t="e">
        <f t="shared" ca="1" si="21"/>
        <v>#NAME?</v>
      </c>
      <c r="Q170" s="231" t="str">
        <f t="shared" ca="1" si="22"/>
        <v>-</v>
      </c>
      <c r="R170" s="232">
        <f t="shared" ca="1" si="23"/>
        <v>0</v>
      </c>
      <c r="S170" s="233" t="str">
        <f t="shared" ca="1" si="24"/>
        <v>-</v>
      </c>
    </row>
    <row r="171" spans="1:19">
      <c r="A171" s="286"/>
      <c r="B171" s="214"/>
      <c r="C171" s="215">
        <v>7939</v>
      </c>
      <c r="D171" s="216">
        <v>9.6</v>
      </c>
      <c r="J171" s="221">
        <f t="shared" si="17"/>
        <v>0</v>
      </c>
      <c r="K171" s="222">
        <v>0</v>
      </c>
      <c r="L171" s="228">
        <f t="shared" ca="1" si="18"/>
        <v>0</v>
      </c>
      <c r="M171" s="229">
        <f t="shared" ca="1" si="19"/>
        <v>0</v>
      </c>
      <c r="N171" s="165">
        <v>0</v>
      </c>
      <c r="O171" s="230">
        <f t="shared" ca="1" si="20"/>
        <v>0</v>
      </c>
      <c r="P171" s="231" t="e">
        <f t="shared" ca="1" si="21"/>
        <v>#NAME?</v>
      </c>
      <c r="Q171" s="231" t="str">
        <f t="shared" ca="1" si="22"/>
        <v>-</v>
      </c>
      <c r="R171" s="232">
        <f t="shared" ca="1" si="23"/>
        <v>0</v>
      </c>
      <c r="S171" s="233" t="str">
        <f t="shared" ca="1" si="24"/>
        <v>-</v>
      </c>
    </row>
    <row r="172" spans="1:19">
      <c r="A172" s="287"/>
      <c r="B172" s="214"/>
      <c r="C172" s="215">
        <v>7232</v>
      </c>
      <c r="D172" s="216">
        <v>4.59</v>
      </c>
      <c r="J172" s="221">
        <f t="shared" si="17"/>
        <v>0</v>
      </c>
      <c r="K172" s="222">
        <v>0</v>
      </c>
      <c r="L172" s="228">
        <f t="shared" ca="1" si="18"/>
        <v>0</v>
      </c>
      <c r="M172" s="229">
        <f t="shared" ca="1" si="19"/>
        <v>0</v>
      </c>
      <c r="N172" s="165">
        <v>0</v>
      </c>
      <c r="O172" s="230">
        <f t="shared" ca="1" si="20"/>
        <v>0</v>
      </c>
      <c r="P172" s="231" t="e">
        <f t="shared" ca="1" si="21"/>
        <v>#NAME?</v>
      </c>
      <c r="Q172" s="231" t="str">
        <f t="shared" ca="1" si="22"/>
        <v>-</v>
      </c>
      <c r="R172" s="232">
        <f t="shared" ca="1" si="23"/>
        <v>0</v>
      </c>
      <c r="S172" s="233" t="str">
        <f t="shared" ca="1" si="24"/>
        <v>-</v>
      </c>
    </row>
    <row r="173" spans="1:19">
      <c r="A173" s="286"/>
      <c r="B173" s="214"/>
      <c r="C173" s="215">
        <v>7312</v>
      </c>
      <c r="D173" s="216">
        <v>8.6</v>
      </c>
      <c r="J173" s="221">
        <f t="shared" si="17"/>
        <v>0</v>
      </c>
      <c r="K173" s="222">
        <v>0</v>
      </c>
      <c r="L173" s="228">
        <f t="shared" ca="1" si="18"/>
        <v>0</v>
      </c>
      <c r="M173" s="229">
        <f t="shared" ca="1" si="19"/>
        <v>0</v>
      </c>
      <c r="N173" s="165">
        <v>0</v>
      </c>
      <c r="O173" s="230">
        <f t="shared" ca="1" si="20"/>
        <v>0</v>
      </c>
      <c r="P173" s="231" t="e">
        <f t="shared" ca="1" si="21"/>
        <v>#NAME?</v>
      </c>
      <c r="Q173" s="231" t="str">
        <f t="shared" ca="1" si="22"/>
        <v>-</v>
      </c>
      <c r="R173" s="232">
        <f t="shared" ca="1" si="23"/>
        <v>0</v>
      </c>
      <c r="S173" s="233" t="str">
        <f t="shared" ca="1" si="24"/>
        <v>-</v>
      </c>
    </row>
    <row r="174" spans="1:19">
      <c r="A174" s="287"/>
      <c r="B174" s="214"/>
      <c r="C174" s="215">
        <v>7315</v>
      </c>
      <c r="D174" s="216">
        <v>6.24</v>
      </c>
      <c r="J174" s="221">
        <f t="shared" si="17"/>
        <v>0</v>
      </c>
      <c r="K174" s="222">
        <v>0</v>
      </c>
      <c r="L174" s="228">
        <f t="shared" ca="1" si="18"/>
        <v>0</v>
      </c>
      <c r="M174" s="229">
        <f t="shared" ca="1" si="19"/>
        <v>0</v>
      </c>
      <c r="N174" s="165">
        <v>0</v>
      </c>
      <c r="O174" s="230">
        <f t="shared" ca="1" si="20"/>
        <v>0</v>
      </c>
      <c r="P174" s="231" t="e">
        <f t="shared" ca="1" si="21"/>
        <v>#NAME?</v>
      </c>
      <c r="Q174" s="231" t="str">
        <f t="shared" ca="1" si="22"/>
        <v>-</v>
      </c>
      <c r="R174" s="232">
        <f t="shared" ca="1" si="23"/>
        <v>0</v>
      </c>
      <c r="S174" s="233" t="str">
        <f t="shared" ca="1" si="24"/>
        <v>-</v>
      </c>
    </row>
    <row r="175" spans="1:19">
      <c r="A175" s="287"/>
      <c r="B175" s="214"/>
      <c r="C175" s="215">
        <v>7181</v>
      </c>
      <c r="D175" s="216">
        <v>13.9</v>
      </c>
      <c r="J175" s="221">
        <f t="shared" si="17"/>
        <v>0</v>
      </c>
      <c r="K175" s="222">
        <v>0</v>
      </c>
      <c r="L175" s="228">
        <f t="shared" ca="1" si="18"/>
        <v>0</v>
      </c>
      <c r="M175" s="229">
        <f t="shared" ca="1" si="19"/>
        <v>0</v>
      </c>
      <c r="N175" s="165">
        <v>0</v>
      </c>
      <c r="O175" s="230">
        <f t="shared" ca="1" si="20"/>
        <v>0</v>
      </c>
      <c r="P175" s="231" t="e">
        <f t="shared" ca="1" si="21"/>
        <v>#NAME?</v>
      </c>
      <c r="Q175" s="231" t="str">
        <f t="shared" ca="1" si="22"/>
        <v>-</v>
      </c>
      <c r="R175" s="232">
        <f t="shared" ca="1" si="23"/>
        <v>0</v>
      </c>
      <c r="S175" s="233" t="str">
        <f t="shared" ca="1" si="24"/>
        <v>-</v>
      </c>
    </row>
    <row r="176" spans="1:19">
      <c r="A176" s="286"/>
      <c r="B176" s="214"/>
      <c r="C176" s="215">
        <v>7183</v>
      </c>
      <c r="D176" s="216">
        <v>8.8000000000000007</v>
      </c>
      <c r="J176" s="221">
        <f t="shared" si="17"/>
        <v>0</v>
      </c>
      <c r="K176" s="222">
        <v>0</v>
      </c>
      <c r="L176" s="228">
        <f t="shared" ca="1" si="18"/>
        <v>0</v>
      </c>
      <c r="M176" s="229">
        <f t="shared" ca="1" si="19"/>
        <v>0</v>
      </c>
      <c r="N176" s="165">
        <v>0</v>
      </c>
      <c r="O176" s="230">
        <f t="shared" ca="1" si="20"/>
        <v>0</v>
      </c>
      <c r="P176" s="231" t="e">
        <f t="shared" ca="1" si="21"/>
        <v>#NAME?</v>
      </c>
      <c r="Q176" s="231" t="str">
        <f t="shared" ca="1" si="22"/>
        <v>-</v>
      </c>
      <c r="R176" s="232">
        <f t="shared" ca="1" si="23"/>
        <v>0</v>
      </c>
      <c r="S176" s="233" t="str">
        <f t="shared" ca="1" si="24"/>
        <v>-</v>
      </c>
    </row>
    <row r="177" spans="1:19">
      <c r="A177" s="287"/>
      <c r="B177" s="214"/>
      <c r="C177" s="215">
        <v>7186</v>
      </c>
      <c r="D177" s="216">
        <v>10</v>
      </c>
      <c r="J177" s="221">
        <f t="shared" si="17"/>
        <v>0</v>
      </c>
      <c r="K177" s="222">
        <v>0</v>
      </c>
      <c r="L177" s="228">
        <f t="shared" ca="1" si="18"/>
        <v>0</v>
      </c>
      <c r="M177" s="229">
        <f t="shared" ca="1" si="19"/>
        <v>0</v>
      </c>
      <c r="N177" s="165">
        <v>0</v>
      </c>
      <c r="O177" s="230">
        <f t="shared" ca="1" si="20"/>
        <v>0</v>
      </c>
      <c r="P177" s="231" t="e">
        <f t="shared" ca="1" si="21"/>
        <v>#NAME?</v>
      </c>
      <c r="Q177" s="231" t="str">
        <f t="shared" ca="1" si="22"/>
        <v>-</v>
      </c>
      <c r="R177" s="232">
        <f t="shared" ca="1" si="23"/>
        <v>0</v>
      </c>
      <c r="S177" s="233" t="str">
        <f t="shared" ca="1" si="24"/>
        <v>-</v>
      </c>
    </row>
    <row r="178" spans="1:19">
      <c r="A178" s="287"/>
      <c r="B178" s="214"/>
      <c r="C178" s="215">
        <v>7195</v>
      </c>
      <c r="D178" s="216">
        <v>8.8000000000000007</v>
      </c>
      <c r="J178" s="221">
        <f t="shared" si="17"/>
        <v>0</v>
      </c>
      <c r="K178" s="222">
        <v>0</v>
      </c>
      <c r="L178" s="228">
        <f t="shared" ca="1" si="18"/>
        <v>0</v>
      </c>
      <c r="M178" s="229">
        <f t="shared" ca="1" si="19"/>
        <v>0</v>
      </c>
      <c r="N178" s="165">
        <v>0</v>
      </c>
      <c r="O178" s="230">
        <f t="shared" ca="1" si="20"/>
        <v>0</v>
      </c>
      <c r="P178" s="231" t="e">
        <f t="shared" ca="1" si="21"/>
        <v>#NAME?</v>
      </c>
      <c r="Q178" s="231" t="str">
        <f t="shared" ca="1" si="22"/>
        <v>-</v>
      </c>
      <c r="R178" s="232">
        <f t="shared" ca="1" si="23"/>
        <v>0</v>
      </c>
      <c r="S178" s="233" t="str">
        <f t="shared" ca="1" si="24"/>
        <v>-</v>
      </c>
    </row>
    <row r="179" spans="1:19">
      <c r="A179" s="286"/>
      <c r="B179" s="214"/>
      <c r="C179" s="215">
        <v>7196</v>
      </c>
      <c r="D179" s="216">
        <v>8.8000000000000007</v>
      </c>
      <c r="J179" s="221">
        <f t="shared" si="17"/>
        <v>0</v>
      </c>
      <c r="K179" s="222">
        <v>0</v>
      </c>
      <c r="L179" s="228">
        <f t="shared" ca="1" si="18"/>
        <v>0</v>
      </c>
      <c r="M179" s="229">
        <f t="shared" ca="1" si="19"/>
        <v>0</v>
      </c>
      <c r="N179" s="165">
        <v>0</v>
      </c>
      <c r="O179" s="230">
        <f t="shared" ca="1" si="20"/>
        <v>0</v>
      </c>
      <c r="P179" s="231" t="e">
        <f t="shared" ca="1" si="21"/>
        <v>#NAME?</v>
      </c>
      <c r="Q179" s="231" t="str">
        <f t="shared" ca="1" si="22"/>
        <v>-</v>
      </c>
      <c r="R179" s="232">
        <f t="shared" ca="1" si="23"/>
        <v>0</v>
      </c>
      <c r="S179" s="233" t="str">
        <f t="shared" ca="1" si="24"/>
        <v>-</v>
      </c>
    </row>
    <row r="180" spans="1:19">
      <c r="A180" s="286"/>
      <c r="B180" s="214"/>
      <c r="C180" s="215">
        <v>7197</v>
      </c>
      <c r="D180" s="216">
        <v>8.8000000000000007</v>
      </c>
      <c r="J180" s="221">
        <f t="shared" si="17"/>
        <v>0</v>
      </c>
      <c r="K180" s="222">
        <v>0</v>
      </c>
      <c r="L180" s="228">
        <f t="shared" ca="1" si="18"/>
        <v>0</v>
      </c>
      <c r="M180" s="229">
        <f t="shared" ca="1" si="19"/>
        <v>0</v>
      </c>
      <c r="N180" s="165">
        <v>0</v>
      </c>
      <c r="O180" s="230">
        <f t="shared" ca="1" si="20"/>
        <v>0</v>
      </c>
      <c r="P180" s="231" t="e">
        <f t="shared" ca="1" si="21"/>
        <v>#NAME?</v>
      </c>
      <c r="Q180" s="231" t="str">
        <f t="shared" ca="1" si="22"/>
        <v>-</v>
      </c>
      <c r="R180" s="232">
        <f t="shared" ca="1" si="23"/>
        <v>0</v>
      </c>
      <c r="S180" s="233" t="str">
        <f t="shared" ca="1" si="24"/>
        <v>-</v>
      </c>
    </row>
    <row r="181" spans="1:19">
      <c r="A181" s="286"/>
      <c r="B181" s="214"/>
      <c r="C181" s="215">
        <v>7198</v>
      </c>
      <c r="D181" s="216">
        <v>8.8000000000000007</v>
      </c>
      <c r="J181" s="221">
        <f t="shared" si="17"/>
        <v>0</v>
      </c>
      <c r="K181" s="222">
        <v>0</v>
      </c>
      <c r="L181" s="228">
        <f t="shared" ca="1" si="18"/>
        <v>0</v>
      </c>
      <c r="M181" s="229">
        <f t="shared" ca="1" si="19"/>
        <v>0</v>
      </c>
      <c r="N181" s="165">
        <v>0</v>
      </c>
      <c r="O181" s="230">
        <f t="shared" ca="1" si="20"/>
        <v>0</v>
      </c>
      <c r="P181" s="231" t="e">
        <f t="shared" ca="1" si="21"/>
        <v>#NAME?</v>
      </c>
      <c r="Q181" s="231" t="str">
        <f t="shared" ca="1" si="22"/>
        <v>-</v>
      </c>
      <c r="R181" s="232">
        <f t="shared" ca="1" si="23"/>
        <v>0</v>
      </c>
      <c r="S181" s="233" t="str">
        <f t="shared" ca="1" si="24"/>
        <v>-</v>
      </c>
    </row>
    <row r="182" spans="1:19">
      <c r="A182" s="288"/>
      <c r="B182" s="214"/>
      <c r="C182" s="215">
        <v>7279</v>
      </c>
      <c r="D182" s="216">
        <v>7.8</v>
      </c>
      <c r="J182" s="221">
        <f t="shared" si="17"/>
        <v>0</v>
      </c>
      <c r="K182" s="222">
        <v>0</v>
      </c>
      <c r="L182" s="228">
        <f t="shared" ca="1" si="18"/>
        <v>0</v>
      </c>
      <c r="M182" s="229">
        <f t="shared" ca="1" si="19"/>
        <v>0</v>
      </c>
      <c r="N182" s="165">
        <v>0</v>
      </c>
      <c r="O182" s="230">
        <f t="shared" ca="1" si="20"/>
        <v>0</v>
      </c>
      <c r="P182" s="231" t="e">
        <f t="shared" ca="1" si="21"/>
        <v>#NAME?</v>
      </c>
      <c r="Q182" s="231" t="str">
        <f t="shared" ca="1" si="22"/>
        <v>-</v>
      </c>
      <c r="R182" s="232">
        <f t="shared" ca="1" si="23"/>
        <v>0</v>
      </c>
      <c r="S182" s="233" t="str">
        <f t="shared" ca="1" si="24"/>
        <v>-</v>
      </c>
    </row>
    <row r="183" spans="1:19">
      <c r="A183" s="288"/>
      <c r="B183" s="214"/>
      <c r="C183" s="215">
        <v>7280</v>
      </c>
      <c r="D183" s="216">
        <v>7.8</v>
      </c>
      <c r="J183" s="221">
        <f t="shared" si="17"/>
        <v>0</v>
      </c>
      <c r="K183" s="222">
        <v>0</v>
      </c>
      <c r="L183" s="228">
        <f t="shared" ca="1" si="18"/>
        <v>0</v>
      </c>
      <c r="M183" s="229">
        <f t="shared" ca="1" si="19"/>
        <v>0</v>
      </c>
      <c r="N183" s="165">
        <v>0</v>
      </c>
      <c r="O183" s="230">
        <f t="shared" ca="1" si="20"/>
        <v>0</v>
      </c>
      <c r="P183" s="231" t="e">
        <f t="shared" ca="1" si="21"/>
        <v>#NAME?</v>
      </c>
      <c r="Q183" s="231" t="str">
        <f t="shared" ca="1" si="22"/>
        <v>-</v>
      </c>
      <c r="R183" s="232">
        <f t="shared" ca="1" si="23"/>
        <v>0</v>
      </c>
      <c r="S183" s="233" t="str">
        <f t="shared" ca="1" si="24"/>
        <v>-</v>
      </c>
    </row>
    <row r="184" spans="1:19">
      <c r="A184" s="288"/>
      <c r="B184" s="214"/>
      <c r="C184" s="215">
        <v>7281</v>
      </c>
      <c r="D184" s="216">
        <v>7.8</v>
      </c>
      <c r="J184" s="221">
        <f t="shared" si="17"/>
        <v>0</v>
      </c>
      <c r="K184" s="222">
        <v>0</v>
      </c>
      <c r="L184" s="228">
        <f t="shared" ca="1" si="18"/>
        <v>0</v>
      </c>
      <c r="M184" s="229">
        <f t="shared" ca="1" si="19"/>
        <v>0</v>
      </c>
      <c r="N184" s="165">
        <v>0</v>
      </c>
      <c r="O184" s="230">
        <f t="shared" ca="1" si="20"/>
        <v>0</v>
      </c>
      <c r="P184" s="231" t="e">
        <f t="shared" ca="1" si="21"/>
        <v>#NAME?</v>
      </c>
      <c r="Q184" s="231" t="str">
        <f t="shared" ca="1" si="22"/>
        <v>-</v>
      </c>
      <c r="R184" s="232">
        <f t="shared" ca="1" si="23"/>
        <v>0</v>
      </c>
      <c r="S184" s="233" t="str">
        <f t="shared" ca="1" si="24"/>
        <v>-</v>
      </c>
    </row>
    <row r="185" spans="1:19">
      <c r="A185" s="288"/>
      <c r="B185" s="214"/>
      <c r="C185" s="215">
        <v>1545</v>
      </c>
      <c r="D185" s="216">
        <v>4.8</v>
      </c>
      <c r="J185" s="221">
        <f t="shared" si="17"/>
        <v>0</v>
      </c>
      <c r="K185" s="222">
        <v>0</v>
      </c>
      <c r="L185" s="228">
        <f t="shared" ca="1" si="18"/>
        <v>0</v>
      </c>
      <c r="M185" s="229">
        <f t="shared" ca="1" si="19"/>
        <v>0</v>
      </c>
      <c r="N185" s="165">
        <v>0</v>
      </c>
      <c r="O185" s="230">
        <f t="shared" ca="1" si="20"/>
        <v>0</v>
      </c>
      <c r="P185" s="231" t="e">
        <f t="shared" ca="1" si="21"/>
        <v>#NAME?</v>
      </c>
      <c r="Q185" s="231" t="str">
        <f t="shared" ca="1" si="22"/>
        <v>-</v>
      </c>
      <c r="R185" s="232">
        <f t="shared" ca="1" si="23"/>
        <v>0</v>
      </c>
      <c r="S185" s="233" t="str">
        <f t="shared" ca="1" si="24"/>
        <v>-</v>
      </c>
    </row>
    <row r="186" spans="1:19">
      <c r="A186" s="288"/>
      <c r="B186" s="214"/>
      <c r="C186" s="215">
        <v>1546</v>
      </c>
      <c r="D186" s="216">
        <v>7.2</v>
      </c>
      <c r="J186" s="221">
        <f t="shared" si="17"/>
        <v>0</v>
      </c>
      <c r="K186" s="222">
        <v>0</v>
      </c>
      <c r="L186" s="228">
        <f t="shared" ca="1" si="18"/>
        <v>0</v>
      </c>
      <c r="M186" s="229">
        <f t="shared" ca="1" si="19"/>
        <v>0</v>
      </c>
      <c r="N186" s="165">
        <v>0</v>
      </c>
      <c r="O186" s="230">
        <f t="shared" ca="1" si="20"/>
        <v>0</v>
      </c>
      <c r="P186" s="231" t="e">
        <f t="shared" ca="1" si="21"/>
        <v>#NAME?</v>
      </c>
      <c r="Q186" s="231" t="str">
        <f t="shared" ca="1" si="22"/>
        <v>-</v>
      </c>
      <c r="R186" s="232">
        <f t="shared" ca="1" si="23"/>
        <v>0</v>
      </c>
      <c r="S186" s="233" t="str">
        <f t="shared" ca="1" si="24"/>
        <v>-</v>
      </c>
    </row>
    <row r="187" spans="1:19">
      <c r="A187" s="288"/>
      <c r="B187" s="214"/>
      <c r="C187" s="215">
        <v>1547</v>
      </c>
      <c r="D187" s="216">
        <v>9</v>
      </c>
      <c r="J187" s="221">
        <f t="shared" si="17"/>
        <v>0</v>
      </c>
      <c r="K187" s="222">
        <v>0</v>
      </c>
      <c r="L187" s="228">
        <f t="shared" ca="1" si="18"/>
        <v>0</v>
      </c>
      <c r="M187" s="229">
        <f t="shared" ca="1" si="19"/>
        <v>0</v>
      </c>
      <c r="N187" s="165">
        <v>0</v>
      </c>
      <c r="O187" s="230">
        <f t="shared" ca="1" si="20"/>
        <v>0</v>
      </c>
      <c r="P187" s="231" t="e">
        <f t="shared" ca="1" si="21"/>
        <v>#NAME?</v>
      </c>
      <c r="Q187" s="231" t="str">
        <f t="shared" ca="1" si="22"/>
        <v>-</v>
      </c>
      <c r="R187" s="232">
        <f t="shared" ca="1" si="23"/>
        <v>0</v>
      </c>
      <c r="S187" s="233" t="str">
        <f t="shared" ca="1" si="24"/>
        <v>-</v>
      </c>
    </row>
    <row r="188" spans="1:19">
      <c r="A188" s="288"/>
      <c r="B188" s="214"/>
      <c r="C188" s="215">
        <v>1550</v>
      </c>
      <c r="D188" s="216">
        <v>9</v>
      </c>
      <c r="J188" s="221">
        <f t="shared" si="17"/>
        <v>0</v>
      </c>
      <c r="K188" s="222">
        <v>0</v>
      </c>
      <c r="L188" s="228">
        <f t="shared" ca="1" si="18"/>
        <v>0</v>
      </c>
      <c r="M188" s="229">
        <f t="shared" ca="1" si="19"/>
        <v>0</v>
      </c>
      <c r="N188" s="165">
        <v>0</v>
      </c>
      <c r="O188" s="230">
        <f t="shared" ca="1" si="20"/>
        <v>0</v>
      </c>
      <c r="P188" s="231" t="e">
        <f t="shared" ca="1" si="21"/>
        <v>#NAME?</v>
      </c>
      <c r="Q188" s="231" t="str">
        <f t="shared" ca="1" si="22"/>
        <v>-</v>
      </c>
      <c r="R188" s="232">
        <f t="shared" ca="1" si="23"/>
        <v>0</v>
      </c>
      <c r="S188" s="233" t="str">
        <f t="shared" ca="1" si="24"/>
        <v>-</v>
      </c>
    </row>
    <row r="189" spans="1:19">
      <c r="A189" s="288"/>
      <c r="B189" s="214"/>
      <c r="C189" s="215">
        <v>1551</v>
      </c>
      <c r="D189" s="216">
        <v>13</v>
      </c>
      <c r="J189" s="221">
        <f t="shared" si="17"/>
        <v>0</v>
      </c>
      <c r="K189" s="222">
        <v>0</v>
      </c>
      <c r="L189" s="228">
        <f t="shared" ca="1" si="18"/>
        <v>0</v>
      </c>
      <c r="M189" s="229">
        <f t="shared" ca="1" si="19"/>
        <v>0</v>
      </c>
      <c r="N189" s="165">
        <v>0</v>
      </c>
      <c r="O189" s="230">
        <f t="shared" ca="1" si="20"/>
        <v>0</v>
      </c>
      <c r="P189" s="231" t="e">
        <f t="shared" ca="1" si="21"/>
        <v>#NAME?</v>
      </c>
      <c r="Q189" s="231" t="str">
        <f t="shared" ca="1" si="22"/>
        <v>-</v>
      </c>
      <c r="R189" s="232">
        <f t="shared" ca="1" si="23"/>
        <v>0</v>
      </c>
      <c r="S189" s="233" t="str">
        <f t="shared" ca="1" si="24"/>
        <v>-</v>
      </c>
    </row>
    <row r="190" spans="1:19">
      <c r="A190" s="288"/>
      <c r="B190" s="214"/>
      <c r="C190" s="215">
        <v>1552</v>
      </c>
      <c r="D190" s="216">
        <v>12</v>
      </c>
      <c r="J190" s="221">
        <f t="shared" si="17"/>
        <v>0</v>
      </c>
      <c r="K190" s="222">
        <v>0</v>
      </c>
      <c r="L190" s="228">
        <f t="shared" ca="1" si="18"/>
        <v>0</v>
      </c>
      <c r="M190" s="229">
        <f t="shared" ca="1" si="19"/>
        <v>0</v>
      </c>
      <c r="N190" s="165">
        <v>0</v>
      </c>
      <c r="O190" s="230">
        <f t="shared" ca="1" si="20"/>
        <v>0</v>
      </c>
      <c r="P190" s="231" t="e">
        <f t="shared" ca="1" si="21"/>
        <v>#NAME?</v>
      </c>
      <c r="Q190" s="231" t="str">
        <f t="shared" ca="1" si="22"/>
        <v>-</v>
      </c>
      <c r="R190" s="232">
        <f t="shared" ca="1" si="23"/>
        <v>0</v>
      </c>
      <c r="S190" s="233" t="str">
        <f t="shared" ca="1" si="24"/>
        <v>-</v>
      </c>
    </row>
    <row r="191" spans="1:19">
      <c r="A191" s="288"/>
      <c r="B191" s="214"/>
      <c r="C191" s="215">
        <v>1553</v>
      </c>
      <c r="D191" s="216">
        <v>9.24</v>
      </c>
      <c r="J191" s="221">
        <f t="shared" si="17"/>
        <v>0</v>
      </c>
      <c r="K191" s="222">
        <v>0</v>
      </c>
      <c r="L191" s="228">
        <f t="shared" ca="1" si="18"/>
        <v>0</v>
      </c>
      <c r="M191" s="229">
        <f t="shared" ca="1" si="19"/>
        <v>0</v>
      </c>
      <c r="N191" s="165">
        <v>0</v>
      </c>
      <c r="O191" s="230">
        <f t="shared" ca="1" si="20"/>
        <v>0</v>
      </c>
      <c r="P191" s="231" t="e">
        <f t="shared" ca="1" si="21"/>
        <v>#NAME?</v>
      </c>
      <c r="Q191" s="231" t="str">
        <f t="shared" ca="1" si="22"/>
        <v>-</v>
      </c>
      <c r="R191" s="232">
        <f t="shared" ca="1" si="23"/>
        <v>0</v>
      </c>
      <c r="S191" s="233" t="str">
        <f t="shared" ca="1" si="24"/>
        <v>-</v>
      </c>
    </row>
    <row r="192" spans="1:19">
      <c r="A192" s="288"/>
      <c r="B192" s="214"/>
      <c r="C192" s="215">
        <v>1554</v>
      </c>
      <c r="D192" s="216">
        <v>9.24</v>
      </c>
      <c r="J192" s="221">
        <f t="shared" si="17"/>
        <v>0</v>
      </c>
      <c r="K192" s="222">
        <v>0</v>
      </c>
      <c r="L192" s="228">
        <f t="shared" ca="1" si="18"/>
        <v>0</v>
      </c>
      <c r="M192" s="229">
        <f t="shared" ca="1" si="19"/>
        <v>0</v>
      </c>
      <c r="N192" s="165">
        <v>0</v>
      </c>
      <c r="O192" s="230">
        <f t="shared" ca="1" si="20"/>
        <v>0</v>
      </c>
      <c r="P192" s="231" t="e">
        <f t="shared" ca="1" si="21"/>
        <v>#NAME?</v>
      </c>
      <c r="Q192" s="231" t="str">
        <f t="shared" ca="1" si="22"/>
        <v>-</v>
      </c>
      <c r="R192" s="232">
        <f t="shared" ca="1" si="23"/>
        <v>0</v>
      </c>
      <c r="S192" s="233" t="str">
        <f t="shared" ca="1" si="24"/>
        <v>-</v>
      </c>
    </row>
    <row r="193" spans="1:19">
      <c r="A193" s="288"/>
      <c r="B193" s="214"/>
      <c r="C193" s="215">
        <v>1555</v>
      </c>
      <c r="D193" s="216">
        <v>9.24</v>
      </c>
      <c r="J193" s="221">
        <f t="shared" si="17"/>
        <v>0</v>
      </c>
      <c r="K193" s="222">
        <v>0</v>
      </c>
      <c r="L193" s="228">
        <f t="shared" ca="1" si="18"/>
        <v>0</v>
      </c>
      <c r="M193" s="229">
        <f t="shared" ca="1" si="19"/>
        <v>0</v>
      </c>
      <c r="N193" s="165">
        <v>0</v>
      </c>
      <c r="O193" s="230">
        <f t="shared" ca="1" si="20"/>
        <v>0</v>
      </c>
      <c r="P193" s="231" t="e">
        <f t="shared" ca="1" si="21"/>
        <v>#NAME?</v>
      </c>
      <c r="Q193" s="231" t="str">
        <f t="shared" ca="1" si="22"/>
        <v>-</v>
      </c>
      <c r="R193" s="232">
        <f t="shared" ca="1" si="23"/>
        <v>0</v>
      </c>
      <c r="S193" s="233" t="str">
        <f t="shared" ca="1" si="24"/>
        <v>-</v>
      </c>
    </row>
    <row r="194" spans="1:19">
      <c r="A194" s="288"/>
      <c r="B194" s="214"/>
      <c r="C194" s="215">
        <v>1556</v>
      </c>
      <c r="D194" s="216">
        <v>10.56</v>
      </c>
      <c r="J194" s="221">
        <f t="shared" si="17"/>
        <v>0</v>
      </c>
      <c r="K194" s="222">
        <v>0</v>
      </c>
      <c r="L194" s="228">
        <f t="shared" ca="1" si="18"/>
        <v>0</v>
      </c>
      <c r="M194" s="229">
        <f t="shared" ca="1" si="19"/>
        <v>0</v>
      </c>
      <c r="N194" s="165">
        <v>0</v>
      </c>
      <c r="O194" s="230">
        <f t="shared" ca="1" si="20"/>
        <v>0</v>
      </c>
      <c r="P194" s="231" t="e">
        <f t="shared" ca="1" si="21"/>
        <v>#NAME?</v>
      </c>
      <c r="Q194" s="231" t="str">
        <f t="shared" ca="1" si="22"/>
        <v>-</v>
      </c>
      <c r="R194" s="232">
        <f t="shared" ca="1" si="23"/>
        <v>0</v>
      </c>
      <c r="S194" s="233" t="str">
        <f t="shared" ca="1" si="24"/>
        <v>-</v>
      </c>
    </row>
    <row r="195" spans="1:19">
      <c r="A195" s="288"/>
      <c r="B195" s="214"/>
      <c r="C195" s="215">
        <v>1557</v>
      </c>
      <c r="D195" s="216">
        <v>8.58</v>
      </c>
      <c r="J195" s="221">
        <f t="shared" ref="J195:J258" si="25">T195</f>
        <v>0</v>
      </c>
      <c r="K195" s="222">
        <v>0</v>
      </c>
      <c r="L195" s="228">
        <f t="shared" ref="L195:L258" ca="1" si="26">IFERROR(M195/25,"")</f>
        <v>0</v>
      </c>
      <c r="M195" s="229">
        <f t="shared" ref="M195:M258" ca="1" si="27">IF(ISNUMBER(P195),Z195,0)</f>
        <v>0</v>
      </c>
      <c r="N195" s="165">
        <v>0</v>
      </c>
      <c r="O195" s="230">
        <f t="shared" ref="O195:O258" ca="1" si="28">IF(ISNUMBER(P195),X195,0)</f>
        <v>0</v>
      </c>
      <c r="P195" s="231" t="e">
        <f t="shared" ref="P195:P258" ca="1" si="29">_xludf.IFNA(Z195/_xlfn.XLOOKUP(T195,$A$2:$A$624,$B$2:$B$624,""),"")</f>
        <v>#NAME?</v>
      </c>
      <c r="Q195" s="231" t="str">
        <f t="shared" ref="Q195:Q258" ca="1" si="30">IFERROR(M195/O195,"-")</f>
        <v>-</v>
      </c>
      <c r="R195" s="232">
        <f t="shared" ref="R195:R258" ca="1" si="31">IF(ISNUMBER(P195),AE195,0)</f>
        <v>0</v>
      </c>
      <c r="S195" s="233" t="str">
        <f t="shared" ref="S195:S258" ca="1" si="32">IFERROR((N195/Q195),"-")</f>
        <v>-</v>
      </c>
    </row>
    <row r="196" spans="1:19">
      <c r="A196" s="289"/>
      <c r="B196" s="214"/>
      <c r="C196" s="215">
        <v>1558</v>
      </c>
      <c r="D196" s="216">
        <v>13.64</v>
      </c>
      <c r="J196" s="221">
        <f t="shared" si="25"/>
        <v>0</v>
      </c>
      <c r="K196" s="222">
        <v>0</v>
      </c>
      <c r="L196" s="228">
        <f t="shared" ca="1" si="26"/>
        <v>0</v>
      </c>
      <c r="M196" s="229">
        <f t="shared" ca="1" si="27"/>
        <v>0</v>
      </c>
      <c r="N196" s="165">
        <v>0</v>
      </c>
      <c r="O196" s="230">
        <f t="shared" ca="1" si="28"/>
        <v>0</v>
      </c>
      <c r="P196" s="231" t="e">
        <f t="shared" ca="1" si="29"/>
        <v>#NAME?</v>
      </c>
      <c r="Q196" s="231" t="str">
        <f t="shared" ca="1" si="30"/>
        <v>-</v>
      </c>
      <c r="R196" s="232">
        <f t="shared" ca="1" si="31"/>
        <v>0</v>
      </c>
      <c r="S196" s="233" t="str">
        <f t="shared" ca="1" si="32"/>
        <v>-</v>
      </c>
    </row>
    <row r="197" spans="1:19">
      <c r="A197" s="289"/>
      <c r="B197" s="214"/>
      <c r="C197" s="215">
        <v>1559</v>
      </c>
      <c r="D197" s="216">
        <v>10.56</v>
      </c>
      <c r="J197" s="221">
        <f t="shared" si="25"/>
        <v>0</v>
      </c>
      <c r="K197" s="222">
        <v>0</v>
      </c>
      <c r="L197" s="228">
        <f t="shared" ca="1" si="26"/>
        <v>0</v>
      </c>
      <c r="M197" s="229">
        <f t="shared" ca="1" si="27"/>
        <v>0</v>
      </c>
      <c r="N197" s="165">
        <v>0</v>
      </c>
      <c r="O197" s="230">
        <f t="shared" ca="1" si="28"/>
        <v>0</v>
      </c>
      <c r="P197" s="231" t="e">
        <f t="shared" ca="1" si="29"/>
        <v>#NAME?</v>
      </c>
      <c r="Q197" s="231" t="str">
        <f t="shared" ca="1" si="30"/>
        <v>-</v>
      </c>
      <c r="R197" s="232">
        <f t="shared" ca="1" si="31"/>
        <v>0</v>
      </c>
      <c r="S197" s="233" t="str">
        <f t="shared" ca="1" si="32"/>
        <v>-</v>
      </c>
    </row>
    <row r="198" spans="1:19">
      <c r="A198" s="138"/>
      <c r="B198" s="214"/>
      <c r="C198" s="215">
        <v>1560</v>
      </c>
      <c r="D198" s="216">
        <v>15.84</v>
      </c>
      <c r="J198" s="221">
        <f t="shared" si="25"/>
        <v>0</v>
      </c>
      <c r="K198" s="222">
        <v>0</v>
      </c>
      <c r="L198" s="228">
        <f t="shared" ca="1" si="26"/>
        <v>0</v>
      </c>
      <c r="M198" s="229">
        <f t="shared" ca="1" si="27"/>
        <v>0</v>
      </c>
      <c r="N198" s="165">
        <v>0</v>
      </c>
      <c r="O198" s="230">
        <f t="shared" ca="1" si="28"/>
        <v>0</v>
      </c>
      <c r="P198" s="231" t="e">
        <f t="shared" ca="1" si="29"/>
        <v>#NAME?</v>
      </c>
      <c r="Q198" s="231" t="str">
        <f t="shared" ca="1" si="30"/>
        <v>-</v>
      </c>
      <c r="R198" s="232">
        <f t="shared" ca="1" si="31"/>
        <v>0</v>
      </c>
      <c r="S198" s="233" t="str">
        <f t="shared" ca="1" si="32"/>
        <v>-</v>
      </c>
    </row>
    <row r="199" spans="1:19">
      <c r="A199" s="138"/>
      <c r="B199" s="214"/>
      <c r="C199" s="215">
        <v>1561</v>
      </c>
      <c r="D199" s="216">
        <v>9.24</v>
      </c>
      <c r="J199" s="221">
        <f t="shared" si="25"/>
        <v>0</v>
      </c>
      <c r="K199" s="222">
        <v>0</v>
      </c>
      <c r="L199" s="228">
        <f t="shared" ca="1" si="26"/>
        <v>0</v>
      </c>
      <c r="M199" s="229">
        <f t="shared" ca="1" si="27"/>
        <v>0</v>
      </c>
      <c r="N199" s="165">
        <v>0</v>
      </c>
      <c r="O199" s="230">
        <f t="shared" ca="1" si="28"/>
        <v>0</v>
      </c>
      <c r="P199" s="231" t="e">
        <f t="shared" ca="1" si="29"/>
        <v>#NAME?</v>
      </c>
      <c r="Q199" s="231" t="str">
        <f t="shared" ca="1" si="30"/>
        <v>-</v>
      </c>
      <c r="R199" s="232">
        <f t="shared" ca="1" si="31"/>
        <v>0</v>
      </c>
      <c r="S199" s="233" t="str">
        <f t="shared" ca="1" si="32"/>
        <v>-</v>
      </c>
    </row>
    <row r="200" spans="1:19">
      <c r="A200" s="138"/>
      <c r="B200" s="214"/>
      <c r="C200" s="215">
        <v>1562</v>
      </c>
      <c r="D200" s="216">
        <v>15.84</v>
      </c>
      <c r="J200" s="221">
        <f t="shared" si="25"/>
        <v>0</v>
      </c>
      <c r="K200" s="222">
        <v>0</v>
      </c>
      <c r="L200" s="228">
        <f t="shared" ca="1" si="26"/>
        <v>0</v>
      </c>
      <c r="M200" s="229">
        <f t="shared" ca="1" si="27"/>
        <v>0</v>
      </c>
      <c r="N200" s="165">
        <v>0</v>
      </c>
      <c r="O200" s="230">
        <f t="shared" ca="1" si="28"/>
        <v>0</v>
      </c>
      <c r="P200" s="231" t="e">
        <f t="shared" ca="1" si="29"/>
        <v>#NAME?</v>
      </c>
      <c r="Q200" s="231" t="str">
        <f t="shared" ca="1" si="30"/>
        <v>-</v>
      </c>
      <c r="R200" s="232">
        <f t="shared" ca="1" si="31"/>
        <v>0</v>
      </c>
      <c r="S200" s="233" t="str">
        <f t="shared" ca="1" si="32"/>
        <v>-</v>
      </c>
    </row>
    <row r="201" spans="1:19">
      <c r="A201" s="138"/>
      <c r="B201" s="214"/>
      <c r="C201" s="215">
        <v>1563</v>
      </c>
      <c r="D201" s="216">
        <v>11.88</v>
      </c>
      <c r="J201" s="221">
        <f t="shared" si="25"/>
        <v>0</v>
      </c>
      <c r="K201" s="222">
        <v>0</v>
      </c>
      <c r="L201" s="228">
        <f t="shared" ca="1" si="26"/>
        <v>0</v>
      </c>
      <c r="M201" s="229">
        <f t="shared" ca="1" si="27"/>
        <v>0</v>
      </c>
      <c r="N201" s="165">
        <v>0</v>
      </c>
      <c r="O201" s="230">
        <f t="shared" ca="1" si="28"/>
        <v>0</v>
      </c>
      <c r="P201" s="231" t="e">
        <f t="shared" ca="1" si="29"/>
        <v>#NAME?</v>
      </c>
      <c r="Q201" s="231" t="str">
        <f t="shared" ca="1" si="30"/>
        <v>-</v>
      </c>
      <c r="R201" s="232">
        <f t="shared" ca="1" si="31"/>
        <v>0</v>
      </c>
      <c r="S201" s="233" t="str">
        <f t="shared" ca="1" si="32"/>
        <v>-</v>
      </c>
    </row>
    <row r="202" spans="1:19">
      <c r="A202" s="138"/>
      <c r="B202" s="214"/>
      <c r="C202" s="215">
        <v>1564</v>
      </c>
      <c r="D202" s="216">
        <v>10.56</v>
      </c>
      <c r="J202" s="221">
        <f t="shared" si="25"/>
        <v>0</v>
      </c>
      <c r="K202" s="222">
        <v>0</v>
      </c>
      <c r="L202" s="228">
        <f t="shared" ca="1" si="26"/>
        <v>0</v>
      </c>
      <c r="M202" s="229">
        <f t="shared" ca="1" si="27"/>
        <v>0</v>
      </c>
      <c r="N202" s="165">
        <v>0</v>
      </c>
      <c r="O202" s="230">
        <f t="shared" ca="1" si="28"/>
        <v>0</v>
      </c>
      <c r="P202" s="231" t="e">
        <f t="shared" ca="1" si="29"/>
        <v>#NAME?</v>
      </c>
      <c r="Q202" s="231" t="str">
        <f t="shared" ca="1" si="30"/>
        <v>-</v>
      </c>
      <c r="R202" s="232">
        <f t="shared" ca="1" si="31"/>
        <v>0</v>
      </c>
      <c r="S202" s="233" t="str">
        <f t="shared" ca="1" si="32"/>
        <v>-</v>
      </c>
    </row>
    <row r="203" spans="1:19">
      <c r="A203" s="138"/>
      <c r="B203" s="214"/>
      <c r="C203" s="215">
        <v>1565</v>
      </c>
      <c r="D203" s="216">
        <v>8.91</v>
      </c>
      <c r="J203" s="221">
        <f t="shared" si="25"/>
        <v>0</v>
      </c>
      <c r="K203" s="222">
        <v>0</v>
      </c>
      <c r="L203" s="228">
        <f t="shared" ca="1" si="26"/>
        <v>0</v>
      </c>
      <c r="M203" s="229">
        <f t="shared" ca="1" si="27"/>
        <v>0</v>
      </c>
      <c r="N203" s="165">
        <v>0</v>
      </c>
      <c r="O203" s="230">
        <f t="shared" ca="1" si="28"/>
        <v>0</v>
      </c>
      <c r="P203" s="231" t="e">
        <f t="shared" ca="1" si="29"/>
        <v>#NAME?</v>
      </c>
      <c r="Q203" s="231" t="str">
        <f t="shared" ca="1" si="30"/>
        <v>-</v>
      </c>
      <c r="R203" s="232">
        <f t="shared" ca="1" si="31"/>
        <v>0</v>
      </c>
      <c r="S203" s="233" t="str">
        <f t="shared" ca="1" si="32"/>
        <v>-</v>
      </c>
    </row>
    <row r="204" spans="1:19">
      <c r="A204" s="290"/>
      <c r="B204" s="214"/>
      <c r="C204" s="215">
        <v>1566</v>
      </c>
      <c r="D204" s="216">
        <v>9</v>
      </c>
      <c r="J204" s="221">
        <f t="shared" si="25"/>
        <v>0</v>
      </c>
      <c r="K204" s="222">
        <v>0</v>
      </c>
      <c r="L204" s="228">
        <f t="shared" ca="1" si="26"/>
        <v>0</v>
      </c>
      <c r="M204" s="229">
        <f t="shared" ca="1" si="27"/>
        <v>0</v>
      </c>
      <c r="N204" s="165">
        <v>0</v>
      </c>
      <c r="O204" s="230">
        <f t="shared" ca="1" si="28"/>
        <v>0</v>
      </c>
      <c r="P204" s="231" t="e">
        <f t="shared" ca="1" si="29"/>
        <v>#NAME?</v>
      </c>
      <c r="Q204" s="231" t="str">
        <f t="shared" ca="1" si="30"/>
        <v>-</v>
      </c>
      <c r="R204" s="232">
        <f t="shared" ca="1" si="31"/>
        <v>0</v>
      </c>
      <c r="S204" s="233" t="str">
        <f t="shared" ca="1" si="32"/>
        <v>-</v>
      </c>
    </row>
    <row r="205" spans="1:19">
      <c r="A205" s="290"/>
      <c r="B205" s="214"/>
      <c r="C205" s="215">
        <v>1568</v>
      </c>
      <c r="D205" s="216">
        <v>9.24</v>
      </c>
      <c r="J205" s="221">
        <f t="shared" si="25"/>
        <v>0</v>
      </c>
      <c r="K205" s="222">
        <v>0</v>
      </c>
      <c r="L205" s="228">
        <f t="shared" ca="1" si="26"/>
        <v>0</v>
      </c>
      <c r="M205" s="229">
        <f t="shared" ca="1" si="27"/>
        <v>0</v>
      </c>
      <c r="N205" s="165">
        <v>0</v>
      </c>
      <c r="O205" s="230">
        <f t="shared" ca="1" si="28"/>
        <v>0</v>
      </c>
      <c r="P205" s="231" t="e">
        <f t="shared" ca="1" si="29"/>
        <v>#NAME?</v>
      </c>
      <c r="Q205" s="231" t="str">
        <f t="shared" ca="1" si="30"/>
        <v>-</v>
      </c>
      <c r="R205" s="232">
        <f t="shared" ca="1" si="31"/>
        <v>0</v>
      </c>
      <c r="S205" s="233" t="str">
        <f t="shared" ca="1" si="32"/>
        <v>-</v>
      </c>
    </row>
    <row r="206" spans="1:19">
      <c r="A206" s="290"/>
      <c r="B206" s="214"/>
      <c r="C206" s="215">
        <v>1569</v>
      </c>
      <c r="D206" s="216">
        <v>10.56</v>
      </c>
      <c r="J206" s="221">
        <f t="shared" si="25"/>
        <v>0</v>
      </c>
      <c r="K206" s="222">
        <v>0</v>
      </c>
      <c r="L206" s="228">
        <f t="shared" ca="1" si="26"/>
        <v>0</v>
      </c>
      <c r="M206" s="229">
        <f t="shared" ca="1" si="27"/>
        <v>0</v>
      </c>
      <c r="N206" s="165">
        <v>0</v>
      </c>
      <c r="O206" s="230">
        <f t="shared" ca="1" si="28"/>
        <v>0</v>
      </c>
      <c r="P206" s="231" t="e">
        <f t="shared" ca="1" si="29"/>
        <v>#NAME?</v>
      </c>
      <c r="Q206" s="231" t="str">
        <f t="shared" ca="1" si="30"/>
        <v>-</v>
      </c>
      <c r="R206" s="232">
        <f t="shared" ca="1" si="31"/>
        <v>0</v>
      </c>
      <c r="S206" s="233" t="str">
        <f t="shared" ca="1" si="32"/>
        <v>-</v>
      </c>
    </row>
    <row r="207" spans="1:19">
      <c r="A207" s="290"/>
      <c r="B207" s="214"/>
      <c r="C207" s="215">
        <v>1571</v>
      </c>
      <c r="D207" s="216">
        <v>10.119999999999999</v>
      </c>
      <c r="J207" s="221">
        <f t="shared" si="25"/>
        <v>0</v>
      </c>
      <c r="K207" s="222">
        <v>0</v>
      </c>
      <c r="L207" s="228">
        <f t="shared" ca="1" si="26"/>
        <v>0</v>
      </c>
      <c r="M207" s="229">
        <f t="shared" ca="1" si="27"/>
        <v>0</v>
      </c>
      <c r="N207" s="165">
        <v>0</v>
      </c>
      <c r="O207" s="230">
        <f t="shared" ca="1" si="28"/>
        <v>0</v>
      </c>
      <c r="P207" s="231" t="e">
        <f t="shared" ca="1" si="29"/>
        <v>#NAME?</v>
      </c>
      <c r="Q207" s="231" t="str">
        <f t="shared" ca="1" si="30"/>
        <v>-</v>
      </c>
      <c r="R207" s="232">
        <f t="shared" ca="1" si="31"/>
        <v>0</v>
      </c>
      <c r="S207" s="233" t="str">
        <f t="shared" ca="1" si="32"/>
        <v>-</v>
      </c>
    </row>
    <row r="208" spans="1:19">
      <c r="A208" s="290"/>
      <c r="B208" s="214"/>
      <c r="C208" s="215">
        <v>1572</v>
      </c>
      <c r="D208" s="216">
        <v>7.8</v>
      </c>
      <c r="J208" s="221">
        <f t="shared" si="25"/>
        <v>0</v>
      </c>
      <c r="K208" s="222">
        <v>0</v>
      </c>
      <c r="L208" s="228">
        <f t="shared" ca="1" si="26"/>
        <v>0</v>
      </c>
      <c r="M208" s="229">
        <f t="shared" ca="1" si="27"/>
        <v>0</v>
      </c>
      <c r="N208" s="165">
        <v>0</v>
      </c>
      <c r="O208" s="230">
        <f t="shared" ca="1" si="28"/>
        <v>0</v>
      </c>
      <c r="P208" s="231" t="e">
        <f t="shared" ca="1" si="29"/>
        <v>#NAME?</v>
      </c>
      <c r="Q208" s="231" t="str">
        <f t="shared" ca="1" si="30"/>
        <v>-</v>
      </c>
      <c r="R208" s="232">
        <f t="shared" ca="1" si="31"/>
        <v>0</v>
      </c>
      <c r="S208" s="233" t="str">
        <f t="shared" ca="1" si="32"/>
        <v>-</v>
      </c>
    </row>
    <row r="209" spans="1:19">
      <c r="A209" s="138"/>
      <c r="B209" s="214"/>
      <c r="C209" s="215">
        <v>1572</v>
      </c>
      <c r="D209" s="216">
        <v>9</v>
      </c>
      <c r="J209" s="221">
        <f t="shared" si="25"/>
        <v>0</v>
      </c>
      <c r="K209" s="222">
        <v>0</v>
      </c>
      <c r="L209" s="228">
        <f t="shared" ca="1" si="26"/>
        <v>0</v>
      </c>
      <c r="M209" s="229">
        <f t="shared" ca="1" si="27"/>
        <v>0</v>
      </c>
      <c r="N209" s="165">
        <v>0</v>
      </c>
      <c r="O209" s="230">
        <f t="shared" ca="1" si="28"/>
        <v>0</v>
      </c>
      <c r="P209" s="231" t="e">
        <f t="shared" ca="1" si="29"/>
        <v>#NAME?</v>
      </c>
      <c r="Q209" s="231" t="str">
        <f t="shared" ca="1" si="30"/>
        <v>-</v>
      </c>
      <c r="R209" s="232">
        <f t="shared" ca="1" si="31"/>
        <v>0</v>
      </c>
      <c r="S209" s="233" t="str">
        <f t="shared" ca="1" si="32"/>
        <v>-</v>
      </c>
    </row>
    <row r="210" spans="1:19">
      <c r="A210" s="138"/>
      <c r="B210" s="214"/>
      <c r="C210" s="215">
        <v>1573</v>
      </c>
      <c r="D210" s="216">
        <v>6.4</v>
      </c>
      <c r="J210" s="221">
        <f t="shared" si="25"/>
        <v>0</v>
      </c>
      <c r="K210" s="222">
        <v>0</v>
      </c>
      <c r="L210" s="228">
        <f t="shared" ca="1" si="26"/>
        <v>0</v>
      </c>
      <c r="M210" s="229">
        <f t="shared" ca="1" si="27"/>
        <v>0</v>
      </c>
      <c r="N210" s="165">
        <v>0</v>
      </c>
      <c r="O210" s="230">
        <f t="shared" ca="1" si="28"/>
        <v>0</v>
      </c>
      <c r="P210" s="231" t="e">
        <f t="shared" ca="1" si="29"/>
        <v>#NAME?</v>
      </c>
      <c r="Q210" s="231" t="str">
        <f t="shared" ca="1" si="30"/>
        <v>-</v>
      </c>
      <c r="R210" s="232">
        <f t="shared" ca="1" si="31"/>
        <v>0</v>
      </c>
      <c r="S210" s="233" t="str">
        <f t="shared" ca="1" si="32"/>
        <v>-</v>
      </c>
    </row>
    <row r="211" spans="1:19">
      <c r="A211" s="138"/>
      <c r="B211" s="214"/>
      <c r="C211" s="215">
        <v>1575</v>
      </c>
      <c r="D211" s="216">
        <v>8.6</v>
      </c>
      <c r="J211" s="221">
        <f t="shared" si="25"/>
        <v>0</v>
      </c>
      <c r="K211" s="222">
        <v>0</v>
      </c>
      <c r="L211" s="228">
        <f t="shared" ca="1" si="26"/>
        <v>0</v>
      </c>
      <c r="M211" s="229">
        <f t="shared" ca="1" si="27"/>
        <v>0</v>
      </c>
      <c r="N211" s="165">
        <v>0</v>
      </c>
      <c r="O211" s="230">
        <f t="shared" ca="1" si="28"/>
        <v>0</v>
      </c>
      <c r="P211" s="231" t="e">
        <f t="shared" ca="1" si="29"/>
        <v>#NAME?</v>
      </c>
      <c r="Q211" s="231" t="str">
        <f t="shared" ca="1" si="30"/>
        <v>-</v>
      </c>
      <c r="R211" s="232">
        <f t="shared" ca="1" si="31"/>
        <v>0</v>
      </c>
      <c r="S211" s="233" t="str">
        <f t="shared" ca="1" si="32"/>
        <v>-</v>
      </c>
    </row>
    <row r="212" spans="1:19">
      <c r="A212" s="138"/>
      <c r="B212" s="214"/>
      <c r="C212" s="215">
        <v>1581</v>
      </c>
      <c r="D212" s="216">
        <v>9.1999999999999993</v>
      </c>
      <c r="J212" s="221">
        <f t="shared" si="25"/>
        <v>0</v>
      </c>
      <c r="K212" s="222">
        <v>0</v>
      </c>
      <c r="L212" s="228">
        <f t="shared" ca="1" si="26"/>
        <v>0</v>
      </c>
      <c r="M212" s="229">
        <f t="shared" ca="1" si="27"/>
        <v>0</v>
      </c>
      <c r="N212" s="165">
        <v>0</v>
      </c>
      <c r="O212" s="230">
        <f t="shared" ca="1" si="28"/>
        <v>0</v>
      </c>
      <c r="P212" s="231" t="e">
        <f t="shared" ca="1" si="29"/>
        <v>#NAME?</v>
      </c>
      <c r="Q212" s="231" t="str">
        <f t="shared" ca="1" si="30"/>
        <v>-</v>
      </c>
      <c r="R212" s="232">
        <f t="shared" ca="1" si="31"/>
        <v>0</v>
      </c>
      <c r="S212" s="233" t="str">
        <f t="shared" ca="1" si="32"/>
        <v>-</v>
      </c>
    </row>
    <row r="213" spans="1:19">
      <c r="A213" s="138"/>
      <c r="B213" s="214"/>
      <c r="C213" s="215">
        <v>1582</v>
      </c>
      <c r="D213" s="216">
        <v>6</v>
      </c>
      <c r="J213" s="221">
        <f t="shared" si="25"/>
        <v>0</v>
      </c>
      <c r="K213" s="222">
        <v>0</v>
      </c>
      <c r="L213" s="228">
        <f t="shared" ca="1" si="26"/>
        <v>0</v>
      </c>
      <c r="M213" s="229">
        <f t="shared" ca="1" si="27"/>
        <v>0</v>
      </c>
      <c r="N213" s="165">
        <v>0</v>
      </c>
      <c r="O213" s="230">
        <f t="shared" ca="1" si="28"/>
        <v>0</v>
      </c>
      <c r="P213" s="231" t="e">
        <f t="shared" ca="1" si="29"/>
        <v>#NAME?</v>
      </c>
      <c r="Q213" s="231" t="str">
        <f t="shared" ca="1" si="30"/>
        <v>-</v>
      </c>
      <c r="R213" s="232">
        <f t="shared" ca="1" si="31"/>
        <v>0</v>
      </c>
      <c r="S213" s="233" t="str">
        <f t="shared" ca="1" si="32"/>
        <v>-</v>
      </c>
    </row>
    <row r="214" spans="1:19">
      <c r="A214" s="138"/>
      <c r="B214" s="214"/>
      <c r="C214" s="215">
        <v>1583</v>
      </c>
      <c r="D214" s="216">
        <v>9.6</v>
      </c>
      <c r="J214" s="221">
        <f t="shared" si="25"/>
        <v>0</v>
      </c>
      <c r="K214" s="222">
        <v>0</v>
      </c>
      <c r="L214" s="228">
        <f t="shared" ca="1" si="26"/>
        <v>0</v>
      </c>
      <c r="M214" s="229">
        <f t="shared" ca="1" si="27"/>
        <v>0</v>
      </c>
      <c r="N214" s="165">
        <v>0</v>
      </c>
      <c r="O214" s="230">
        <f t="shared" ca="1" si="28"/>
        <v>0</v>
      </c>
      <c r="P214" s="231" t="e">
        <f t="shared" ca="1" si="29"/>
        <v>#NAME?</v>
      </c>
      <c r="Q214" s="231" t="str">
        <f t="shared" ca="1" si="30"/>
        <v>-</v>
      </c>
      <c r="R214" s="232">
        <f t="shared" ca="1" si="31"/>
        <v>0</v>
      </c>
      <c r="S214" s="233" t="str">
        <f t="shared" ca="1" si="32"/>
        <v>-</v>
      </c>
    </row>
    <row r="215" spans="1:19">
      <c r="A215" s="138"/>
      <c r="B215" s="214"/>
      <c r="C215" s="215">
        <v>1584</v>
      </c>
      <c r="D215" s="216">
        <v>12.8</v>
      </c>
      <c r="J215" s="221">
        <f t="shared" si="25"/>
        <v>0</v>
      </c>
      <c r="K215" s="222">
        <v>0</v>
      </c>
      <c r="L215" s="228">
        <f t="shared" ca="1" si="26"/>
        <v>0</v>
      </c>
      <c r="M215" s="229">
        <f t="shared" ca="1" si="27"/>
        <v>0</v>
      </c>
      <c r="N215" s="165">
        <v>0</v>
      </c>
      <c r="O215" s="230">
        <f t="shared" ca="1" si="28"/>
        <v>0</v>
      </c>
      <c r="P215" s="231" t="e">
        <f t="shared" ca="1" si="29"/>
        <v>#NAME?</v>
      </c>
      <c r="Q215" s="231" t="str">
        <f t="shared" ca="1" si="30"/>
        <v>-</v>
      </c>
      <c r="R215" s="232">
        <f t="shared" ca="1" si="31"/>
        <v>0</v>
      </c>
      <c r="S215" s="233" t="str">
        <f t="shared" ca="1" si="32"/>
        <v>-</v>
      </c>
    </row>
    <row r="216" spans="1:19">
      <c r="A216" s="138"/>
      <c r="B216" s="214"/>
      <c r="C216" s="291">
        <v>1586</v>
      </c>
      <c r="D216" s="292">
        <v>8.8000000000000007</v>
      </c>
      <c r="J216" s="221">
        <f t="shared" si="25"/>
        <v>0</v>
      </c>
      <c r="K216" s="222">
        <v>0</v>
      </c>
      <c r="L216" s="228">
        <f t="shared" ca="1" si="26"/>
        <v>0</v>
      </c>
      <c r="M216" s="229">
        <f t="shared" ca="1" si="27"/>
        <v>0</v>
      </c>
      <c r="N216" s="165">
        <v>0</v>
      </c>
      <c r="O216" s="230">
        <f t="shared" ca="1" si="28"/>
        <v>0</v>
      </c>
      <c r="P216" s="231" t="e">
        <f t="shared" ca="1" si="29"/>
        <v>#NAME?</v>
      </c>
      <c r="Q216" s="231" t="str">
        <f t="shared" ca="1" si="30"/>
        <v>-</v>
      </c>
      <c r="R216" s="232">
        <f t="shared" ca="1" si="31"/>
        <v>0</v>
      </c>
      <c r="S216" s="233" t="str">
        <f t="shared" ca="1" si="32"/>
        <v>-</v>
      </c>
    </row>
    <row r="217" spans="1:19">
      <c r="A217" s="138"/>
      <c r="B217" s="214"/>
      <c r="C217" s="291">
        <v>1588</v>
      </c>
      <c r="D217" s="292">
        <v>9.6</v>
      </c>
      <c r="J217" s="221">
        <f t="shared" si="25"/>
        <v>0</v>
      </c>
      <c r="K217" s="222">
        <v>0</v>
      </c>
      <c r="L217" s="228">
        <f t="shared" ca="1" si="26"/>
        <v>0</v>
      </c>
      <c r="M217" s="229">
        <f t="shared" ca="1" si="27"/>
        <v>0</v>
      </c>
      <c r="N217" s="165">
        <v>0</v>
      </c>
      <c r="O217" s="230">
        <f t="shared" ca="1" si="28"/>
        <v>0</v>
      </c>
      <c r="P217" s="231" t="e">
        <f t="shared" ca="1" si="29"/>
        <v>#NAME?</v>
      </c>
      <c r="Q217" s="231" t="str">
        <f t="shared" ca="1" si="30"/>
        <v>-</v>
      </c>
      <c r="R217" s="232">
        <f t="shared" ca="1" si="31"/>
        <v>0</v>
      </c>
      <c r="S217" s="233" t="str">
        <f t="shared" ca="1" si="32"/>
        <v>-</v>
      </c>
    </row>
    <row r="218" spans="1:19">
      <c r="A218" s="138"/>
      <c r="B218" s="214"/>
      <c r="C218" s="291">
        <v>1589</v>
      </c>
      <c r="D218" s="292">
        <v>8.8000000000000007</v>
      </c>
      <c r="J218" s="221">
        <f t="shared" si="25"/>
        <v>0</v>
      </c>
      <c r="K218" s="222">
        <v>0</v>
      </c>
      <c r="L218" s="228">
        <f t="shared" ca="1" si="26"/>
        <v>0</v>
      </c>
      <c r="M218" s="229">
        <f t="shared" ca="1" si="27"/>
        <v>0</v>
      </c>
      <c r="N218" s="165">
        <v>0</v>
      </c>
      <c r="O218" s="230">
        <f t="shared" ca="1" si="28"/>
        <v>0</v>
      </c>
      <c r="P218" s="231" t="e">
        <f t="shared" ca="1" si="29"/>
        <v>#NAME?</v>
      </c>
      <c r="Q218" s="231" t="str">
        <f t="shared" ca="1" si="30"/>
        <v>-</v>
      </c>
      <c r="R218" s="232">
        <f t="shared" ca="1" si="31"/>
        <v>0</v>
      </c>
      <c r="S218" s="233" t="str">
        <f t="shared" ca="1" si="32"/>
        <v>-</v>
      </c>
    </row>
    <row r="219" spans="1:19">
      <c r="A219" s="138"/>
      <c r="B219" s="214"/>
      <c r="C219" s="291">
        <v>1592</v>
      </c>
      <c r="D219" s="292">
        <v>12.4</v>
      </c>
      <c r="J219" s="221">
        <f t="shared" si="25"/>
        <v>0</v>
      </c>
      <c r="K219" s="222">
        <v>0</v>
      </c>
      <c r="L219" s="228">
        <f t="shared" ca="1" si="26"/>
        <v>0</v>
      </c>
      <c r="M219" s="229">
        <f t="shared" ca="1" si="27"/>
        <v>0</v>
      </c>
      <c r="N219" s="165">
        <v>0</v>
      </c>
      <c r="O219" s="230">
        <f t="shared" ca="1" si="28"/>
        <v>0</v>
      </c>
      <c r="P219" s="231" t="e">
        <f t="shared" ca="1" si="29"/>
        <v>#NAME?</v>
      </c>
      <c r="Q219" s="231" t="str">
        <f t="shared" ca="1" si="30"/>
        <v>-</v>
      </c>
      <c r="R219" s="232">
        <f t="shared" ca="1" si="31"/>
        <v>0</v>
      </c>
      <c r="S219" s="233" t="str">
        <f t="shared" ca="1" si="32"/>
        <v>-</v>
      </c>
    </row>
    <row r="220" spans="1:19">
      <c r="A220" s="292"/>
      <c r="B220" s="293"/>
      <c r="C220" s="291">
        <v>1593</v>
      </c>
      <c r="D220" s="292">
        <v>9.24</v>
      </c>
      <c r="J220" s="221">
        <f t="shared" si="25"/>
        <v>0</v>
      </c>
      <c r="K220" s="222">
        <v>0</v>
      </c>
      <c r="L220" s="228">
        <f t="shared" ca="1" si="26"/>
        <v>0</v>
      </c>
      <c r="M220" s="229">
        <f t="shared" ca="1" si="27"/>
        <v>0</v>
      </c>
      <c r="N220" s="165">
        <v>0</v>
      </c>
      <c r="O220" s="230">
        <f t="shared" ca="1" si="28"/>
        <v>0</v>
      </c>
      <c r="P220" s="231" t="e">
        <f t="shared" ca="1" si="29"/>
        <v>#NAME?</v>
      </c>
      <c r="Q220" s="231" t="str">
        <f t="shared" ca="1" si="30"/>
        <v>-</v>
      </c>
      <c r="R220" s="232">
        <f t="shared" ca="1" si="31"/>
        <v>0</v>
      </c>
      <c r="S220" s="233" t="str">
        <f t="shared" ca="1" si="32"/>
        <v>-</v>
      </c>
    </row>
    <row r="221" spans="1:19">
      <c r="A221" s="292"/>
      <c r="B221" s="293"/>
      <c r="C221" s="291">
        <v>1594</v>
      </c>
      <c r="D221" s="292">
        <v>15.84</v>
      </c>
      <c r="J221" s="221">
        <f t="shared" si="25"/>
        <v>0</v>
      </c>
      <c r="K221" s="222">
        <v>0</v>
      </c>
      <c r="L221" s="228">
        <f t="shared" ca="1" si="26"/>
        <v>0</v>
      </c>
      <c r="M221" s="229">
        <f t="shared" ca="1" si="27"/>
        <v>0</v>
      </c>
      <c r="N221" s="165">
        <v>0</v>
      </c>
      <c r="O221" s="230">
        <f t="shared" ca="1" si="28"/>
        <v>0</v>
      </c>
      <c r="P221" s="231" t="e">
        <f t="shared" ca="1" si="29"/>
        <v>#NAME?</v>
      </c>
      <c r="Q221" s="231" t="str">
        <f t="shared" ca="1" si="30"/>
        <v>-</v>
      </c>
      <c r="R221" s="232">
        <f t="shared" ca="1" si="31"/>
        <v>0</v>
      </c>
      <c r="S221" s="233" t="str">
        <f t="shared" ca="1" si="32"/>
        <v>-</v>
      </c>
    </row>
    <row r="222" spans="1:19">
      <c r="A222" s="292"/>
      <c r="B222" s="293"/>
      <c r="C222" s="291">
        <v>1811</v>
      </c>
      <c r="D222" s="292">
        <v>10.6</v>
      </c>
      <c r="J222" s="221">
        <f t="shared" si="25"/>
        <v>0</v>
      </c>
      <c r="K222" s="222">
        <v>0</v>
      </c>
      <c r="L222" s="228">
        <f t="shared" ca="1" si="26"/>
        <v>0</v>
      </c>
      <c r="M222" s="229">
        <f t="shared" ca="1" si="27"/>
        <v>0</v>
      </c>
      <c r="N222" s="165">
        <v>0</v>
      </c>
      <c r="O222" s="230">
        <f t="shared" ca="1" si="28"/>
        <v>0</v>
      </c>
      <c r="P222" s="231" t="e">
        <f t="shared" ca="1" si="29"/>
        <v>#NAME?</v>
      </c>
      <c r="Q222" s="231" t="str">
        <f t="shared" ca="1" si="30"/>
        <v>-</v>
      </c>
      <c r="R222" s="232">
        <f t="shared" ca="1" si="31"/>
        <v>0</v>
      </c>
      <c r="S222" s="233" t="str">
        <f t="shared" ca="1" si="32"/>
        <v>-</v>
      </c>
    </row>
    <row r="223" spans="1:19">
      <c r="A223" s="292"/>
      <c r="B223" s="293"/>
      <c r="C223" s="291">
        <v>1812</v>
      </c>
      <c r="D223" s="292">
        <v>12</v>
      </c>
      <c r="J223" s="221">
        <f t="shared" si="25"/>
        <v>0</v>
      </c>
      <c r="K223" s="222">
        <v>0</v>
      </c>
      <c r="L223" s="228">
        <f t="shared" ca="1" si="26"/>
        <v>0</v>
      </c>
      <c r="M223" s="229">
        <f t="shared" ca="1" si="27"/>
        <v>0</v>
      </c>
      <c r="N223" s="165">
        <v>0</v>
      </c>
      <c r="O223" s="230">
        <f t="shared" ca="1" si="28"/>
        <v>0</v>
      </c>
      <c r="P223" s="231" t="e">
        <f t="shared" ca="1" si="29"/>
        <v>#NAME?</v>
      </c>
      <c r="Q223" s="231" t="str">
        <f t="shared" ca="1" si="30"/>
        <v>-</v>
      </c>
      <c r="R223" s="232">
        <f t="shared" ca="1" si="31"/>
        <v>0</v>
      </c>
      <c r="S223" s="233" t="str">
        <f t="shared" ca="1" si="32"/>
        <v>-</v>
      </c>
    </row>
    <row r="224" spans="1:19">
      <c r="A224" s="292"/>
      <c r="B224" s="293"/>
      <c r="C224" s="291">
        <v>1813</v>
      </c>
      <c r="D224" s="292">
        <v>15</v>
      </c>
      <c r="J224" s="221">
        <f t="shared" si="25"/>
        <v>0</v>
      </c>
      <c r="K224" s="222">
        <v>0</v>
      </c>
      <c r="L224" s="228">
        <f t="shared" ca="1" si="26"/>
        <v>0</v>
      </c>
      <c r="M224" s="229">
        <f t="shared" ca="1" si="27"/>
        <v>0</v>
      </c>
      <c r="N224" s="165">
        <v>0</v>
      </c>
      <c r="O224" s="230">
        <f t="shared" ca="1" si="28"/>
        <v>0</v>
      </c>
      <c r="P224" s="231" t="e">
        <f t="shared" ca="1" si="29"/>
        <v>#NAME?</v>
      </c>
      <c r="Q224" s="231" t="str">
        <f t="shared" ca="1" si="30"/>
        <v>-</v>
      </c>
      <c r="R224" s="232">
        <f t="shared" ca="1" si="31"/>
        <v>0</v>
      </c>
      <c r="S224" s="233" t="str">
        <f t="shared" ca="1" si="32"/>
        <v>-</v>
      </c>
    </row>
    <row r="225" spans="1:19">
      <c r="A225" s="292"/>
      <c r="B225" s="293"/>
      <c r="C225" s="291">
        <v>7142</v>
      </c>
      <c r="D225" s="292">
        <v>16.5</v>
      </c>
      <c r="J225" s="221">
        <f t="shared" si="25"/>
        <v>0</v>
      </c>
      <c r="K225" s="222">
        <v>0</v>
      </c>
      <c r="L225" s="228">
        <f t="shared" ca="1" si="26"/>
        <v>0</v>
      </c>
      <c r="M225" s="229">
        <f t="shared" ca="1" si="27"/>
        <v>0</v>
      </c>
      <c r="N225" s="165">
        <v>0</v>
      </c>
      <c r="O225" s="230">
        <f t="shared" ca="1" si="28"/>
        <v>0</v>
      </c>
      <c r="P225" s="231" t="e">
        <f t="shared" ca="1" si="29"/>
        <v>#NAME?</v>
      </c>
      <c r="Q225" s="231" t="str">
        <f t="shared" ca="1" si="30"/>
        <v>-</v>
      </c>
      <c r="R225" s="232">
        <f t="shared" ca="1" si="31"/>
        <v>0</v>
      </c>
      <c r="S225" s="233" t="str">
        <f t="shared" ca="1" si="32"/>
        <v>-</v>
      </c>
    </row>
    <row r="226" spans="1:19">
      <c r="A226" s="292"/>
      <c r="B226" s="293"/>
      <c r="C226" s="291">
        <v>1815</v>
      </c>
      <c r="D226" s="292">
        <v>13.2</v>
      </c>
      <c r="J226" s="221">
        <f t="shared" si="25"/>
        <v>0</v>
      </c>
      <c r="K226" s="222">
        <v>0</v>
      </c>
      <c r="L226" s="228">
        <f t="shared" ca="1" si="26"/>
        <v>0</v>
      </c>
      <c r="M226" s="229">
        <f t="shared" ca="1" si="27"/>
        <v>0</v>
      </c>
      <c r="N226" s="165">
        <v>0</v>
      </c>
      <c r="O226" s="230">
        <f t="shared" ca="1" si="28"/>
        <v>0</v>
      </c>
      <c r="P226" s="231" t="e">
        <f t="shared" ca="1" si="29"/>
        <v>#NAME?</v>
      </c>
      <c r="Q226" s="231" t="str">
        <f t="shared" ca="1" si="30"/>
        <v>-</v>
      </c>
      <c r="R226" s="232">
        <f t="shared" ca="1" si="31"/>
        <v>0</v>
      </c>
      <c r="S226" s="233" t="str">
        <f t="shared" ca="1" si="32"/>
        <v>-</v>
      </c>
    </row>
    <row r="227" spans="1:19">
      <c r="A227" s="292"/>
      <c r="B227" s="293"/>
      <c r="C227" s="291">
        <v>1816</v>
      </c>
      <c r="D227" s="292">
        <v>16.8</v>
      </c>
      <c r="J227" s="221">
        <f t="shared" si="25"/>
        <v>0</v>
      </c>
      <c r="K227" s="222">
        <v>0</v>
      </c>
      <c r="L227" s="228">
        <f t="shared" ca="1" si="26"/>
        <v>0</v>
      </c>
      <c r="M227" s="229">
        <f t="shared" ca="1" si="27"/>
        <v>0</v>
      </c>
      <c r="N227" s="165">
        <v>0</v>
      </c>
      <c r="O227" s="230">
        <f t="shared" ca="1" si="28"/>
        <v>0</v>
      </c>
      <c r="P227" s="231" t="e">
        <f t="shared" ca="1" si="29"/>
        <v>#NAME?</v>
      </c>
      <c r="Q227" s="231" t="str">
        <f t="shared" ca="1" si="30"/>
        <v>-</v>
      </c>
      <c r="R227" s="232">
        <f t="shared" ca="1" si="31"/>
        <v>0</v>
      </c>
      <c r="S227" s="233" t="str">
        <f t="shared" ca="1" si="32"/>
        <v>-</v>
      </c>
    </row>
    <row r="228" spans="1:19">
      <c r="A228" s="292"/>
      <c r="B228" s="293"/>
      <c r="C228" s="291">
        <v>1817</v>
      </c>
      <c r="D228" s="292">
        <v>13.2</v>
      </c>
      <c r="J228" s="221">
        <f t="shared" si="25"/>
        <v>0</v>
      </c>
      <c r="K228" s="222">
        <v>0</v>
      </c>
      <c r="L228" s="228">
        <f t="shared" ca="1" si="26"/>
        <v>0</v>
      </c>
      <c r="M228" s="229">
        <f t="shared" ca="1" si="27"/>
        <v>0</v>
      </c>
      <c r="N228" s="165">
        <v>0</v>
      </c>
      <c r="O228" s="230">
        <f t="shared" ca="1" si="28"/>
        <v>0</v>
      </c>
      <c r="P228" s="231" t="e">
        <f t="shared" ca="1" si="29"/>
        <v>#NAME?</v>
      </c>
      <c r="Q228" s="231" t="str">
        <f t="shared" ca="1" si="30"/>
        <v>-</v>
      </c>
      <c r="R228" s="232">
        <f t="shared" ca="1" si="31"/>
        <v>0</v>
      </c>
      <c r="S228" s="233" t="str">
        <f t="shared" ca="1" si="32"/>
        <v>-</v>
      </c>
    </row>
    <row r="229" spans="1:19">
      <c r="A229" s="292"/>
      <c r="B229" s="293"/>
      <c r="C229" s="291">
        <v>1818</v>
      </c>
      <c r="D229" s="292">
        <v>16.8</v>
      </c>
      <c r="J229" s="221">
        <f t="shared" si="25"/>
        <v>0</v>
      </c>
      <c r="K229" s="222">
        <v>0</v>
      </c>
      <c r="L229" s="228">
        <f t="shared" ca="1" si="26"/>
        <v>0</v>
      </c>
      <c r="M229" s="229">
        <f t="shared" ca="1" si="27"/>
        <v>0</v>
      </c>
      <c r="N229" s="165">
        <v>0</v>
      </c>
      <c r="O229" s="230">
        <f t="shared" ca="1" si="28"/>
        <v>0</v>
      </c>
      <c r="P229" s="231" t="e">
        <f t="shared" ca="1" si="29"/>
        <v>#NAME?</v>
      </c>
      <c r="Q229" s="231" t="str">
        <f t="shared" ca="1" si="30"/>
        <v>-</v>
      </c>
      <c r="R229" s="232">
        <f t="shared" ca="1" si="31"/>
        <v>0</v>
      </c>
      <c r="S229" s="233" t="str">
        <f t="shared" ca="1" si="32"/>
        <v>-</v>
      </c>
    </row>
    <row r="230" spans="1:19">
      <c r="A230" s="292"/>
      <c r="B230" s="293"/>
      <c r="C230" s="291">
        <v>1819</v>
      </c>
      <c r="D230" s="292">
        <v>14</v>
      </c>
      <c r="J230" s="221">
        <f t="shared" si="25"/>
        <v>0</v>
      </c>
      <c r="K230" s="222">
        <v>0</v>
      </c>
      <c r="L230" s="228">
        <f t="shared" ca="1" si="26"/>
        <v>0</v>
      </c>
      <c r="M230" s="229">
        <f t="shared" ca="1" si="27"/>
        <v>0</v>
      </c>
      <c r="N230" s="165">
        <v>0</v>
      </c>
      <c r="O230" s="230">
        <f t="shared" ca="1" si="28"/>
        <v>0</v>
      </c>
      <c r="P230" s="231" t="e">
        <f t="shared" ca="1" si="29"/>
        <v>#NAME?</v>
      </c>
      <c r="Q230" s="231" t="str">
        <f t="shared" ca="1" si="30"/>
        <v>-</v>
      </c>
      <c r="R230" s="232">
        <f t="shared" ca="1" si="31"/>
        <v>0</v>
      </c>
      <c r="S230" s="233" t="str">
        <f t="shared" ca="1" si="32"/>
        <v>-</v>
      </c>
    </row>
    <row r="231" spans="1:19">
      <c r="A231" s="292"/>
      <c r="B231" s="293"/>
      <c r="C231" s="291">
        <v>1820</v>
      </c>
      <c r="D231" s="292">
        <v>11.9</v>
      </c>
      <c r="J231" s="221">
        <f t="shared" si="25"/>
        <v>0</v>
      </c>
      <c r="K231" s="222">
        <v>0</v>
      </c>
      <c r="L231" s="228">
        <f t="shared" ca="1" si="26"/>
        <v>0</v>
      </c>
      <c r="M231" s="229">
        <f t="shared" ca="1" si="27"/>
        <v>0</v>
      </c>
      <c r="N231" s="165">
        <v>0</v>
      </c>
      <c r="O231" s="230">
        <f t="shared" ca="1" si="28"/>
        <v>0</v>
      </c>
      <c r="P231" s="231" t="e">
        <f t="shared" ca="1" si="29"/>
        <v>#NAME?</v>
      </c>
      <c r="Q231" s="231" t="str">
        <f t="shared" ca="1" si="30"/>
        <v>-</v>
      </c>
      <c r="R231" s="232">
        <f t="shared" ca="1" si="31"/>
        <v>0</v>
      </c>
      <c r="S231" s="233" t="str">
        <f t="shared" ca="1" si="32"/>
        <v>-</v>
      </c>
    </row>
    <row r="232" spans="1:19">
      <c r="A232" s="292"/>
      <c r="B232" s="293"/>
      <c r="C232" s="291">
        <v>1823</v>
      </c>
      <c r="D232" s="292">
        <v>12</v>
      </c>
      <c r="J232" s="221">
        <f t="shared" si="25"/>
        <v>0</v>
      </c>
      <c r="K232" s="222">
        <v>0</v>
      </c>
      <c r="L232" s="228">
        <f t="shared" ca="1" si="26"/>
        <v>0</v>
      </c>
      <c r="M232" s="229">
        <f t="shared" ca="1" si="27"/>
        <v>0</v>
      </c>
      <c r="N232" s="165">
        <v>0</v>
      </c>
      <c r="O232" s="230">
        <f t="shared" ca="1" si="28"/>
        <v>0</v>
      </c>
      <c r="P232" s="231" t="e">
        <f t="shared" ca="1" si="29"/>
        <v>#NAME?</v>
      </c>
      <c r="Q232" s="231" t="str">
        <f t="shared" ca="1" si="30"/>
        <v>-</v>
      </c>
      <c r="R232" s="232">
        <f t="shared" ca="1" si="31"/>
        <v>0</v>
      </c>
      <c r="S232" s="233" t="str">
        <f t="shared" ca="1" si="32"/>
        <v>-</v>
      </c>
    </row>
    <row r="233" spans="1:19">
      <c r="A233" s="292"/>
      <c r="B233" s="293"/>
      <c r="C233" s="291">
        <v>1824</v>
      </c>
      <c r="D233" s="292">
        <v>12.6</v>
      </c>
      <c r="J233" s="221">
        <f t="shared" si="25"/>
        <v>0</v>
      </c>
      <c r="K233" s="222">
        <v>0</v>
      </c>
      <c r="L233" s="228">
        <f t="shared" ca="1" si="26"/>
        <v>0</v>
      </c>
      <c r="M233" s="229">
        <f t="shared" ca="1" si="27"/>
        <v>0</v>
      </c>
      <c r="N233" s="165">
        <v>0</v>
      </c>
      <c r="O233" s="230">
        <f t="shared" ca="1" si="28"/>
        <v>0</v>
      </c>
      <c r="P233" s="231" t="e">
        <f t="shared" ca="1" si="29"/>
        <v>#NAME?</v>
      </c>
      <c r="Q233" s="231" t="str">
        <f t="shared" ca="1" si="30"/>
        <v>-</v>
      </c>
      <c r="R233" s="232">
        <f t="shared" ca="1" si="31"/>
        <v>0</v>
      </c>
      <c r="S233" s="233" t="str">
        <f t="shared" ca="1" si="32"/>
        <v>-</v>
      </c>
    </row>
    <row r="234" spans="1:19">
      <c r="A234" s="292"/>
      <c r="B234" s="293"/>
      <c r="C234" s="291">
        <v>1826</v>
      </c>
      <c r="D234" s="292">
        <v>4.5</v>
      </c>
      <c r="J234" s="221">
        <f t="shared" si="25"/>
        <v>0</v>
      </c>
      <c r="K234" s="222">
        <v>0</v>
      </c>
      <c r="L234" s="228">
        <f t="shared" ca="1" si="26"/>
        <v>0</v>
      </c>
      <c r="M234" s="229">
        <f t="shared" ca="1" si="27"/>
        <v>0</v>
      </c>
      <c r="N234" s="165">
        <v>0</v>
      </c>
      <c r="O234" s="230">
        <f t="shared" ca="1" si="28"/>
        <v>0</v>
      </c>
      <c r="P234" s="231" t="e">
        <f t="shared" ca="1" si="29"/>
        <v>#NAME?</v>
      </c>
      <c r="Q234" s="231" t="str">
        <f t="shared" ca="1" si="30"/>
        <v>-</v>
      </c>
      <c r="R234" s="232">
        <f t="shared" ca="1" si="31"/>
        <v>0</v>
      </c>
      <c r="S234" s="233" t="str">
        <f t="shared" ca="1" si="32"/>
        <v>-</v>
      </c>
    </row>
    <row r="235" spans="1:19">
      <c r="A235" s="292"/>
      <c r="B235" s="293"/>
      <c r="C235" s="291">
        <v>1827</v>
      </c>
      <c r="D235" s="292">
        <v>15.4</v>
      </c>
      <c r="J235" s="221">
        <f t="shared" si="25"/>
        <v>0</v>
      </c>
      <c r="K235" s="222">
        <v>0</v>
      </c>
      <c r="L235" s="228">
        <f t="shared" ca="1" si="26"/>
        <v>0</v>
      </c>
      <c r="M235" s="229">
        <f t="shared" ca="1" si="27"/>
        <v>0</v>
      </c>
      <c r="N235" s="165">
        <v>0</v>
      </c>
      <c r="O235" s="230">
        <f t="shared" ca="1" si="28"/>
        <v>0</v>
      </c>
      <c r="P235" s="231" t="e">
        <f t="shared" ca="1" si="29"/>
        <v>#NAME?</v>
      </c>
      <c r="Q235" s="231" t="str">
        <f t="shared" ca="1" si="30"/>
        <v>-</v>
      </c>
      <c r="R235" s="232">
        <f t="shared" ca="1" si="31"/>
        <v>0</v>
      </c>
      <c r="S235" s="233" t="str">
        <f t="shared" ca="1" si="32"/>
        <v>-</v>
      </c>
    </row>
    <row r="236" spans="1:19">
      <c r="A236" s="292"/>
      <c r="B236" s="293"/>
      <c r="C236" s="291">
        <v>1828</v>
      </c>
      <c r="D236" s="292">
        <v>15.4</v>
      </c>
      <c r="J236" s="221">
        <f t="shared" si="25"/>
        <v>0</v>
      </c>
      <c r="K236" s="222">
        <v>0</v>
      </c>
      <c r="L236" s="228">
        <f t="shared" ca="1" si="26"/>
        <v>0</v>
      </c>
      <c r="M236" s="229">
        <f t="shared" ca="1" si="27"/>
        <v>0</v>
      </c>
      <c r="N236" s="165">
        <v>0</v>
      </c>
      <c r="O236" s="230">
        <f t="shared" ca="1" si="28"/>
        <v>0</v>
      </c>
      <c r="P236" s="231" t="e">
        <f t="shared" ca="1" si="29"/>
        <v>#NAME?</v>
      </c>
      <c r="Q236" s="231" t="str">
        <f t="shared" ca="1" si="30"/>
        <v>-</v>
      </c>
      <c r="R236" s="232">
        <f t="shared" ca="1" si="31"/>
        <v>0</v>
      </c>
      <c r="S236" s="233" t="str">
        <f t="shared" ca="1" si="32"/>
        <v>-</v>
      </c>
    </row>
    <row r="237" spans="1:19">
      <c r="A237" s="292"/>
      <c r="B237" s="293"/>
      <c r="C237" s="291">
        <v>1829</v>
      </c>
      <c r="D237" s="292">
        <v>12</v>
      </c>
      <c r="J237" s="221">
        <f t="shared" si="25"/>
        <v>0</v>
      </c>
      <c r="K237" s="222">
        <v>0</v>
      </c>
      <c r="L237" s="228">
        <f t="shared" ca="1" si="26"/>
        <v>0</v>
      </c>
      <c r="M237" s="229">
        <f t="shared" ca="1" si="27"/>
        <v>0</v>
      </c>
      <c r="N237" s="165">
        <v>0</v>
      </c>
      <c r="O237" s="230">
        <f t="shared" ca="1" si="28"/>
        <v>0</v>
      </c>
      <c r="P237" s="231" t="e">
        <f t="shared" ca="1" si="29"/>
        <v>#NAME?</v>
      </c>
      <c r="Q237" s="231" t="str">
        <f t="shared" ca="1" si="30"/>
        <v>-</v>
      </c>
      <c r="R237" s="232">
        <f t="shared" ca="1" si="31"/>
        <v>0</v>
      </c>
      <c r="S237" s="233" t="str">
        <f t="shared" ca="1" si="32"/>
        <v>-</v>
      </c>
    </row>
    <row r="238" spans="1:19">
      <c r="A238" s="292"/>
      <c r="B238" s="293"/>
      <c r="C238" s="291">
        <v>1830</v>
      </c>
      <c r="D238" s="292">
        <v>4.28</v>
      </c>
      <c r="J238" s="221">
        <f t="shared" si="25"/>
        <v>0</v>
      </c>
      <c r="K238" s="222">
        <v>0</v>
      </c>
      <c r="L238" s="228">
        <f t="shared" ca="1" si="26"/>
        <v>0</v>
      </c>
      <c r="M238" s="229">
        <f t="shared" ca="1" si="27"/>
        <v>0</v>
      </c>
      <c r="N238" s="165">
        <v>0</v>
      </c>
      <c r="O238" s="230">
        <f t="shared" ca="1" si="28"/>
        <v>0</v>
      </c>
      <c r="P238" s="231" t="e">
        <f t="shared" ca="1" si="29"/>
        <v>#NAME?</v>
      </c>
      <c r="Q238" s="231" t="str">
        <f t="shared" ca="1" si="30"/>
        <v>-</v>
      </c>
      <c r="R238" s="232">
        <f t="shared" ca="1" si="31"/>
        <v>0</v>
      </c>
      <c r="S238" s="233" t="str">
        <f t="shared" ca="1" si="32"/>
        <v>-</v>
      </c>
    </row>
    <row r="239" spans="1:19">
      <c r="A239" s="292"/>
      <c r="B239" s="293"/>
      <c r="C239" s="291">
        <v>1831</v>
      </c>
      <c r="D239" s="292">
        <v>7.15</v>
      </c>
      <c r="J239" s="221">
        <f t="shared" si="25"/>
        <v>0</v>
      </c>
      <c r="K239" s="222">
        <v>0</v>
      </c>
      <c r="L239" s="228">
        <f t="shared" ca="1" si="26"/>
        <v>0</v>
      </c>
      <c r="M239" s="229">
        <f t="shared" ca="1" si="27"/>
        <v>0</v>
      </c>
      <c r="N239" s="165">
        <v>0</v>
      </c>
      <c r="O239" s="230">
        <f t="shared" ca="1" si="28"/>
        <v>0</v>
      </c>
      <c r="P239" s="231" t="e">
        <f t="shared" ca="1" si="29"/>
        <v>#NAME?</v>
      </c>
      <c r="Q239" s="231" t="str">
        <f t="shared" ca="1" si="30"/>
        <v>-</v>
      </c>
      <c r="R239" s="232">
        <f t="shared" ca="1" si="31"/>
        <v>0</v>
      </c>
      <c r="S239" s="233" t="str">
        <f t="shared" ca="1" si="32"/>
        <v>-</v>
      </c>
    </row>
    <row r="240" spans="1:19">
      <c r="A240" s="292"/>
      <c r="B240" s="293"/>
      <c r="C240" s="291">
        <v>1832</v>
      </c>
      <c r="D240" s="292">
        <v>6.23</v>
      </c>
      <c r="J240" s="221">
        <f t="shared" si="25"/>
        <v>0</v>
      </c>
      <c r="K240" s="222">
        <v>0</v>
      </c>
      <c r="L240" s="228">
        <f t="shared" ca="1" si="26"/>
        <v>0</v>
      </c>
      <c r="M240" s="229">
        <f t="shared" ca="1" si="27"/>
        <v>0</v>
      </c>
      <c r="N240" s="165">
        <v>0</v>
      </c>
      <c r="O240" s="230">
        <f t="shared" ca="1" si="28"/>
        <v>0</v>
      </c>
      <c r="P240" s="231" t="e">
        <f t="shared" ca="1" si="29"/>
        <v>#NAME?</v>
      </c>
      <c r="Q240" s="231" t="str">
        <f t="shared" ca="1" si="30"/>
        <v>-</v>
      </c>
      <c r="R240" s="232">
        <f t="shared" ca="1" si="31"/>
        <v>0</v>
      </c>
      <c r="S240" s="233" t="str">
        <f t="shared" ca="1" si="32"/>
        <v>-</v>
      </c>
    </row>
    <row r="241" spans="1:19">
      <c r="A241" s="292"/>
      <c r="B241" s="293"/>
      <c r="C241" s="291">
        <v>1833</v>
      </c>
      <c r="D241" s="292">
        <v>5.23</v>
      </c>
      <c r="J241" s="221">
        <f t="shared" si="25"/>
        <v>0</v>
      </c>
      <c r="K241" s="222">
        <v>0</v>
      </c>
      <c r="L241" s="228">
        <f t="shared" ca="1" si="26"/>
        <v>0</v>
      </c>
      <c r="M241" s="229">
        <f t="shared" ca="1" si="27"/>
        <v>0</v>
      </c>
      <c r="N241" s="165">
        <v>0</v>
      </c>
      <c r="O241" s="230">
        <f t="shared" ca="1" si="28"/>
        <v>0</v>
      </c>
      <c r="P241" s="231" t="e">
        <f t="shared" ca="1" si="29"/>
        <v>#NAME?</v>
      </c>
      <c r="Q241" s="231" t="str">
        <f t="shared" ca="1" si="30"/>
        <v>-</v>
      </c>
      <c r="R241" s="232">
        <f t="shared" ca="1" si="31"/>
        <v>0</v>
      </c>
      <c r="S241" s="233" t="str">
        <f t="shared" ca="1" si="32"/>
        <v>-</v>
      </c>
    </row>
    <row r="242" spans="1:19">
      <c r="A242" s="292"/>
      <c r="B242" s="293"/>
      <c r="C242" s="291">
        <v>1838</v>
      </c>
      <c r="D242" s="292">
        <v>4.28</v>
      </c>
      <c r="J242" s="221">
        <f t="shared" si="25"/>
        <v>0</v>
      </c>
      <c r="K242" s="222">
        <v>0</v>
      </c>
      <c r="L242" s="228">
        <f t="shared" ca="1" si="26"/>
        <v>0</v>
      </c>
      <c r="M242" s="229">
        <f t="shared" ca="1" si="27"/>
        <v>0</v>
      </c>
      <c r="N242" s="165">
        <v>0</v>
      </c>
      <c r="O242" s="230">
        <f t="shared" ca="1" si="28"/>
        <v>0</v>
      </c>
      <c r="P242" s="231" t="e">
        <f t="shared" ca="1" si="29"/>
        <v>#NAME?</v>
      </c>
      <c r="Q242" s="231" t="str">
        <f t="shared" ca="1" si="30"/>
        <v>-</v>
      </c>
      <c r="R242" s="232">
        <f t="shared" ca="1" si="31"/>
        <v>0</v>
      </c>
      <c r="S242" s="233" t="str">
        <f t="shared" ca="1" si="32"/>
        <v>-</v>
      </c>
    </row>
    <row r="243" spans="1:19">
      <c r="A243" s="292"/>
      <c r="B243" s="293"/>
      <c r="C243" s="291">
        <v>1839</v>
      </c>
      <c r="D243" s="292">
        <v>7.15</v>
      </c>
      <c r="J243" s="221">
        <f t="shared" si="25"/>
        <v>0</v>
      </c>
      <c r="K243" s="222">
        <v>0</v>
      </c>
      <c r="L243" s="228">
        <f t="shared" ca="1" si="26"/>
        <v>0</v>
      </c>
      <c r="M243" s="229">
        <f t="shared" ca="1" si="27"/>
        <v>0</v>
      </c>
      <c r="N243" s="165">
        <v>0</v>
      </c>
      <c r="O243" s="230">
        <f t="shared" ca="1" si="28"/>
        <v>0</v>
      </c>
      <c r="P243" s="231" t="e">
        <f t="shared" ca="1" si="29"/>
        <v>#NAME?</v>
      </c>
      <c r="Q243" s="231" t="str">
        <f t="shared" ca="1" si="30"/>
        <v>-</v>
      </c>
      <c r="R243" s="232">
        <f t="shared" ca="1" si="31"/>
        <v>0</v>
      </c>
      <c r="S243" s="233" t="str">
        <f t="shared" ca="1" si="32"/>
        <v>-</v>
      </c>
    </row>
    <row r="244" spans="1:19">
      <c r="A244" s="292"/>
      <c r="B244" s="293"/>
      <c r="C244" s="291">
        <v>1840</v>
      </c>
      <c r="D244" s="292">
        <v>6.23</v>
      </c>
      <c r="J244" s="221">
        <f t="shared" si="25"/>
        <v>0</v>
      </c>
      <c r="K244" s="222">
        <v>0</v>
      </c>
      <c r="L244" s="228">
        <f t="shared" ca="1" si="26"/>
        <v>0</v>
      </c>
      <c r="M244" s="229">
        <f t="shared" ca="1" si="27"/>
        <v>0</v>
      </c>
      <c r="N244" s="165">
        <v>0</v>
      </c>
      <c r="O244" s="230">
        <f t="shared" ca="1" si="28"/>
        <v>0</v>
      </c>
      <c r="P244" s="231" t="e">
        <f t="shared" ca="1" si="29"/>
        <v>#NAME?</v>
      </c>
      <c r="Q244" s="231" t="str">
        <f t="shared" ca="1" si="30"/>
        <v>-</v>
      </c>
      <c r="R244" s="232">
        <f t="shared" ca="1" si="31"/>
        <v>0</v>
      </c>
      <c r="S244" s="233" t="str">
        <f t="shared" ca="1" si="32"/>
        <v>-</v>
      </c>
    </row>
    <row r="245" spans="1:19">
      <c r="A245" s="292"/>
      <c r="B245" s="293"/>
      <c r="C245" s="291">
        <v>1841</v>
      </c>
      <c r="D245" s="292">
        <v>5.23</v>
      </c>
      <c r="J245" s="221">
        <f t="shared" si="25"/>
        <v>0</v>
      </c>
      <c r="K245" s="222">
        <v>0</v>
      </c>
      <c r="L245" s="228">
        <f t="shared" ca="1" si="26"/>
        <v>0</v>
      </c>
      <c r="M245" s="229">
        <f t="shared" ca="1" si="27"/>
        <v>0</v>
      </c>
      <c r="N245" s="165">
        <v>0</v>
      </c>
      <c r="O245" s="230">
        <f t="shared" ca="1" si="28"/>
        <v>0</v>
      </c>
      <c r="P245" s="231" t="e">
        <f t="shared" ca="1" si="29"/>
        <v>#NAME?</v>
      </c>
      <c r="Q245" s="231" t="str">
        <f t="shared" ca="1" si="30"/>
        <v>-</v>
      </c>
      <c r="R245" s="232">
        <f t="shared" ca="1" si="31"/>
        <v>0</v>
      </c>
      <c r="S245" s="233" t="str">
        <f t="shared" ca="1" si="32"/>
        <v>-</v>
      </c>
    </row>
    <row r="246" spans="1:19">
      <c r="A246" s="292"/>
      <c r="B246" s="293"/>
      <c r="C246" s="291">
        <v>1842</v>
      </c>
      <c r="D246" s="292">
        <v>5.16</v>
      </c>
      <c r="J246" s="221">
        <f t="shared" si="25"/>
        <v>0</v>
      </c>
      <c r="K246" s="222">
        <v>0</v>
      </c>
      <c r="L246" s="228">
        <f t="shared" ca="1" si="26"/>
        <v>0</v>
      </c>
      <c r="M246" s="229">
        <f t="shared" ca="1" si="27"/>
        <v>0</v>
      </c>
      <c r="N246" s="165">
        <v>0</v>
      </c>
      <c r="O246" s="230">
        <f t="shared" ca="1" si="28"/>
        <v>0</v>
      </c>
      <c r="P246" s="231" t="e">
        <f t="shared" ca="1" si="29"/>
        <v>#NAME?</v>
      </c>
      <c r="Q246" s="231" t="str">
        <f t="shared" ca="1" si="30"/>
        <v>-</v>
      </c>
      <c r="R246" s="232">
        <f t="shared" ca="1" si="31"/>
        <v>0</v>
      </c>
      <c r="S246" s="233" t="str">
        <f t="shared" ca="1" si="32"/>
        <v>-</v>
      </c>
    </row>
    <row r="247" spans="1:19">
      <c r="A247" s="292"/>
      <c r="B247" s="293"/>
      <c r="C247" s="291">
        <v>1843</v>
      </c>
      <c r="D247" s="292">
        <v>4.87</v>
      </c>
      <c r="J247" s="221">
        <f t="shared" si="25"/>
        <v>0</v>
      </c>
      <c r="K247" s="222">
        <v>0</v>
      </c>
      <c r="L247" s="228">
        <f t="shared" ca="1" si="26"/>
        <v>0</v>
      </c>
      <c r="M247" s="229">
        <f t="shared" ca="1" si="27"/>
        <v>0</v>
      </c>
      <c r="N247" s="165">
        <v>0</v>
      </c>
      <c r="O247" s="230">
        <f t="shared" ca="1" si="28"/>
        <v>0</v>
      </c>
      <c r="P247" s="231" t="e">
        <f t="shared" ca="1" si="29"/>
        <v>#NAME?</v>
      </c>
      <c r="Q247" s="231" t="str">
        <f t="shared" ca="1" si="30"/>
        <v>-</v>
      </c>
      <c r="R247" s="232">
        <f t="shared" ca="1" si="31"/>
        <v>0</v>
      </c>
      <c r="S247" s="233" t="str">
        <f t="shared" ca="1" si="32"/>
        <v>-</v>
      </c>
    </row>
    <row r="248" spans="1:19">
      <c r="A248" s="292"/>
      <c r="B248" s="293"/>
      <c r="C248" s="291">
        <v>1844</v>
      </c>
      <c r="D248" s="292">
        <v>5</v>
      </c>
      <c r="J248" s="221">
        <f t="shared" si="25"/>
        <v>0</v>
      </c>
      <c r="K248" s="222">
        <v>0</v>
      </c>
      <c r="L248" s="228">
        <f t="shared" ca="1" si="26"/>
        <v>0</v>
      </c>
      <c r="M248" s="229">
        <f t="shared" ca="1" si="27"/>
        <v>0</v>
      </c>
      <c r="N248" s="165">
        <v>0</v>
      </c>
      <c r="O248" s="230">
        <f t="shared" ca="1" si="28"/>
        <v>0</v>
      </c>
      <c r="P248" s="231" t="e">
        <f t="shared" ca="1" si="29"/>
        <v>#NAME?</v>
      </c>
      <c r="Q248" s="231" t="str">
        <f t="shared" ca="1" si="30"/>
        <v>-</v>
      </c>
      <c r="R248" s="232">
        <f t="shared" ca="1" si="31"/>
        <v>0</v>
      </c>
      <c r="S248" s="233" t="str">
        <f t="shared" ca="1" si="32"/>
        <v>-</v>
      </c>
    </row>
    <row r="249" spans="1:19">
      <c r="A249" s="292"/>
      <c r="B249" s="293"/>
      <c r="C249" s="291">
        <v>1845</v>
      </c>
      <c r="D249" s="292">
        <v>5</v>
      </c>
      <c r="J249" s="221">
        <f t="shared" si="25"/>
        <v>0</v>
      </c>
      <c r="K249" s="222">
        <v>0</v>
      </c>
      <c r="L249" s="228">
        <f t="shared" ca="1" si="26"/>
        <v>0</v>
      </c>
      <c r="M249" s="229">
        <f t="shared" ca="1" si="27"/>
        <v>0</v>
      </c>
      <c r="N249" s="165">
        <v>0</v>
      </c>
      <c r="O249" s="230">
        <f t="shared" ca="1" si="28"/>
        <v>0</v>
      </c>
      <c r="P249" s="231" t="e">
        <f t="shared" ca="1" si="29"/>
        <v>#NAME?</v>
      </c>
      <c r="Q249" s="231" t="str">
        <f t="shared" ca="1" si="30"/>
        <v>-</v>
      </c>
      <c r="R249" s="232">
        <f t="shared" ca="1" si="31"/>
        <v>0</v>
      </c>
      <c r="S249" s="233" t="str">
        <f t="shared" ca="1" si="32"/>
        <v>-</v>
      </c>
    </row>
    <row r="250" spans="1:19">
      <c r="A250" s="292"/>
      <c r="B250" s="293"/>
      <c r="C250" s="291">
        <v>1851</v>
      </c>
      <c r="D250" s="292">
        <v>21</v>
      </c>
      <c r="J250" s="221">
        <f t="shared" si="25"/>
        <v>0</v>
      </c>
      <c r="K250" s="222">
        <v>0</v>
      </c>
      <c r="L250" s="228">
        <f t="shared" ca="1" si="26"/>
        <v>0</v>
      </c>
      <c r="M250" s="229">
        <f t="shared" ca="1" si="27"/>
        <v>0</v>
      </c>
      <c r="N250" s="165">
        <v>0</v>
      </c>
      <c r="O250" s="230">
        <f t="shared" ca="1" si="28"/>
        <v>0</v>
      </c>
      <c r="P250" s="231" t="e">
        <f t="shared" ca="1" si="29"/>
        <v>#NAME?</v>
      </c>
      <c r="Q250" s="231" t="str">
        <f t="shared" ca="1" si="30"/>
        <v>-</v>
      </c>
      <c r="R250" s="232">
        <f t="shared" ca="1" si="31"/>
        <v>0</v>
      </c>
      <c r="S250" s="233" t="str">
        <f t="shared" ca="1" si="32"/>
        <v>-</v>
      </c>
    </row>
    <row r="251" spans="1:19">
      <c r="A251" s="292"/>
      <c r="B251" s="293"/>
      <c r="C251" s="291">
        <v>1852</v>
      </c>
      <c r="D251" s="292">
        <v>15.6</v>
      </c>
      <c r="J251" s="221">
        <f t="shared" si="25"/>
        <v>0</v>
      </c>
      <c r="K251" s="222">
        <v>0</v>
      </c>
      <c r="L251" s="228">
        <f t="shared" ca="1" si="26"/>
        <v>0</v>
      </c>
      <c r="M251" s="229">
        <f t="shared" ca="1" si="27"/>
        <v>0</v>
      </c>
      <c r="N251" s="165">
        <v>0</v>
      </c>
      <c r="O251" s="230">
        <f t="shared" ca="1" si="28"/>
        <v>0</v>
      </c>
      <c r="P251" s="231" t="e">
        <f t="shared" ca="1" si="29"/>
        <v>#NAME?</v>
      </c>
      <c r="Q251" s="231" t="str">
        <f t="shared" ca="1" si="30"/>
        <v>-</v>
      </c>
      <c r="R251" s="232">
        <f t="shared" ca="1" si="31"/>
        <v>0</v>
      </c>
      <c r="S251" s="233" t="str">
        <f t="shared" ca="1" si="32"/>
        <v>-</v>
      </c>
    </row>
    <row r="252" spans="1:19">
      <c r="A252" s="292"/>
      <c r="B252" s="293"/>
      <c r="C252" s="291">
        <v>1853</v>
      </c>
      <c r="D252" s="292">
        <v>14.4</v>
      </c>
      <c r="J252" s="221">
        <f t="shared" si="25"/>
        <v>0</v>
      </c>
      <c r="K252" s="222">
        <v>0</v>
      </c>
      <c r="L252" s="228">
        <f t="shared" ca="1" si="26"/>
        <v>0</v>
      </c>
      <c r="M252" s="229">
        <f t="shared" ca="1" si="27"/>
        <v>0</v>
      </c>
      <c r="N252" s="165">
        <v>0</v>
      </c>
      <c r="O252" s="230">
        <f t="shared" ca="1" si="28"/>
        <v>0</v>
      </c>
      <c r="P252" s="231" t="e">
        <f t="shared" ca="1" si="29"/>
        <v>#NAME?</v>
      </c>
      <c r="Q252" s="231" t="str">
        <f t="shared" ca="1" si="30"/>
        <v>-</v>
      </c>
      <c r="R252" s="232">
        <f t="shared" ca="1" si="31"/>
        <v>0</v>
      </c>
      <c r="S252" s="233" t="str">
        <f t="shared" ca="1" si="32"/>
        <v>-</v>
      </c>
    </row>
    <row r="253" spans="1:19">
      <c r="A253" s="292"/>
      <c r="B253" s="293"/>
      <c r="C253" s="291">
        <v>1854</v>
      </c>
      <c r="D253" s="292">
        <v>13.2</v>
      </c>
      <c r="J253" s="221">
        <f t="shared" si="25"/>
        <v>0</v>
      </c>
      <c r="K253" s="222">
        <v>0</v>
      </c>
      <c r="L253" s="228">
        <f t="shared" ca="1" si="26"/>
        <v>0</v>
      </c>
      <c r="M253" s="229">
        <f t="shared" ca="1" si="27"/>
        <v>0</v>
      </c>
      <c r="N253" s="165">
        <v>0</v>
      </c>
      <c r="O253" s="230">
        <f t="shared" ca="1" si="28"/>
        <v>0</v>
      </c>
      <c r="P253" s="231" t="e">
        <f t="shared" ca="1" si="29"/>
        <v>#NAME?</v>
      </c>
      <c r="Q253" s="231" t="str">
        <f t="shared" ca="1" si="30"/>
        <v>-</v>
      </c>
      <c r="R253" s="232">
        <f t="shared" ca="1" si="31"/>
        <v>0</v>
      </c>
      <c r="S253" s="233" t="str">
        <f t="shared" ca="1" si="32"/>
        <v>-</v>
      </c>
    </row>
    <row r="254" spans="1:19">
      <c r="A254" s="292"/>
      <c r="B254" s="293"/>
      <c r="C254" s="291">
        <v>1855</v>
      </c>
      <c r="D254" s="292">
        <v>19.8</v>
      </c>
      <c r="J254" s="221">
        <f t="shared" si="25"/>
        <v>0</v>
      </c>
      <c r="K254" s="222">
        <v>0</v>
      </c>
      <c r="L254" s="228">
        <f t="shared" ca="1" si="26"/>
        <v>0</v>
      </c>
      <c r="M254" s="229">
        <f t="shared" ca="1" si="27"/>
        <v>0</v>
      </c>
      <c r="N254" s="165">
        <v>0</v>
      </c>
      <c r="O254" s="230">
        <f t="shared" ca="1" si="28"/>
        <v>0</v>
      </c>
      <c r="P254" s="231" t="e">
        <f t="shared" ca="1" si="29"/>
        <v>#NAME?</v>
      </c>
      <c r="Q254" s="231" t="str">
        <f t="shared" ca="1" si="30"/>
        <v>-</v>
      </c>
      <c r="R254" s="232">
        <f t="shared" ca="1" si="31"/>
        <v>0</v>
      </c>
      <c r="S254" s="233" t="str">
        <f t="shared" ca="1" si="32"/>
        <v>-</v>
      </c>
    </row>
    <row r="255" spans="1:19">
      <c r="A255" s="292"/>
      <c r="B255" s="293"/>
      <c r="C255" s="291">
        <v>1865</v>
      </c>
      <c r="D255" s="292">
        <v>16</v>
      </c>
      <c r="J255" s="221">
        <f t="shared" si="25"/>
        <v>0</v>
      </c>
      <c r="K255" s="222">
        <v>0</v>
      </c>
      <c r="L255" s="228">
        <f t="shared" ca="1" si="26"/>
        <v>0</v>
      </c>
      <c r="M255" s="229">
        <f t="shared" ca="1" si="27"/>
        <v>0</v>
      </c>
      <c r="N255" s="165">
        <v>0</v>
      </c>
      <c r="O255" s="230">
        <f t="shared" ca="1" si="28"/>
        <v>0</v>
      </c>
      <c r="P255" s="231" t="e">
        <f t="shared" ca="1" si="29"/>
        <v>#NAME?</v>
      </c>
      <c r="Q255" s="231" t="str">
        <f t="shared" ca="1" si="30"/>
        <v>-</v>
      </c>
      <c r="R255" s="232">
        <f t="shared" ca="1" si="31"/>
        <v>0</v>
      </c>
      <c r="S255" s="233" t="str">
        <f t="shared" ca="1" si="32"/>
        <v>-</v>
      </c>
    </row>
    <row r="256" spans="1:19">
      <c r="A256" s="292"/>
      <c r="B256" s="293"/>
      <c r="C256" s="291">
        <v>1866</v>
      </c>
      <c r="D256" s="292">
        <v>9.6</v>
      </c>
      <c r="J256" s="221">
        <f t="shared" si="25"/>
        <v>0</v>
      </c>
      <c r="K256" s="222">
        <v>0</v>
      </c>
      <c r="L256" s="228">
        <f t="shared" ca="1" si="26"/>
        <v>0</v>
      </c>
      <c r="M256" s="229">
        <f t="shared" ca="1" si="27"/>
        <v>0</v>
      </c>
      <c r="N256" s="165">
        <v>0</v>
      </c>
      <c r="O256" s="230">
        <f t="shared" ca="1" si="28"/>
        <v>0</v>
      </c>
      <c r="P256" s="231" t="e">
        <f t="shared" ca="1" si="29"/>
        <v>#NAME?</v>
      </c>
      <c r="Q256" s="231" t="str">
        <f t="shared" ca="1" si="30"/>
        <v>-</v>
      </c>
      <c r="R256" s="232">
        <f t="shared" ca="1" si="31"/>
        <v>0</v>
      </c>
      <c r="S256" s="233" t="str">
        <f t="shared" ca="1" si="32"/>
        <v>-</v>
      </c>
    </row>
    <row r="257" spans="1:19">
      <c r="A257" s="292"/>
      <c r="B257" s="293"/>
      <c r="C257" s="291">
        <v>1867</v>
      </c>
      <c r="D257" s="292">
        <v>12.8</v>
      </c>
      <c r="J257" s="221">
        <f t="shared" si="25"/>
        <v>0</v>
      </c>
      <c r="K257" s="222">
        <v>0</v>
      </c>
      <c r="L257" s="228">
        <f t="shared" ca="1" si="26"/>
        <v>0</v>
      </c>
      <c r="M257" s="229">
        <f t="shared" ca="1" si="27"/>
        <v>0</v>
      </c>
      <c r="N257" s="165">
        <v>0</v>
      </c>
      <c r="O257" s="230">
        <f t="shared" ca="1" si="28"/>
        <v>0</v>
      </c>
      <c r="P257" s="231" t="e">
        <f t="shared" ca="1" si="29"/>
        <v>#NAME?</v>
      </c>
      <c r="Q257" s="231" t="str">
        <f t="shared" ca="1" si="30"/>
        <v>-</v>
      </c>
      <c r="R257" s="232">
        <f t="shared" ca="1" si="31"/>
        <v>0</v>
      </c>
      <c r="S257" s="233" t="str">
        <f t="shared" ca="1" si="32"/>
        <v>-</v>
      </c>
    </row>
    <row r="258" spans="1:19">
      <c r="A258" s="292"/>
      <c r="B258" s="293"/>
      <c r="C258" s="291">
        <v>1868</v>
      </c>
      <c r="D258" s="292">
        <v>10</v>
      </c>
      <c r="J258" s="221">
        <f t="shared" si="25"/>
        <v>0</v>
      </c>
      <c r="K258" s="222">
        <v>0</v>
      </c>
      <c r="L258" s="228">
        <f t="shared" ca="1" si="26"/>
        <v>0</v>
      </c>
      <c r="M258" s="229">
        <f t="shared" ca="1" si="27"/>
        <v>0</v>
      </c>
      <c r="N258" s="165">
        <v>0</v>
      </c>
      <c r="O258" s="230">
        <f t="shared" ca="1" si="28"/>
        <v>0</v>
      </c>
      <c r="P258" s="231" t="e">
        <f t="shared" ca="1" si="29"/>
        <v>#NAME?</v>
      </c>
      <c r="Q258" s="231" t="str">
        <f t="shared" ca="1" si="30"/>
        <v>-</v>
      </c>
      <c r="R258" s="232">
        <f t="shared" ca="1" si="31"/>
        <v>0</v>
      </c>
      <c r="S258" s="233" t="str">
        <f t="shared" ca="1" si="32"/>
        <v>-</v>
      </c>
    </row>
    <row r="259" spans="1:19">
      <c r="A259" s="292"/>
      <c r="B259" s="293"/>
      <c r="C259" s="291">
        <v>1869</v>
      </c>
      <c r="D259" s="292">
        <v>12</v>
      </c>
      <c r="J259" s="221">
        <f t="shared" ref="J259:J300" si="33">T259</f>
        <v>0</v>
      </c>
      <c r="K259" s="222">
        <v>0</v>
      </c>
      <c r="L259" s="228">
        <f t="shared" ref="L259:L300" ca="1" si="34">IFERROR(M259/25,"")</f>
        <v>0</v>
      </c>
      <c r="M259" s="229">
        <f t="shared" ref="M259:M300" ca="1" si="35">IF(ISNUMBER(P259),Z259,0)</f>
        <v>0</v>
      </c>
      <c r="N259" s="165">
        <v>0</v>
      </c>
      <c r="O259" s="230">
        <f t="shared" ref="O259:O300" ca="1" si="36">IF(ISNUMBER(P259),X259,0)</f>
        <v>0</v>
      </c>
      <c r="P259" s="231" t="e">
        <f t="shared" ref="P259:P300" ca="1" si="37">_xludf.IFNA(Z259/_xlfn.XLOOKUP(T259,$A$2:$A$624,$B$2:$B$624,""),"")</f>
        <v>#NAME?</v>
      </c>
      <c r="Q259" s="231" t="str">
        <f t="shared" ref="Q259:Q300" ca="1" si="38">IFERROR(M259/O259,"-")</f>
        <v>-</v>
      </c>
      <c r="R259" s="232">
        <f t="shared" ref="R259:R300" ca="1" si="39">IF(ISNUMBER(P259),AE259,0)</f>
        <v>0</v>
      </c>
      <c r="S259" s="233" t="str">
        <f t="shared" ref="S259:S300" ca="1" si="40">IFERROR((N259/Q259),"-")</f>
        <v>-</v>
      </c>
    </row>
    <row r="260" spans="1:19">
      <c r="A260" s="292"/>
      <c r="B260" s="293"/>
      <c r="C260" s="291">
        <v>1870</v>
      </c>
      <c r="D260" s="292">
        <v>12.5</v>
      </c>
      <c r="J260" s="221">
        <f t="shared" si="33"/>
        <v>0</v>
      </c>
      <c r="K260" s="222">
        <v>0</v>
      </c>
      <c r="L260" s="228">
        <f t="shared" ca="1" si="34"/>
        <v>0</v>
      </c>
      <c r="M260" s="229">
        <f t="shared" ca="1" si="35"/>
        <v>0</v>
      </c>
      <c r="N260" s="165">
        <v>0</v>
      </c>
      <c r="O260" s="230">
        <f t="shared" ca="1" si="36"/>
        <v>0</v>
      </c>
      <c r="P260" s="231" t="e">
        <f t="shared" ca="1" si="37"/>
        <v>#NAME?</v>
      </c>
      <c r="Q260" s="231" t="str">
        <f t="shared" ca="1" si="38"/>
        <v>-</v>
      </c>
      <c r="R260" s="232">
        <f t="shared" ca="1" si="39"/>
        <v>0</v>
      </c>
      <c r="S260" s="233" t="str">
        <f t="shared" ca="1" si="40"/>
        <v>-</v>
      </c>
    </row>
    <row r="261" spans="1:19">
      <c r="A261" s="292"/>
      <c r="B261" s="293"/>
      <c r="C261" s="291">
        <v>1871</v>
      </c>
      <c r="D261" s="292">
        <v>15</v>
      </c>
      <c r="J261" s="221">
        <f t="shared" si="33"/>
        <v>0</v>
      </c>
      <c r="K261" s="222">
        <v>0</v>
      </c>
      <c r="L261" s="228">
        <f t="shared" ca="1" si="34"/>
        <v>0</v>
      </c>
      <c r="M261" s="229">
        <f t="shared" ca="1" si="35"/>
        <v>0</v>
      </c>
      <c r="N261" s="165">
        <v>0</v>
      </c>
      <c r="O261" s="230">
        <f t="shared" ca="1" si="36"/>
        <v>0</v>
      </c>
      <c r="P261" s="231" t="e">
        <f t="shared" ca="1" si="37"/>
        <v>#NAME?</v>
      </c>
      <c r="Q261" s="231" t="str">
        <f t="shared" ca="1" si="38"/>
        <v>-</v>
      </c>
      <c r="R261" s="232">
        <f t="shared" ca="1" si="39"/>
        <v>0</v>
      </c>
      <c r="S261" s="233" t="str">
        <f t="shared" ca="1" si="40"/>
        <v>-</v>
      </c>
    </row>
    <row r="262" spans="1:19">
      <c r="A262" s="292"/>
      <c r="B262" s="293"/>
      <c r="C262" s="291">
        <v>1872</v>
      </c>
      <c r="D262" s="292">
        <v>12</v>
      </c>
      <c r="J262" s="221">
        <f t="shared" si="33"/>
        <v>0</v>
      </c>
      <c r="K262" s="222">
        <v>0</v>
      </c>
      <c r="L262" s="228">
        <f t="shared" ca="1" si="34"/>
        <v>0</v>
      </c>
      <c r="M262" s="229">
        <f t="shared" ca="1" si="35"/>
        <v>0</v>
      </c>
      <c r="N262" s="165">
        <v>0</v>
      </c>
      <c r="O262" s="230">
        <f t="shared" ca="1" si="36"/>
        <v>0</v>
      </c>
      <c r="P262" s="231" t="e">
        <f t="shared" ca="1" si="37"/>
        <v>#NAME?</v>
      </c>
      <c r="Q262" s="231" t="str">
        <f t="shared" ca="1" si="38"/>
        <v>-</v>
      </c>
      <c r="R262" s="232">
        <f t="shared" ca="1" si="39"/>
        <v>0</v>
      </c>
      <c r="S262" s="233" t="str">
        <f t="shared" ca="1" si="40"/>
        <v>-</v>
      </c>
    </row>
    <row r="263" spans="1:19">
      <c r="A263" s="292"/>
      <c r="B263" s="293"/>
      <c r="C263" s="291">
        <v>1873</v>
      </c>
      <c r="D263" s="292">
        <v>10</v>
      </c>
      <c r="J263" s="221">
        <f t="shared" si="33"/>
        <v>0</v>
      </c>
      <c r="K263" s="222">
        <v>0</v>
      </c>
      <c r="L263" s="228">
        <f t="shared" ca="1" si="34"/>
        <v>0</v>
      </c>
      <c r="M263" s="229">
        <f t="shared" ca="1" si="35"/>
        <v>0</v>
      </c>
      <c r="N263" s="165">
        <v>0</v>
      </c>
      <c r="O263" s="230">
        <f t="shared" ca="1" si="36"/>
        <v>0</v>
      </c>
      <c r="P263" s="231" t="e">
        <f t="shared" ca="1" si="37"/>
        <v>#NAME?</v>
      </c>
      <c r="Q263" s="231" t="str">
        <f t="shared" ca="1" si="38"/>
        <v>-</v>
      </c>
      <c r="R263" s="232">
        <f t="shared" ca="1" si="39"/>
        <v>0</v>
      </c>
      <c r="S263" s="233" t="str">
        <f t="shared" ca="1" si="40"/>
        <v>-</v>
      </c>
    </row>
    <row r="264" spans="1:19">
      <c r="A264" s="292"/>
      <c r="B264" s="293"/>
      <c r="C264" s="291">
        <v>1874</v>
      </c>
      <c r="D264" s="292">
        <v>5.2</v>
      </c>
      <c r="J264" s="221">
        <f t="shared" si="33"/>
        <v>0</v>
      </c>
      <c r="K264" s="222">
        <v>0</v>
      </c>
      <c r="L264" s="228">
        <f t="shared" ca="1" si="34"/>
        <v>0</v>
      </c>
      <c r="M264" s="229">
        <f t="shared" ca="1" si="35"/>
        <v>0</v>
      </c>
      <c r="N264" s="165">
        <v>0</v>
      </c>
      <c r="O264" s="230">
        <f t="shared" ca="1" si="36"/>
        <v>0</v>
      </c>
      <c r="P264" s="231" t="e">
        <f t="shared" ca="1" si="37"/>
        <v>#NAME?</v>
      </c>
      <c r="Q264" s="231" t="str">
        <f t="shared" ca="1" si="38"/>
        <v>-</v>
      </c>
      <c r="R264" s="232">
        <f t="shared" ca="1" si="39"/>
        <v>0</v>
      </c>
      <c r="S264" s="233" t="str">
        <f t="shared" ca="1" si="40"/>
        <v>-</v>
      </c>
    </row>
    <row r="265" spans="1:19">
      <c r="A265" s="292"/>
      <c r="B265" s="293"/>
      <c r="C265" s="291"/>
      <c r="D265" s="292"/>
      <c r="J265" s="221">
        <f t="shared" si="33"/>
        <v>0</v>
      </c>
      <c r="K265" s="222">
        <v>0</v>
      </c>
      <c r="L265" s="228">
        <f t="shared" ca="1" si="34"/>
        <v>0</v>
      </c>
      <c r="M265" s="229">
        <f t="shared" ca="1" si="35"/>
        <v>0</v>
      </c>
      <c r="N265" s="165">
        <v>0</v>
      </c>
      <c r="O265" s="230">
        <f t="shared" ca="1" si="36"/>
        <v>0</v>
      </c>
      <c r="P265" s="231" t="e">
        <f t="shared" ca="1" si="37"/>
        <v>#NAME?</v>
      </c>
      <c r="Q265" s="231" t="str">
        <f t="shared" ca="1" si="38"/>
        <v>-</v>
      </c>
      <c r="R265" s="232">
        <f t="shared" ca="1" si="39"/>
        <v>0</v>
      </c>
      <c r="S265" s="233" t="str">
        <f t="shared" ca="1" si="40"/>
        <v>-</v>
      </c>
    </row>
    <row r="266" spans="1:19">
      <c r="A266" s="292"/>
      <c r="B266" s="293"/>
      <c r="C266" s="291">
        <v>1856</v>
      </c>
      <c r="D266" s="292">
        <v>13.8</v>
      </c>
      <c r="J266" s="221">
        <f t="shared" si="33"/>
        <v>0</v>
      </c>
      <c r="K266" s="222">
        <v>0</v>
      </c>
      <c r="L266" s="228">
        <f t="shared" ca="1" si="34"/>
        <v>0</v>
      </c>
      <c r="M266" s="229">
        <f t="shared" ca="1" si="35"/>
        <v>0</v>
      </c>
      <c r="N266" s="165">
        <v>0</v>
      </c>
      <c r="O266" s="230">
        <f t="shared" ca="1" si="36"/>
        <v>0</v>
      </c>
      <c r="P266" s="231" t="e">
        <f t="shared" ca="1" si="37"/>
        <v>#NAME?</v>
      </c>
      <c r="Q266" s="231" t="str">
        <f t="shared" ca="1" si="38"/>
        <v>-</v>
      </c>
      <c r="R266" s="232">
        <f t="shared" ca="1" si="39"/>
        <v>0</v>
      </c>
      <c r="S266" s="233" t="str">
        <f t="shared" ca="1" si="40"/>
        <v>-</v>
      </c>
    </row>
    <row r="267" spans="1:19">
      <c r="A267" s="292"/>
      <c r="B267" s="293"/>
      <c r="C267" s="291">
        <v>1875</v>
      </c>
      <c r="D267" s="292">
        <v>7.8</v>
      </c>
      <c r="J267" s="221">
        <f t="shared" si="33"/>
        <v>0</v>
      </c>
      <c r="K267" s="222">
        <v>0</v>
      </c>
      <c r="L267" s="228">
        <f t="shared" ca="1" si="34"/>
        <v>0</v>
      </c>
      <c r="M267" s="229">
        <f t="shared" ca="1" si="35"/>
        <v>0</v>
      </c>
      <c r="N267" s="165">
        <v>0</v>
      </c>
      <c r="O267" s="230">
        <f t="shared" ca="1" si="36"/>
        <v>0</v>
      </c>
      <c r="P267" s="231" t="e">
        <f t="shared" ca="1" si="37"/>
        <v>#NAME?</v>
      </c>
      <c r="Q267" s="231" t="str">
        <f t="shared" ca="1" si="38"/>
        <v>-</v>
      </c>
      <c r="R267" s="232">
        <f t="shared" ca="1" si="39"/>
        <v>0</v>
      </c>
      <c r="S267" s="233" t="str">
        <f t="shared" ca="1" si="40"/>
        <v>-</v>
      </c>
    </row>
    <row r="268" spans="1:19">
      <c r="A268" s="292"/>
      <c r="B268" s="293"/>
      <c r="C268" s="291">
        <v>2101</v>
      </c>
      <c r="D268" s="292">
        <v>6.9</v>
      </c>
      <c r="J268" s="221">
        <f t="shared" si="33"/>
        <v>0</v>
      </c>
      <c r="K268" s="222">
        <v>0</v>
      </c>
      <c r="L268" s="228">
        <f t="shared" ca="1" si="34"/>
        <v>0</v>
      </c>
      <c r="M268" s="229">
        <f t="shared" ca="1" si="35"/>
        <v>0</v>
      </c>
      <c r="N268" s="165">
        <v>0</v>
      </c>
      <c r="O268" s="230">
        <f t="shared" ca="1" si="36"/>
        <v>0</v>
      </c>
      <c r="P268" s="231" t="e">
        <f t="shared" ca="1" si="37"/>
        <v>#NAME?</v>
      </c>
      <c r="Q268" s="231" t="str">
        <f t="shared" ca="1" si="38"/>
        <v>-</v>
      </c>
      <c r="R268" s="232">
        <f t="shared" ca="1" si="39"/>
        <v>0</v>
      </c>
      <c r="S268" s="233" t="str">
        <f t="shared" ca="1" si="40"/>
        <v>-</v>
      </c>
    </row>
    <row r="269" spans="1:19">
      <c r="A269" s="292"/>
      <c r="B269" s="293"/>
      <c r="C269" s="291">
        <v>2102</v>
      </c>
      <c r="D269" s="292">
        <v>6.9</v>
      </c>
      <c r="J269" s="221">
        <f t="shared" si="33"/>
        <v>0</v>
      </c>
      <c r="K269" s="222">
        <v>0</v>
      </c>
      <c r="L269" s="228">
        <f t="shared" ca="1" si="34"/>
        <v>0</v>
      </c>
      <c r="M269" s="229">
        <f t="shared" ca="1" si="35"/>
        <v>0</v>
      </c>
      <c r="N269" s="165">
        <v>0</v>
      </c>
      <c r="O269" s="230">
        <f t="shared" ca="1" si="36"/>
        <v>0</v>
      </c>
      <c r="P269" s="231" t="e">
        <f t="shared" ca="1" si="37"/>
        <v>#NAME?</v>
      </c>
      <c r="Q269" s="231" t="str">
        <f t="shared" ca="1" si="38"/>
        <v>-</v>
      </c>
      <c r="R269" s="232">
        <f t="shared" ca="1" si="39"/>
        <v>0</v>
      </c>
      <c r="S269" s="233" t="str">
        <f t="shared" ca="1" si="40"/>
        <v>-</v>
      </c>
    </row>
    <row r="270" spans="1:19">
      <c r="A270" s="292"/>
      <c r="B270" s="293"/>
      <c r="C270" s="291">
        <v>2103</v>
      </c>
      <c r="D270" s="292">
        <v>11.4</v>
      </c>
      <c r="J270" s="221">
        <f t="shared" si="33"/>
        <v>0</v>
      </c>
      <c r="K270" s="222">
        <v>0</v>
      </c>
      <c r="L270" s="228">
        <f t="shared" ca="1" si="34"/>
        <v>0</v>
      </c>
      <c r="M270" s="229">
        <f t="shared" ca="1" si="35"/>
        <v>0</v>
      </c>
      <c r="N270" s="165">
        <v>0</v>
      </c>
      <c r="O270" s="230">
        <f t="shared" ca="1" si="36"/>
        <v>0</v>
      </c>
      <c r="P270" s="231" t="e">
        <f t="shared" ca="1" si="37"/>
        <v>#NAME?</v>
      </c>
      <c r="Q270" s="231" t="str">
        <f t="shared" ca="1" si="38"/>
        <v>-</v>
      </c>
      <c r="R270" s="232">
        <f t="shared" ca="1" si="39"/>
        <v>0</v>
      </c>
      <c r="S270" s="233" t="str">
        <f t="shared" ca="1" si="40"/>
        <v>-</v>
      </c>
    </row>
    <row r="271" spans="1:19">
      <c r="A271" s="292"/>
      <c r="B271" s="293"/>
      <c r="C271" s="291">
        <v>2104</v>
      </c>
      <c r="D271" s="292">
        <v>9.6</v>
      </c>
      <c r="J271" s="221">
        <f t="shared" si="33"/>
        <v>0</v>
      </c>
      <c r="K271" s="222">
        <v>0</v>
      </c>
      <c r="L271" s="228">
        <f t="shared" ca="1" si="34"/>
        <v>0</v>
      </c>
      <c r="M271" s="229">
        <f t="shared" ca="1" si="35"/>
        <v>0</v>
      </c>
      <c r="N271" s="165">
        <v>0</v>
      </c>
      <c r="O271" s="230">
        <f t="shared" ca="1" si="36"/>
        <v>0</v>
      </c>
      <c r="P271" s="231" t="e">
        <f t="shared" ca="1" si="37"/>
        <v>#NAME?</v>
      </c>
      <c r="Q271" s="231" t="str">
        <f t="shared" ca="1" si="38"/>
        <v>-</v>
      </c>
      <c r="R271" s="232">
        <f t="shared" ca="1" si="39"/>
        <v>0</v>
      </c>
      <c r="S271" s="233" t="str">
        <f t="shared" ca="1" si="40"/>
        <v>-</v>
      </c>
    </row>
    <row r="272" spans="1:19">
      <c r="A272" s="292"/>
      <c r="B272" s="293"/>
      <c r="C272" s="291">
        <v>2105</v>
      </c>
      <c r="D272" s="292">
        <v>4.5</v>
      </c>
      <c r="J272" s="221">
        <f t="shared" si="33"/>
        <v>0</v>
      </c>
      <c r="K272" s="222">
        <v>0</v>
      </c>
      <c r="L272" s="228">
        <f t="shared" ca="1" si="34"/>
        <v>0</v>
      </c>
      <c r="M272" s="229">
        <f t="shared" ca="1" si="35"/>
        <v>0</v>
      </c>
      <c r="N272" s="165">
        <v>0</v>
      </c>
      <c r="O272" s="230">
        <f t="shared" ca="1" si="36"/>
        <v>0</v>
      </c>
      <c r="P272" s="231" t="e">
        <f t="shared" ca="1" si="37"/>
        <v>#NAME?</v>
      </c>
      <c r="Q272" s="231" t="str">
        <f t="shared" ca="1" si="38"/>
        <v>-</v>
      </c>
      <c r="R272" s="232">
        <f t="shared" ca="1" si="39"/>
        <v>0</v>
      </c>
      <c r="S272" s="233" t="str">
        <f t="shared" ca="1" si="40"/>
        <v>-</v>
      </c>
    </row>
    <row r="273" spans="1:19">
      <c r="A273" s="292"/>
      <c r="B273" s="293"/>
      <c r="C273" s="291">
        <v>2106</v>
      </c>
      <c r="D273" s="292">
        <v>7.9</v>
      </c>
      <c r="J273" s="221">
        <f t="shared" si="33"/>
        <v>0</v>
      </c>
      <c r="K273" s="222">
        <v>0</v>
      </c>
      <c r="L273" s="228">
        <f t="shared" ca="1" si="34"/>
        <v>0</v>
      </c>
      <c r="M273" s="229">
        <f t="shared" ca="1" si="35"/>
        <v>0</v>
      </c>
      <c r="N273" s="165">
        <v>0</v>
      </c>
      <c r="O273" s="230">
        <f t="shared" ca="1" si="36"/>
        <v>0</v>
      </c>
      <c r="P273" s="231" t="e">
        <f t="shared" ca="1" si="37"/>
        <v>#NAME?</v>
      </c>
      <c r="Q273" s="231" t="str">
        <f t="shared" ca="1" si="38"/>
        <v>-</v>
      </c>
      <c r="R273" s="232">
        <f t="shared" ca="1" si="39"/>
        <v>0</v>
      </c>
      <c r="S273" s="233" t="str">
        <f t="shared" ca="1" si="40"/>
        <v>-</v>
      </c>
    </row>
    <row r="274" spans="1:19">
      <c r="A274" s="292"/>
      <c r="B274" s="293"/>
      <c r="C274" s="291">
        <v>2107</v>
      </c>
      <c r="D274" s="292">
        <v>11.9</v>
      </c>
      <c r="J274" s="221">
        <f t="shared" si="33"/>
        <v>0</v>
      </c>
      <c r="K274" s="222">
        <v>0</v>
      </c>
      <c r="L274" s="228">
        <f t="shared" ca="1" si="34"/>
        <v>0</v>
      </c>
      <c r="M274" s="229">
        <f t="shared" ca="1" si="35"/>
        <v>0</v>
      </c>
      <c r="N274" s="165">
        <v>0</v>
      </c>
      <c r="O274" s="230">
        <f t="shared" ca="1" si="36"/>
        <v>0</v>
      </c>
      <c r="P274" s="231" t="e">
        <f t="shared" ca="1" si="37"/>
        <v>#NAME?</v>
      </c>
      <c r="Q274" s="231" t="str">
        <f t="shared" ca="1" si="38"/>
        <v>-</v>
      </c>
      <c r="R274" s="232">
        <f t="shared" ca="1" si="39"/>
        <v>0</v>
      </c>
      <c r="S274" s="233" t="str">
        <f t="shared" ca="1" si="40"/>
        <v>-</v>
      </c>
    </row>
    <row r="275" spans="1:19">
      <c r="A275" s="292"/>
      <c r="B275" s="293"/>
      <c r="C275" s="291">
        <v>2108</v>
      </c>
      <c r="D275" s="292">
        <v>12</v>
      </c>
      <c r="J275" s="221">
        <f t="shared" si="33"/>
        <v>0</v>
      </c>
      <c r="K275" s="222">
        <v>0</v>
      </c>
      <c r="L275" s="228">
        <f t="shared" ca="1" si="34"/>
        <v>0</v>
      </c>
      <c r="M275" s="229">
        <f t="shared" ca="1" si="35"/>
        <v>0</v>
      </c>
      <c r="N275" s="165">
        <v>0</v>
      </c>
      <c r="O275" s="230">
        <f t="shared" ca="1" si="36"/>
        <v>0</v>
      </c>
      <c r="P275" s="231" t="e">
        <f t="shared" ca="1" si="37"/>
        <v>#NAME?</v>
      </c>
      <c r="Q275" s="231" t="str">
        <f t="shared" ca="1" si="38"/>
        <v>-</v>
      </c>
      <c r="R275" s="232">
        <f t="shared" ca="1" si="39"/>
        <v>0</v>
      </c>
      <c r="S275" s="233" t="str">
        <f t="shared" ca="1" si="40"/>
        <v>-</v>
      </c>
    </row>
    <row r="276" spans="1:19">
      <c r="A276" s="292"/>
      <c r="B276" s="293"/>
      <c r="C276" s="291">
        <v>2109</v>
      </c>
      <c r="D276" s="292">
        <v>10.6</v>
      </c>
      <c r="J276" s="221">
        <f t="shared" si="33"/>
        <v>0</v>
      </c>
      <c r="K276" s="222">
        <v>0</v>
      </c>
      <c r="L276" s="228">
        <f t="shared" ca="1" si="34"/>
        <v>0</v>
      </c>
      <c r="M276" s="229">
        <f t="shared" ca="1" si="35"/>
        <v>0</v>
      </c>
      <c r="N276" s="165">
        <v>0</v>
      </c>
      <c r="O276" s="230">
        <f t="shared" ca="1" si="36"/>
        <v>0</v>
      </c>
      <c r="P276" s="231" t="e">
        <f t="shared" ca="1" si="37"/>
        <v>#NAME?</v>
      </c>
      <c r="Q276" s="231" t="str">
        <f t="shared" ca="1" si="38"/>
        <v>-</v>
      </c>
      <c r="R276" s="232">
        <f t="shared" ca="1" si="39"/>
        <v>0</v>
      </c>
      <c r="S276" s="233" t="str">
        <f t="shared" ca="1" si="40"/>
        <v>-</v>
      </c>
    </row>
    <row r="277" spans="1:19">
      <c r="A277" s="292"/>
      <c r="B277" s="293"/>
      <c r="C277" s="291">
        <v>2110</v>
      </c>
      <c r="D277" s="292">
        <v>6.4</v>
      </c>
      <c r="J277" s="221">
        <f t="shared" si="33"/>
        <v>0</v>
      </c>
      <c r="K277" s="222">
        <v>0</v>
      </c>
      <c r="L277" s="228">
        <f t="shared" ca="1" si="34"/>
        <v>0</v>
      </c>
      <c r="M277" s="229">
        <f t="shared" ca="1" si="35"/>
        <v>0</v>
      </c>
      <c r="N277" s="165">
        <v>0</v>
      </c>
      <c r="O277" s="230">
        <f t="shared" ca="1" si="36"/>
        <v>0</v>
      </c>
      <c r="P277" s="231" t="e">
        <f t="shared" ca="1" si="37"/>
        <v>#NAME?</v>
      </c>
      <c r="Q277" s="231" t="str">
        <f t="shared" ca="1" si="38"/>
        <v>-</v>
      </c>
      <c r="R277" s="232">
        <f t="shared" ca="1" si="39"/>
        <v>0</v>
      </c>
      <c r="S277" s="233" t="str">
        <f t="shared" ca="1" si="40"/>
        <v>-</v>
      </c>
    </row>
    <row r="278" spans="1:19">
      <c r="A278" s="292"/>
      <c r="B278" s="293"/>
      <c r="C278" s="291">
        <v>2111</v>
      </c>
      <c r="D278" s="292">
        <v>6.4</v>
      </c>
      <c r="J278" s="221">
        <f t="shared" si="33"/>
        <v>0</v>
      </c>
      <c r="K278" s="222">
        <v>0</v>
      </c>
      <c r="L278" s="228">
        <f t="shared" ca="1" si="34"/>
        <v>0</v>
      </c>
      <c r="M278" s="229">
        <f t="shared" ca="1" si="35"/>
        <v>0</v>
      </c>
      <c r="N278" s="165">
        <v>0</v>
      </c>
      <c r="O278" s="230">
        <f t="shared" ca="1" si="36"/>
        <v>0</v>
      </c>
      <c r="P278" s="231" t="e">
        <f t="shared" ca="1" si="37"/>
        <v>#NAME?</v>
      </c>
      <c r="Q278" s="231" t="str">
        <f t="shared" ca="1" si="38"/>
        <v>-</v>
      </c>
      <c r="R278" s="232">
        <f t="shared" ca="1" si="39"/>
        <v>0</v>
      </c>
      <c r="S278" s="233" t="str">
        <f t="shared" ca="1" si="40"/>
        <v>-</v>
      </c>
    </row>
    <row r="279" spans="1:19">
      <c r="A279" s="292"/>
      <c r="B279" s="293"/>
      <c r="C279" s="291">
        <v>2114</v>
      </c>
      <c r="D279" s="292">
        <v>11</v>
      </c>
      <c r="J279" s="221">
        <f t="shared" si="33"/>
        <v>0</v>
      </c>
      <c r="K279" s="222">
        <v>0</v>
      </c>
      <c r="L279" s="228">
        <f t="shared" ca="1" si="34"/>
        <v>0</v>
      </c>
      <c r="M279" s="229">
        <f t="shared" ca="1" si="35"/>
        <v>0</v>
      </c>
      <c r="N279" s="165">
        <v>0</v>
      </c>
      <c r="O279" s="230">
        <f t="shared" ca="1" si="36"/>
        <v>0</v>
      </c>
      <c r="P279" s="231" t="e">
        <f t="shared" ca="1" si="37"/>
        <v>#NAME?</v>
      </c>
      <c r="Q279" s="231" t="str">
        <f t="shared" ca="1" si="38"/>
        <v>-</v>
      </c>
      <c r="R279" s="232">
        <f t="shared" ca="1" si="39"/>
        <v>0</v>
      </c>
      <c r="S279" s="233" t="str">
        <f t="shared" ca="1" si="40"/>
        <v>-</v>
      </c>
    </row>
    <row r="280" spans="1:19">
      <c r="A280" s="292"/>
      <c r="B280" s="293"/>
      <c r="C280" s="291">
        <v>3090</v>
      </c>
      <c r="D280" s="292">
        <v>12</v>
      </c>
      <c r="J280" s="221">
        <f t="shared" si="33"/>
        <v>0</v>
      </c>
      <c r="K280" s="222">
        <v>0</v>
      </c>
      <c r="L280" s="228">
        <f t="shared" ca="1" si="34"/>
        <v>0</v>
      </c>
      <c r="M280" s="229">
        <f t="shared" ca="1" si="35"/>
        <v>0</v>
      </c>
      <c r="N280" s="165">
        <v>0</v>
      </c>
      <c r="O280" s="230">
        <f t="shared" ca="1" si="36"/>
        <v>0</v>
      </c>
      <c r="P280" s="231" t="e">
        <f t="shared" ca="1" si="37"/>
        <v>#NAME?</v>
      </c>
      <c r="Q280" s="231" t="str">
        <f t="shared" ca="1" si="38"/>
        <v>-</v>
      </c>
      <c r="R280" s="232">
        <f t="shared" ca="1" si="39"/>
        <v>0</v>
      </c>
      <c r="S280" s="233" t="str">
        <f t="shared" ca="1" si="40"/>
        <v>-</v>
      </c>
    </row>
    <row r="281" spans="1:19">
      <c r="A281" s="292"/>
      <c r="B281" s="293"/>
      <c r="C281" s="291">
        <v>3091</v>
      </c>
      <c r="D281" s="292">
        <v>12</v>
      </c>
      <c r="J281" s="221">
        <f t="shared" si="33"/>
        <v>0</v>
      </c>
      <c r="K281" s="222">
        <v>0</v>
      </c>
      <c r="L281" s="228">
        <f t="shared" ca="1" si="34"/>
        <v>0</v>
      </c>
      <c r="M281" s="229">
        <f t="shared" ca="1" si="35"/>
        <v>0</v>
      </c>
      <c r="N281" s="165">
        <v>0</v>
      </c>
      <c r="O281" s="230">
        <f t="shared" ca="1" si="36"/>
        <v>0</v>
      </c>
      <c r="P281" s="231" t="e">
        <f t="shared" ca="1" si="37"/>
        <v>#NAME?</v>
      </c>
      <c r="Q281" s="231" t="str">
        <f t="shared" ca="1" si="38"/>
        <v>-</v>
      </c>
      <c r="R281" s="232">
        <f t="shared" ca="1" si="39"/>
        <v>0</v>
      </c>
      <c r="S281" s="233" t="str">
        <f t="shared" ca="1" si="40"/>
        <v>-</v>
      </c>
    </row>
    <row r="282" spans="1:19">
      <c r="A282" s="292"/>
      <c r="B282" s="293"/>
      <c r="C282" s="291">
        <v>3120</v>
      </c>
      <c r="D282" s="292"/>
      <c r="J282" s="221">
        <f t="shared" si="33"/>
        <v>0</v>
      </c>
      <c r="K282" s="222">
        <v>0</v>
      </c>
      <c r="L282" s="228">
        <f t="shared" ca="1" si="34"/>
        <v>0</v>
      </c>
      <c r="M282" s="229">
        <f t="shared" ca="1" si="35"/>
        <v>0</v>
      </c>
      <c r="N282" s="165">
        <v>0</v>
      </c>
      <c r="O282" s="230">
        <f t="shared" ca="1" si="36"/>
        <v>0</v>
      </c>
      <c r="P282" s="231" t="e">
        <f t="shared" ca="1" si="37"/>
        <v>#NAME?</v>
      </c>
      <c r="Q282" s="231" t="str">
        <f t="shared" ca="1" si="38"/>
        <v>-</v>
      </c>
      <c r="R282" s="232">
        <f t="shared" ca="1" si="39"/>
        <v>0</v>
      </c>
      <c r="S282" s="233" t="str">
        <f t="shared" ca="1" si="40"/>
        <v>-</v>
      </c>
    </row>
    <row r="283" spans="1:19">
      <c r="A283" s="292"/>
      <c r="B283" s="293"/>
      <c r="C283" s="291">
        <v>3240</v>
      </c>
      <c r="D283" s="292">
        <v>12.8</v>
      </c>
      <c r="J283" s="221">
        <f t="shared" si="33"/>
        <v>0</v>
      </c>
      <c r="K283" s="222">
        <v>0</v>
      </c>
      <c r="L283" s="228">
        <f t="shared" ca="1" si="34"/>
        <v>0</v>
      </c>
      <c r="M283" s="229">
        <f t="shared" ca="1" si="35"/>
        <v>0</v>
      </c>
      <c r="N283" s="165">
        <v>0</v>
      </c>
      <c r="O283" s="230">
        <f t="shared" ca="1" si="36"/>
        <v>0</v>
      </c>
      <c r="P283" s="231" t="e">
        <f t="shared" ca="1" si="37"/>
        <v>#NAME?</v>
      </c>
      <c r="Q283" s="231" t="str">
        <f t="shared" ca="1" si="38"/>
        <v>-</v>
      </c>
      <c r="R283" s="232">
        <f t="shared" ca="1" si="39"/>
        <v>0</v>
      </c>
      <c r="S283" s="233" t="str">
        <f t="shared" ca="1" si="40"/>
        <v>-</v>
      </c>
    </row>
    <row r="284" spans="1:19">
      <c r="A284" s="292"/>
      <c r="B284" s="293"/>
      <c r="C284" s="291">
        <v>3250</v>
      </c>
      <c r="D284" s="292">
        <v>12</v>
      </c>
      <c r="J284" s="221">
        <f t="shared" si="33"/>
        <v>0</v>
      </c>
      <c r="K284" s="222">
        <v>0</v>
      </c>
      <c r="L284" s="228">
        <f t="shared" ca="1" si="34"/>
        <v>0</v>
      </c>
      <c r="M284" s="229">
        <f t="shared" ca="1" si="35"/>
        <v>0</v>
      </c>
      <c r="N284" s="165">
        <v>0</v>
      </c>
      <c r="O284" s="230">
        <f t="shared" ca="1" si="36"/>
        <v>0</v>
      </c>
      <c r="P284" s="231" t="e">
        <f t="shared" ca="1" si="37"/>
        <v>#NAME?</v>
      </c>
      <c r="Q284" s="231" t="str">
        <f t="shared" ca="1" si="38"/>
        <v>-</v>
      </c>
      <c r="R284" s="232">
        <f t="shared" ca="1" si="39"/>
        <v>0</v>
      </c>
      <c r="S284" s="233" t="str">
        <f t="shared" ca="1" si="40"/>
        <v>-</v>
      </c>
    </row>
    <row r="285" spans="1:19">
      <c r="A285" s="292"/>
      <c r="B285" s="293"/>
      <c r="C285" s="291">
        <v>3260</v>
      </c>
      <c r="D285" s="292">
        <v>15</v>
      </c>
      <c r="J285" s="221">
        <f t="shared" si="33"/>
        <v>0</v>
      </c>
      <c r="K285" s="222">
        <v>0</v>
      </c>
      <c r="L285" s="228">
        <f t="shared" ca="1" si="34"/>
        <v>0</v>
      </c>
      <c r="M285" s="229">
        <f t="shared" ca="1" si="35"/>
        <v>0</v>
      </c>
      <c r="N285" s="165">
        <v>0</v>
      </c>
      <c r="O285" s="230">
        <f t="shared" ca="1" si="36"/>
        <v>0</v>
      </c>
      <c r="P285" s="231" t="e">
        <f t="shared" ca="1" si="37"/>
        <v>#NAME?</v>
      </c>
      <c r="Q285" s="231" t="str">
        <f t="shared" ca="1" si="38"/>
        <v>-</v>
      </c>
      <c r="R285" s="232">
        <f t="shared" ca="1" si="39"/>
        <v>0</v>
      </c>
      <c r="S285" s="233" t="str">
        <f t="shared" ca="1" si="40"/>
        <v>-</v>
      </c>
    </row>
    <row r="286" spans="1:19">
      <c r="A286" s="292"/>
      <c r="B286" s="293"/>
      <c r="C286" s="291">
        <v>3270</v>
      </c>
      <c r="D286" s="292">
        <v>12.5</v>
      </c>
      <c r="J286" s="221">
        <f t="shared" si="33"/>
        <v>0</v>
      </c>
      <c r="K286" s="222">
        <v>0</v>
      </c>
      <c r="L286" s="228">
        <f t="shared" ca="1" si="34"/>
        <v>0</v>
      </c>
      <c r="M286" s="229">
        <f t="shared" ca="1" si="35"/>
        <v>0</v>
      </c>
      <c r="N286" s="165">
        <v>0</v>
      </c>
      <c r="O286" s="230">
        <f t="shared" ca="1" si="36"/>
        <v>0</v>
      </c>
      <c r="P286" s="231" t="e">
        <f t="shared" ca="1" si="37"/>
        <v>#NAME?</v>
      </c>
      <c r="Q286" s="231" t="str">
        <f t="shared" ca="1" si="38"/>
        <v>-</v>
      </c>
      <c r="R286" s="232">
        <f t="shared" ca="1" si="39"/>
        <v>0</v>
      </c>
      <c r="S286" s="233" t="str">
        <f t="shared" ca="1" si="40"/>
        <v>-</v>
      </c>
    </row>
    <row r="287" spans="1:19">
      <c r="A287" s="292"/>
      <c r="B287" s="293"/>
      <c r="C287" s="291">
        <v>3280</v>
      </c>
      <c r="D287" s="292">
        <v>12</v>
      </c>
      <c r="J287" s="221">
        <f t="shared" si="33"/>
        <v>0</v>
      </c>
      <c r="K287" s="222">
        <v>0</v>
      </c>
      <c r="L287" s="228">
        <f t="shared" ca="1" si="34"/>
        <v>0</v>
      </c>
      <c r="M287" s="229">
        <f t="shared" ca="1" si="35"/>
        <v>0</v>
      </c>
      <c r="N287" s="165">
        <v>0</v>
      </c>
      <c r="O287" s="230">
        <f t="shared" ca="1" si="36"/>
        <v>0</v>
      </c>
      <c r="P287" s="231" t="e">
        <f t="shared" ca="1" si="37"/>
        <v>#NAME?</v>
      </c>
      <c r="Q287" s="231" t="str">
        <f t="shared" ca="1" si="38"/>
        <v>-</v>
      </c>
      <c r="R287" s="232">
        <f t="shared" ca="1" si="39"/>
        <v>0</v>
      </c>
      <c r="S287" s="233" t="str">
        <f t="shared" ca="1" si="40"/>
        <v>-</v>
      </c>
    </row>
    <row r="288" spans="1:19">
      <c r="A288" s="292"/>
      <c r="B288" s="293"/>
      <c r="C288" s="291">
        <v>3281</v>
      </c>
      <c r="D288" s="292">
        <v>12</v>
      </c>
      <c r="J288" s="221">
        <f t="shared" si="33"/>
        <v>0</v>
      </c>
      <c r="K288" s="222">
        <v>0</v>
      </c>
      <c r="L288" s="228">
        <f t="shared" ca="1" si="34"/>
        <v>0</v>
      </c>
      <c r="M288" s="229">
        <f t="shared" ca="1" si="35"/>
        <v>0</v>
      </c>
      <c r="N288" s="165">
        <v>0</v>
      </c>
      <c r="O288" s="230">
        <f t="shared" ca="1" si="36"/>
        <v>0</v>
      </c>
      <c r="P288" s="231" t="e">
        <f t="shared" ca="1" si="37"/>
        <v>#NAME?</v>
      </c>
      <c r="Q288" s="231" t="str">
        <f t="shared" ca="1" si="38"/>
        <v>-</v>
      </c>
      <c r="R288" s="232">
        <f t="shared" ca="1" si="39"/>
        <v>0</v>
      </c>
      <c r="S288" s="233" t="str">
        <f t="shared" ca="1" si="40"/>
        <v>-</v>
      </c>
    </row>
    <row r="289" spans="1:20">
      <c r="A289" s="292"/>
      <c r="B289" s="293"/>
      <c r="C289" s="291">
        <v>3500</v>
      </c>
      <c r="D289" s="292"/>
      <c r="J289" s="221">
        <f t="shared" si="33"/>
        <v>0</v>
      </c>
      <c r="K289" s="222">
        <v>0</v>
      </c>
      <c r="L289" s="228">
        <f t="shared" ca="1" si="34"/>
        <v>0</v>
      </c>
      <c r="M289" s="229">
        <f t="shared" ca="1" si="35"/>
        <v>0</v>
      </c>
      <c r="N289" s="165">
        <v>0</v>
      </c>
      <c r="O289" s="230">
        <f t="shared" ca="1" si="36"/>
        <v>0</v>
      </c>
      <c r="P289" s="231" t="e">
        <f t="shared" ca="1" si="37"/>
        <v>#NAME?</v>
      </c>
      <c r="Q289" s="231" t="str">
        <f t="shared" ca="1" si="38"/>
        <v>-</v>
      </c>
      <c r="R289" s="232">
        <f t="shared" ca="1" si="39"/>
        <v>0</v>
      </c>
      <c r="S289" s="233" t="str">
        <f t="shared" ca="1" si="40"/>
        <v>-</v>
      </c>
    </row>
    <row r="290" spans="1:20">
      <c r="A290" s="292"/>
      <c r="B290" s="293"/>
      <c r="C290" s="291"/>
      <c r="D290" s="292"/>
      <c r="J290" s="221">
        <f t="shared" si="33"/>
        <v>0</v>
      </c>
      <c r="K290" s="222">
        <v>0</v>
      </c>
      <c r="L290" s="228">
        <f t="shared" ca="1" si="34"/>
        <v>0</v>
      </c>
      <c r="M290" s="229">
        <f t="shared" ca="1" si="35"/>
        <v>0</v>
      </c>
      <c r="N290" s="165">
        <v>0</v>
      </c>
      <c r="O290" s="230">
        <f t="shared" ca="1" si="36"/>
        <v>0</v>
      </c>
      <c r="P290" s="231" t="e">
        <f t="shared" ca="1" si="37"/>
        <v>#NAME?</v>
      </c>
      <c r="Q290" s="231" t="str">
        <f t="shared" ca="1" si="38"/>
        <v>-</v>
      </c>
      <c r="R290" s="232">
        <f t="shared" ca="1" si="39"/>
        <v>0</v>
      </c>
      <c r="S290" s="233" t="str">
        <f t="shared" ca="1" si="40"/>
        <v>-</v>
      </c>
    </row>
    <row r="291" spans="1:20">
      <c r="A291" s="292"/>
      <c r="B291" s="293"/>
      <c r="C291" s="291">
        <v>7102</v>
      </c>
      <c r="D291" s="292">
        <v>6.78</v>
      </c>
      <c r="J291" s="221">
        <f t="shared" si="33"/>
        <v>0</v>
      </c>
      <c r="K291" s="222">
        <v>0</v>
      </c>
      <c r="L291" s="228">
        <f t="shared" ca="1" si="34"/>
        <v>0</v>
      </c>
      <c r="M291" s="229">
        <f t="shared" ca="1" si="35"/>
        <v>0</v>
      </c>
      <c r="N291" s="165">
        <v>0</v>
      </c>
      <c r="O291" s="230">
        <f t="shared" ca="1" si="36"/>
        <v>0</v>
      </c>
      <c r="P291" s="231" t="e">
        <f t="shared" ca="1" si="37"/>
        <v>#NAME?</v>
      </c>
      <c r="Q291" s="231" t="str">
        <f t="shared" ca="1" si="38"/>
        <v>-</v>
      </c>
      <c r="R291" s="232">
        <f t="shared" ca="1" si="39"/>
        <v>0</v>
      </c>
      <c r="S291" s="233" t="str">
        <f t="shared" ca="1" si="40"/>
        <v>-</v>
      </c>
    </row>
    <row r="292" spans="1:20">
      <c r="A292" s="292"/>
      <c r="B292" s="293"/>
      <c r="C292" s="291">
        <v>7103</v>
      </c>
      <c r="D292" s="292">
        <v>6</v>
      </c>
      <c r="J292" s="221">
        <f t="shared" si="33"/>
        <v>0</v>
      </c>
      <c r="K292" s="222">
        <v>0</v>
      </c>
      <c r="L292" s="228">
        <f t="shared" ca="1" si="34"/>
        <v>0</v>
      </c>
      <c r="M292" s="229">
        <f t="shared" ca="1" si="35"/>
        <v>0</v>
      </c>
      <c r="N292" s="165">
        <v>0</v>
      </c>
      <c r="O292" s="230">
        <f t="shared" ca="1" si="36"/>
        <v>0</v>
      </c>
      <c r="P292" s="231" t="e">
        <f t="shared" ca="1" si="37"/>
        <v>#NAME?</v>
      </c>
      <c r="Q292" s="231" t="str">
        <f t="shared" ca="1" si="38"/>
        <v>-</v>
      </c>
      <c r="R292" s="232">
        <f t="shared" ca="1" si="39"/>
        <v>0</v>
      </c>
      <c r="S292" s="233" t="str">
        <f t="shared" ca="1" si="40"/>
        <v>-</v>
      </c>
    </row>
    <row r="293" spans="1:20">
      <c r="A293" s="292"/>
      <c r="B293" s="293"/>
      <c r="C293" s="291">
        <v>7104</v>
      </c>
      <c r="D293" s="292">
        <v>10</v>
      </c>
      <c r="J293" s="221">
        <f t="shared" si="33"/>
        <v>0</v>
      </c>
      <c r="K293" s="222">
        <v>0</v>
      </c>
      <c r="L293" s="228">
        <f t="shared" ca="1" si="34"/>
        <v>0</v>
      </c>
      <c r="M293" s="229">
        <f t="shared" ca="1" si="35"/>
        <v>0</v>
      </c>
      <c r="N293" s="165">
        <v>0</v>
      </c>
      <c r="O293" s="230">
        <f t="shared" ca="1" si="36"/>
        <v>0</v>
      </c>
      <c r="P293" s="231" t="e">
        <f t="shared" ca="1" si="37"/>
        <v>#NAME?</v>
      </c>
      <c r="Q293" s="231" t="str">
        <f t="shared" ca="1" si="38"/>
        <v>-</v>
      </c>
      <c r="R293" s="232">
        <f t="shared" ca="1" si="39"/>
        <v>0</v>
      </c>
      <c r="S293" s="233" t="str">
        <f t="shared" ca="1" si="40"/>
        <v>-</v>
      </c>
    </row>
    <row r="294" spans="1:20">
      <c r="A294" s="292"/>
      <c r="B294" s="293"/>
      <c r="C294" s="291">
        <v>7105</v>
      </c>
      <c r="D294" s="292">
        <v>8.5</v>
      </c>
      <c r="J294" s="221">
        <f t="shared" si="33"/>
        <v>0</v>
      </c>
      <c r="K294" s="222">
        <v>0</v>
      </c>
      <c r="L294" s="228">
        <f t="shared" ca="1" si="34"/>
        <v>0</v>
      </c>
      <c r="M294" s="229">
        <f t="shared" ca="1" si="35"/>
        <v>0</v>
      </c>
      <c r="N294" s="165">
        <v>0</v>
      </c>
      <c r="O294" s="230">
        <f t="shared" ca="1" si="36"/>
        <v>0</v>
      </c>
      <c r="P294" s="231" t="e">
        <f t="shared" ca="1" si="37"/>
        <v>#NAME?</v>
      </c>
      <c r="Q294" s="231" t="str">
        <f t="shared" ca="1" si="38"/>
        <v>-</v>
      </c>
      <c r="R294" s="232">
        <f t="shared" ca="1" si="39"/>
        <v>0</v>
      </c>
      <c r="S294" s="233" t="str">
        <f t="shared" ca="1" si="40"/>
        <v>-</v>
      </c>
    </row>
    <row r="295" spans="1:20">
      <c r="A295" s="292"/>
      <c r="B295" s="293"/>
      <c r="C295" s="291">
        <v>7107</v>
      </c>
      <c r="D295" s="292">
        <v>9.4894531249999989</v>
      </c>
      <c r="J295" s="221">
        <f t="shared" si="33"/>
        <v>0</v>
      </c>
      <c r="K295" s="222">
        <v>0</v>
      </c>
      <c r="L295" s="228">
        <f t="shared" ca="1" si="34"/>
        <v>0</v>
      </c>
      <c r="M295" s="229">
        <f t="shared" ca="1" si="35"/>
        <v>0</v>
      </c>
      <c r="N295" s="165">
        <v>0</v>
      </c>
      <c r="O295" s="230">
        <f t="shared" ca="1" si="36"/>
        <v>0</v>
      </c>
      <c r="P295" s="231" t="e">
        <f t="shared" ca="1" si="37"/>
        <v>#NAME?</v>
      </c>
      <c r="Q295" s="231" t="str">
        <f t="shared" ca="1" si="38"/>
        <v>-</v>
      </c>
      <c r="R295" s="232">
        <f t="shared" ca="1" si="39"/>
        <v>0</v>
      </c>
      <c r="S295" s="233" t="str">
        <f t="shared" ca="1" si="40"/>
        <v>-</v>
      </c>
    </row>
    <row r="296" spans="1:20">
      <c r="A296" s="292"/>
      <c r="B296" s="293"/>
      <c r="C296" s="291">
        <v>7108</v>
      </c>
      <c r="D296" s="292">
        <v>9.9</v>
      </c>
      <c r="J296" s="221">
        <f t="shared" si="33"/>
        <v>0</v>
      </c>
      <c r="K296" s="222">
        <v>0</v>
      </c>
      <c r="L296" s="228">
        <f t="shared" ca="1" si="34"/>
        <v>0</v>
      </c>
      <c r="M296" s="229">
        <f t="shared" ca="1" si="35"/>
        <v>0</v>
      </c>
      <c r="N296" s="165">
        <v>0</v>
      </c>
      <c r="O296" s="230">
        <f t="shared" ca="1" si="36"/>
        <v>0</v>
      </c>
      <c r="P296" s="231" t="e">
        <f t="shared" ca="1" si="37"/>
        <v>#NAME?</v>
      </c>
      <c r="Q296" s="231" t="str">
        <f t="shared" ca="1" si="38"/>
        <v>-</v>
      </c>
      <c r="R296" s="232">
        <f t="shared" ca="1" si="39"/>
        <v>0</v>
      </c>
      <c r="S296" s="233" t="str">
        <f t="shared" ca="1" si="40"/>
        <v>-</v>
      </c>
    </row>
    <row r="297" spans="1:20">
      <c r="A297" s="292"/>
      <c r="B297" s="293"/>
      <c r="C297" s="291">
        <v>7109</v>
      </c>
      <c r="D297" s="292">
        <v>12</v>
      </c>
      <c r="J297" s="221">
        <f t="shared" si="33"/>
        <v>0</v>
      </c>
      <c r="K297" s="222">
        <v>0</v>
      </c>
      <c r="L297" s="228">
        <f t="shared" ca="1" si="34"/>
        <v>0</v>
      </c>
      <c r="M297" s="229">
        <f t="shared" ca="1" si="35"/>
        <v>0</v>
      </c>
      <c r="N297" s="165">
        <v>0</v>
      </c>
      <c r="O297" s="230">
        <f t="shared" ca="1" si="36"/>
        <v>0</v>
      </c>
      <c r="P297" s="231" t="e">
        <f t="shared" ca="1" si="37"/>
        <v>#NAME?</v>
      </c>
      <c r="Q297" s="231" t="str">
        <f t="shared" ca="1" si="38"/>
        <v>-</v>
      </c>
      <c r="R297" s="232">
        <f t="shared" ca="1" si="39"/>
        <v>0</v>
      </c>
      <c r="S297" s="233" t="str">
        <f t="shared" ca="1" si="40"/>
        <v>-</v>
      </c>
    </row>
    <row r="298" spans="1:20">
      <c r="A298" s="292"/>
      <c r="B298" s="293"/>
      <c r="C298" s="291">
        <v>7112</v>
      </c>
      <c r="D298" s="292"/>
      <c r="J298" s="221">
        <f t="shared" si="33"/>
        <v>0</v>
      </c>
      <c r="K298" s="222">
        <v>0</v>
      </c>
      <c r="L298" s="228">
        <f t="shared" ca="1" si="34"/>
        <v>0</v>
      </c>
      <c r="M298" s="229">
        <f t="shared" ca="1" si="35"/>
        <v>0</v>
      </c>
      <c r="N298" s="165">
        <v>0</v>
      </c>
      <c r="O298" s="230">
        <f t="shared" ca="1" si="36"/>
        <v>0</v>
      </c>
      <c r="P298" s="231" t="e">
        <f t="shared" ca="1" si="37"/>
        <v>#NAME?</v>
      </c>
      <c r="Q298" s="231" t="str">
        <f t="shared" ca="1" si="38"/>
        <v>-</v>
      </c>
      <c r="R298" s="232">
        <f t="shared" ca="1" si="39"/>
        <v>0</v>
      </c>
      <c r="S298" s="233" t="str">
        <f t="shared" ca="1" si="40"/>
        <v>-</v>
      </c>
    </row>
    <row r="299" spans="1:20">
      <c r="A299" s="292"/>
      <c r="B299" s="293"/>
      <c r="C299" s="291">
        <v>7114</v>
      </c>
      <c r="D299" s="292">
        <v>9</v>
      </c>
      <c r="J299" s="221">
        <f t="shared" si="33"/>
        <v>0</v>
      </c>
      <c r="K299" s="222">
        <v>0</v>
      </c>
      <c r="L299" s="228">
        <f t="shared" ca="1" si="34"/>
        <v>0</v>
      </c>
      <c r="M299" s="229">
        <f t="shared" ca="1" si="35"/>
        <v>0</v>
      </c>
      <c r="N299" s="165">
        <v>0</v>
      </c>
      <c r="O299" s="230">
        <f t="shared" ca="1" si="36"/>
        <v>0</v>
      </c>
      <c r="P299" s="231" t="e">
        <f t="shared" ca="1" si="37"/>
        <v>#NAME?</v>
      </c>
      <c r="Q299" s="231" t="str">
        <f t="shared" ca="1" si="38"/>
        <v>-</v>
      </c>
      <c r="R299" s="232">
        <f t="shared" ca="1" si="39"/>
        <v>0</v>
      </c>
      <c r="S299" s="233" t="str">
        <f t="shared" ca="1" si="40"/>
        <v>-</v>
      </c>
    </row>
    <row r="300" spans="1:20">
      <c r="A300" s="292"/>
      <c r="B300" s="293"/>
      <c r="C300" s="291">
        <v>7115</v>
      </c>
      <c r="D300" s="292">
        <v>9.9</v>
      </c>
      <c r="J300" s="221">
        <f t="shared" si="33"/>
        <v>0</v>
      </c>
      <c r="K300" s="222">
        <v>0</v>
      </c>
      <c r="L300" s="228">
        <f t="shared" ca="1" si="34"/>
        <v>0</v>
      </c>
      <c r="M300" s="229">
        <f t="shared" ca="1" si="35"/>
        <v>0</v>
      </c>
      <c r="N300" s="165">
        <v>0</v>
      </c>
      <c r="O300" s="230">
        <f t="shared" ca="1" si="36"/>
        <v>0</v>
      </c>
      <c r="P300" s="231" t="e">
        <f t="shared" ca="1" si="37"/>
        <v>#NAME?</v>
      </c>
      <c r="Q300" s="231" t="str">
        <f t="shared" ca="1" si="38"/>
        <v>-</v>
      </c>
      <c r="R300" s="232">
        <f t="shared" ca="1" si="39"/>
        <v>0</v>
      </c>
      <c r="S300" s="233" t="str">
        <f t="shared" ca="1" si="40"/>
        <v>-</v>
      </c>
    </row>
    <row r="301" spans="1:20">
      <c r="A301" s="292"/>
      <c r="B301" s="293"/>
      <c r="C301" s="291">
        <v>7116</v>
      </c>
      <c r="D301" s="292">
        <v>10</v>
      </c>
      <c r="L301" s="294"/>
      <c r="P301" s="271"/>
      <c r="Q301" s="271"/>
      <c r="R301" s="271"/>
      <c r="T301">
        <v>0</v>
      </c>
    </row>
    <row r="302" spans="1:20">
      <c r="A302" s="292"/>
      <c r="B302" s="293"/>
      <c r="C302" s="291">
        <v>7117</v>
      </c>
      <c r="D302" s="292">
        <v>12</v>
      </c>
      <c r="L302" s="294"/>
      <c r="P302" s="271"/>
      <c r="Q302" s="271"/>
      <c r="R302" s="271"/>
      <c r="T302">
        <v>0</v>
      </c>
    </row>
    <row r="303" spans="1:20">
      <c r="A303" s="292"/>
      <c r="B303" s="293"/>
      <c r="C303" s="291">
        <v>7118</v>
      </c>
      <c r="D303" s="292">
        <v>9.7315136710379679</v>
      </c>
      <c r="L303" s="294"/>
      <c r="P303" s="271"/>
      <c r="Q303" s="271"/>
      <c r="R303" s="271"/>
      <c r="T303">
        <v>0</v>
      </c>
    </row>
    <row r="304" spans="1:20">
      <c r="A304" s="292"/>
      <c r="B304" s="293"/>
      <c r="C304" s="291">
        <v>7119</v>
      </c>
      <c r="D304" s="292">
        <v>8.75</v>
      </c>
      <c r="L304" s="294"/>
      <c r="P304" s="271"/>
      <c r="Q304" s="271"/>
      <c r="R304" s="271"/>
      <c r="T304">
        <v>0</v>
      </c>
    </row>
    <row r="305" spans="1:20">
      <c r="A305" s="292"/>
      <c r="B305" s="293"/>
      <c r="C305" s="291">
        <v>7120</v>
      </c>
      <c r="D305" s="292">
        <v>7.8</v>
      </c>
      <c r="L305" s="294"/>
      <c r="P305" s="271"/>
      <c r="Q305" s="271"/>
      <c r="R305" s="271"/>
      <c r="T305">
        <v>0</v>
      </c>
    </row>
    <row r="306" spans="1:20">
      <c r="A306" s="292"/>
      <c r="B306" s="293"/>
      <c r="C306" s="291">
        <v>7122</v>
      </c>
      <c r="D306" s="292">
        <v>6</v>
      </c>
      <c r="L306" s="294"/>
      <c r="P306" s="271"/>
      <c r="Q306" s="271"/>
      <c r="R306" s="271"/>
      <c r="T306">
        <v>0</v>
      </c>
    </row>
    <row r="307" spans="1:20">
      <c r="A307" s="292"/>
      <c r="B307" s="293"/>
      <c r="C307" s="291">
        <v>7123</v>
      </c>
      <c r="D307" s="292">
        <v>6</v>
      </c>
      <c r="L307" s="294"/>
      <c r="P307" s="271"/>
      <c r="Q307" s="271"/>
      <c r="R307" s="271"/>
      <c r="T307">
        <v>0</v>
      </c>
    </row>
    <row r="308" spans="1:20">
      <c r="A308" s="292"/>
      <c r="B308" s="293"/>
      <c r="C308" s="291">
        <v>7124</v>
      </c>
      <c r="D308" s="292">
        <v>7.8925908221797316</v>
      </c>
      <c r="L308" s="294"/>
      <c r="P308" s="271"/>
      <c r="Q308" s="271"/>
      <c r="R308" s="271"/>
      <c r="T308">
        <v>0</v>
      </c>
    </row>
    <row r="309" spans="1:20">
      <c r="A309" s="292"/>
      <c r="B309" s="293"/>
      <c r="C309" s="291">
        <v>7125</v>
      </c>
      <c r="D309" s="292">
        <v>8.923096960926193</v>
      </c>
      <c r="L309" s="294"/>
      <c r="P309" s="271"/>
      <c r="Q309" s="271"/>
      <c r="R309" s="271"/>
      <c r="T309">
        <v>0</v>
      </c>
    </row>
    <row r="310" spans="1:20">
      <c r="A310" s="292"/>
      <c r="B310" s="293"/>
      <c r="C310" s="291">
        <v>7126</v>
      </c>
      <c r="D310" s="292">
        <v>6.18</v>
      </c>
      <c r="L310" s="294"/>
      <c r="P310" s="271"/>
      <c r="Q310" s="271"/>
      <c r="R310" s="271"/>
      <c r="T310">
        <v>0</v>
      </c>
    </row>
    <row r="311" spans="1:20">
      <c r="A311" s="292"/>
      <c r="B311" s="293"/>
      <c r="C311" s="291">
        <v>7127</v>
      </c>
      <c r="D311" s="292">
        <v>10.24</v>
      </c>
      <c r="L311" s="294"/>
      <c r="P311" s="271"/>
      <c r="Q311" s="271"/>
      <c r="R311" s="271"/>
      <c r="T311">
        <v>0</v>
      </c>
    </row>
    <row r="312" spans="1:20">
      <c r="A312" s="292"/>
      <c r="B312" s="293"/>
      <c r="C312" s="291">
        <v>7128</v>
      </c>
      <c r="D312" s="292">
        <v>8.370000000000001</v>
      </c>
      <c r="L312" s="294"/>
      <c r="P312" s="271"/>
      <c r="Q312" s="271"/>
      <c r="R312" s="271"/>
      <c r="T312">
        <v>0</v>
      </c>
    </row>
    <row r="313" spans="1:20">
      <c r="A313" s="292"/>
      <c r="B313" s="293"/>
      <c r="C313" s="291">
        <v>7129</v>
      </c>
      <c r="D313" s="292">
        <v>8.1991483361534119</v>
      </c>
      <c r="L313" s="294"/>
      <c r="P313" s="271"/>
      <c r="Q313" s="271"/>
      <c r="R313" s="271"/>
      <c r="T313">
        <v>0</v>
      </c>
    </row>
    <row r="314" spans="1:20">
      <c r="A314" s="292"/>
      <c r="B314" s="293"/>
      <c r="C314" s="291">
        <v>7130</v>
      </c>
      <c r="D314" s="292">
        <v>6.8849999999999998</v>
      </c>
      <c r="L314" s="294"/>
      <c r="P314" s="271"/>
      <c r="Q314" s="271"/>
      <c r="R314" s="271"/>
      <c r="T314">
        <v>0</v>
      </c>
    </row>
    <row r="315" spans="1:20">
      <c r="A315" s="292"/>
      <c r="B315" s="293"/>
      <c r="C315" s="291">
        <v>7131</v>
      </c>
      <c r="D315" s="292">
        <v>6</v>
      </c>
      <c r="L315" s="294"/>
      <c r="P315" s="271"/>
      <c r="Q315" s="271"/>
      <c r="R315" s="271"/>
      <c r="T315">
        <v>0</v>
      </c>
    </row>
    <row r="316" spans="1:20">
      <c r="A316" s="292"/>
      <c r="B316" s="293"/>
      <c r="C316" s="291">
        <v>7132</v>
      </c>
      <c r="D316" s="292">
        <v>8.8800000000000008</v>
      </c>
      <c r="L316" s="294"/>
      <c r="P316" s="271"/>
      <c r="Q316" s="271"/>
      <c r="R316" s="271"/>
      <c r="T316">
        <v>0</v>
      </c>
    </row>
    <row r="317" spans="1:20">
      <c r="A317" s="292"/>
      <c r="B317" s="293"/>
      <c r="C317" s="291">
        <v>7133</v>
      </c>
      <c r="D317" s="292">
        <v>5.6996548998946261</v>
      </c>
      <c r="L317" s="294"/>
      <c r="P317" s="271"/>
      <c r="Q317" s="271"/>
      <c r="R317" s="271"/>
      <c r="T317">
        <v>0</v>
      </c>
    </row>
    <row r="318" spans="1:20">
      <c r="A318" s="292"/>
      <c r="B318" s="293"/>
      <c r="C318" s="291">
        <v>7134</v>
      </c>
      <c r="D318" s="292">
        <v>6</v>
      </c>
      <c r="L318" s="294"/>
      <c r="P318" s="271"/>
      <c r="Q318" s="271"/>
      <c r="R318" s="271"/>
      <c r="T318">
        <v>0</v>
      </c>
    </row>
    <row r="319" spans="1:20">
      <c r="A319" s="292"/>
      <c r="B319" s="293"/>
      <c r="C319" s="291">
        <v>7135</v>
      </c>
      <c r="D319" s="292">
        <v>6</v>
      </c>
      <c r="L319" s="294"/>
      <c r="P319" s="271"/>
      <c r="Q319" s="271"/>
      <c r="R319" s="271"/>
      <c r="T319">
        <v>0</v>
      </c>
    </row>
    <row r="320" spans="1:20">
      <c r="A320" s="292"/>
      <c r="B320" s="293"/>
      <c r="C320" s="291">
        <v>7136</v>
      </c>
      <c r="D320" s="292">
        <v>9.6</v>
      </c>
      <c r="L320" s="294"/>
      <c r="P320" s="271"/>
      <c r="Q320" s="271"/>
      <c r="R320" s="271"/>
      <c r="T320">
        <v>0</v>
      </c>
    </row>
    <row r="321" spans="1:20">
      <c r="A321" s="292"/>
      <c r="B321" s="293"/>
      <c r="C321" s="291">
        <v>7137</v>
      </c>
      <c r="D321" s="292">
        <v>8.8000000000000007</v>
      </c>
      <c r="L321" s="294"/>
      <c r="P321" s="271"/>
      <c r="Q321" s="271"/>
      <c r="R321" s="271"/>
      <c r="T321">
        <v>0</v>
      </c>
    </row>
    <row r="322" spans="1:20">
      <c r="A322" s="292"/>
      <c r="B322" s="293"/>
      <c r="C322" s="291">
        <v>7139</v>
      </c>
      <c r="D322" s="292">
        <v>8.8000000000000007</v>
      </c>
      <c r="L322" s="294"/>
      <c r="P322" s="271"/>
      <c r="Q322" s="271"/>
      <c r="R322" s="271"/>
      <c r="T322">
        <v>0</v>
      </c>
    </row>
    <row r="323" spans="1:20">
      <c r="A323" s="292"/>
      <c r="B323" s="293"/>
      <c r="C323" s="291">
        <v>7140</v>
      </c>
      <c r="D323" s="292">
        <v>9.4</v>
      </c>
      <c r="L323" s="294"/>
      <c r="P323" s="271"/>
      <c r="Q323" s="271"/>
      <c r="R323" s="271"/>
      <c r="T323">
        <v>0</v>
      </c>
    </row>
    <row r="324" spans="1:20">
      <c r="A324" s="292"/>
      <c r="B324" s="293"/>
      <c r="C324" s="291">
        <v>7141</v>
      </c>
      <c r="D324" s="292">
        <v>12.1</v>
      </c>
      <c r="L324" s="294"/>
      <c r="P324" s="271"/>
      <c r="Q324" s="271"/>
      <c r="R324" s="271"/>
      <c r="T324">
        <v>0</v>
      </c>
    </row>
    <row r="325" spans="1:20">
      <c r="A325" s="292"/>
      <c r="B325" s="293"/>
      <c r="C325" s="291">
        <v>7143</v>
      </c>
      <c r="D325" s="292">
        <v>10</v>
      </c>
      <c r="L325" s="294"/>
      <c r="P325" s="271"/>
      <c r="Q325" s="271"/>
      <c r="R325" s="271"/>
      <c r="T325">
        <v>0</v>
      </c>
    </row>
    <row r="326" spans="1:20">
      <c r="A326" s="292"/>
      <c r="B326" s="293"/>
      <c r="C326" s="291">
        <v>7144</v>
      </c>
      <c r="D326" s="292">
        <v>13.9</v>
      </c>
      <c r="L326" s="294"/>
      <c r="P326" s="271"/>
      <c r="Q326" s="271"/>
      <c r="R326" s="271"/>
      <c r="T326">
        <v>0</v>
      </c>
    </row>
    <row r="327" spans="1:20">
      <c r="A327" s="292"/>
      <c r="B327" s="293"/>
      <c r="C327" s="291">
        <v>7145</v>
      </c>
      <c r="D327" s="292">
        <v>10.7</v>
      </c>
      <c r="L327" s="294"/>
      <c r="P327" s="271"/>
      <c r="Q327" s="271"/>
      <c r="R327" s="271"/>
      <c r="T327">
        <v>0</v>
      </c>
    </row>
    <row r="328" spans="1:20">
      <c r="A328" s="292"/>
      <c r="B328" s="293"/>
      <c r="C328" s="291">
        <v>7146</v>
      </c>
      <c r="D328" s="292">
        <v>8.8000000000000007</v>
      </c>
      <c r="L328" s="294"/>
      <c r="P328" s="271"/>
      <c r="Q328" s="271"/>
      <c r="R328" s="271"/>
      <c r="T328">
        <v>0</v>
      </c>
    </row>
    <row r="329" spans="1:20">
      <c r="A329" s="292"/>
      <c r="B329" s="293"/>
      <c r="C329" s="291">
        <v>7147</v>
      </c>
      <c r="D329" s="292">
        <v>14</v>
      </c>
      <c r="L329" s="294"/>
      <c r="P329" s="271"/>
      <c r="Q329" s="271"/>
      <c r="R329" s="271"/>
      <c r="T329">
        <v>0</v>
      </c>
    </row>
    <row r="330" spans="1:20">
      <c r="A330" s="292"/>
      <c r="B330" s="293"/>
      <c r="C330" s="291">
        <v>7148</v>
      </c>
      <c r="D330" s="292">
        <v>11.9</v>
      </c>
      <c r="L330" s="294"/>
      <c r="P330" s="271"/>
      <c r="Q330" s="271"/>
      <c r="R330" s="271"/>
      <c r="T330">
        <v>0</v>
      </c>
    </row>
    <row r="331" spans="1:20">
      <c r="A331" s="292"/>
      <c r="B331" s="293"/>
      <c r="C331" s="291">
        <v>7149</v>
      </c>
      <c r="D331" s="292">
        <v>8.8000000000000007</v>
      </c>
      <c r="L331" s="294"/>
      <c r="P331" s="271"/>
      <c r="Q331" s="271"/>
      <c r="R331" s="271"/>
      <c r="T331">
        <v>0</v>
      </c>
    </row>
    <row r="332" spans="1:20">
      <c r="A332" s="292"/>
      <c r="B332" s="293"/>
      <c r="C332" s="291">
        <v>7150</v>
      </c>
      <c r="D332" s="292">
        <v>13</v>
      </c>
      <c r="L332" s="294"/>
      <c r="P332" s="271"/>
      <c r="Q332" s="271"/>
      <c r="R332" s="271"/>
      <c r="T332">
        <v>0</v>
      </c>
    </row>
    <row r="333" spans="1:20">
      <c r="A333" s="292"/>
      <c r="B333" s="293"/>
      <c r="C333" s="291">
        <v>7151</v>
      </c>
      <c r="D333" s="292">
        <v>10</v>
      </c>
      <c r="L333" s="294"/>
      <c r="P333" s="271"/>
      <c r="Q333" s="271"/>
      <c r="R333" s="271"/>
      <c r="T333">
        <v>0</v>
      </c>
    </row>
    <row r="334" spans="1:20">
      <c r="A334" s="292"/>
      <c r="B334" s="293"/>
      <c r="C334" s="291">
        <v>7152</v>
      </c>
      <c r="D334" s="292">
        <v>6.9</v>
      </c>
      <c r="L334" s="294"/>
      <c r="P334" s="271"/>
      <c r="Q334" s="271"/>
      <c r="R334" s="271"/>
      <c r="T334">
        <v>0</v>
      </c>
    </row>
    <row r="335" spans="1:20">
      <c r="A335" s="292"/>
      <c r="B335" s="293"/>
      <c r="C335" s="291">
        <v>7153</v>
      </c>
      <c r="D335" s="292">
        <v>12.5</v>
      </c>
      <c r="L335" s="294"/>
      <c r="P335" s="271"/>
      <c r="Q335" s="271"/>
      <c r="R335" s="271"/>
      <c r="T335">
        <v>0</v>
      </c>
    </row>
    <row r="336" spans="1:20">
      <c r="A336" s="292"/>
      <c r="B336" s="293"/>
      <c r="C336" s="291">
        <v>7154</v>
      </c>
      <c r="D336" s="292">
        <v>13.64</v>
      </c>
      <c r="L336" s="294"/>
      <c r="P336" s="271"/>
      <c r="Q336" s="271"/>
      <c r="R336" s="271"/>
      <c r="T336">
        <v>0</v>
      </c>
    </row>
    <row r="337" spans="1:20">
      <c r="A337" s="292"/>
      <c r="B337" s="293"/>
      <c r="C337" s="291">
        <v>7155</v>
      </c>
      <c r="D337" s="292">
        <v>8.25</v>
      </c>
      <c r="L337" s="294"/>
      <c r="P337" s="271"/>
      <c r="Q337" s="271"/>
      <c r="R337" s="271"/>
      <c r="T337">
        <v>0</v>
      </c>
    </row>
    <row r="338" spans="1:20">
      <c r="A338" s="292"/>
      <c r="B338" s="293"/>
      <c r="C338" s="291">
        <v>7156</v>
      </c>
      <c r="D338" s="292">
        <v>19.8</v>
      </c>
      <c r="L338" s="294"/>
      <c r="P338" s="271"/>
      <c r="Q338" s="271"/>
      <c r="R338" s="271"/>
      <c r="T338">
        <v>0</v>
      </c>
    </row>
    <row r="339" spans="1:20">
      <c r="A339" s="292"/>
      <c r="B339" s="293"/>
      <c r="C339" s="291">
        <v>7157</v>
      </c>
      <c r="D339" s="292">
        <v>10.8</v>
      </c>
      <c r="L339" s="294"/>
      <c r="P339" s="271"/>
      <c r="Q339" s="271"/>
      <c r="R339" s="271"/>
      <c r="T339">
        <v>0</v>
      </c>
    </row>
    <row r="340" spans="1:20">
      <c r="A340" s="292"/>
      <c r="B340" s="293"/>
      <c r="C340" s="291">
        <v>7158</v>
      </c>
      <c r="D340" s="292">
        <v>9</v>
      </c>
      <c r="L340" s="294"/>
      <c r="P340" s="271"/>
      <c r="Q340" s="271"/>
      <c r="R340" s="271"/>
      <c r="T340">
        <v>0</v>
      </c>
    </row>
    <row r="341" spans="1:20">
      <c r="A341" s="292"/>
      <c r="B341" s="293"/>
      <c r="C341" s="291">
        <v>7159</v>
      </c>
      <c r="D341" s="292">
        <v>15</v>
      </c>
      <c r="L341" s="294"/>
      <c r="P341" s="271"/>
      <c r="Q341" s="271"/>
      <c r="R341" s="271"/>
      <c r="T341">
        <v>0</v>
      </c>
    </row>
    <row r="342" spans="1:20">
      <c r="A342" s="292"/>
      <c r="B342" s="293"/>
      <c r="C342" s="291">
        <v>7160</v>
      </c>
      <c r="D342" s="292">
        <v>12.5</v>
      </c>
      <c r="L342" s="294"/>
      <c r="P342" s="271"/>
      <c r="Q342" s="271"/>
      <c r="R342" s="271"/>
      <c r="T342">
        <v>0</v>
      </c>
    </row>
    <row r="343" spans="1:20">
      <c r="A343" s="292"/>
      <c r="B343" s="293"/>
      <c r="C343" s="291">
        <v>7161</v>
      </c>
      <c r="D343" s="292">
        <v>10</v>
      </c>
      <c r="L343" s="294"/>
      <c r="P343" s="271"/>
      <c r="Q343" s="271"/>
      <c r="R343" s="271"/>
      <c r="T343">
        <v>0</v>
      </c>
    </row>
    <row r="344" spans="1:20">
      <c r="A344" s="292"/>
      <c r="B344" s="293"/>
      <c r="C344" s="291">
        <v>7162</v>
      </c>
      <c r="D344" s="292">
        <v>10</v>
      </c>
      <c r="L344" s="294"/>
      <c r="P344" s="271"/>
      <c r="Q344" s="271"/>
      <c r="R344" s="271"/>
      <c r="T344">
        <v>0</v>
      </c>
    </row>
    <row r="345" spans="1:20">
      <c r="A345" s="292"/>
      <c r="B345" s="293"/>
      <c r="C345" s="291">
        <v>7163</v>
      </c>
      <c r="D345" s="292">
        <v>12</v>
      </c>
      <c r="L345" s="294"/>
      <c r="P345" s="271"/>
      <c r="Q345" s="271"/>
      <c r="R345" s="271"/>
      <c r="T345">
        <v>0</v>
      </c>
    </row>
    <row r="346" spans="1:20">
      <c r="A346" s="292"/>
      <c r="B346" s="293"/>
      <c r="C346" s="291">
        <v>7164</v>
      </c>
      <c r="D346" s="292">
        <v>12.8</v>
      </c>
      <c r="L346" s="294"/>
      <c r="P346" s="271"/>
      <c r="Q346" s="271"/>
      <c r="R346" s="271"/>
      <c r="T346">
        <v>0</v>
      </c>
    </row>
    <row r="347" spans="1:20">
      <c r="A347" s="292"/>
      <c r="B347" s="293"/>
      <c r="C347" s="291">
        <v>7165</v>
      </c>
      <c r="D347" s="292">
        <v>16</v>
      </c>
      <c r="L347" s="294"/>
      <c r="P347" s="271"/>
      <c r="Q347" s="271"/>
      <c r="R347" s="271"/>
      <c r="T347">
        <v>0</v>
      </c>
    </row>
    <row r="348" spans="1:20">
      <c r="A348" s="292"/>
      <c r="B348" s="293"/>
      <c r="C348" s="291">
        <v>7166</v>
      </c>
      <c r="D348" s="292">
        <v>9.6</v>
      </c>
      <c r="L348" s="294"/>
      <c r="P348" s="271"/>
      <c r="Q348" s="271"/>
      <c r="R348" s="271"/>
      <c r="T348">
        <v>0</v>
      </c>
    </row>
    <row r="349" spans="1:20">
      <c r="A349" s="292"/>
      <c r="B349" s="293"/>
      <c r="C349" s="291">
        <v>7167</v>
      </c>
      <c r="D349" s="292">
        <v>15</v>
      </c>
      <c r="L349" s="294"/>
      <c r="P349" s="271"/>
      <c r="Q349" s="271"/>
      <c r="R349" s="271"/>
      <c r="T349">
        <v>0</v>
      </c>
    </row>
    <row r="350" spans="1:20">
      <c r="A350" s="292"/>
      <c r="B350" s="293"/>
      <c r="C350" s="291">
        <v>7262</v>
      </c>
      <c r="D350" s="292">
        <v>6.18</v>
      </c>
      <c r="L350" s="294"/>
      <c r="P350" s="271"/>
      <c r="Q350" s="271"/>
      <c r="R350" s="271"/>
      <c r="T350">
        <v>0</v>
      </c>
    </row>
    <row r="351" spans="1:20">
      <c r="A351" s="292"/>
      <c r="B351" s="293"/>
      <c r="C351" s="291">
        <v>7263</v>
      </c>
      <c r="D351" s="292">
        <v>7.98</v>
      </c>
      <c r="L351" s="294"/>
      <c r="P351" s="271"/>
      <c r="Q351" s="271"/>
      <c r="R351" s="271"/>
      <c r="T351">
        <v>0</v>
      </c>
    </row>
    <row r="352" spans="1:20">
      <c r="A352" s="292"/>
      <c r="B352" s="293"/>
      <c r="C352" s="291">
        <v>7264</v>
      </c>
      <c r="D352" s="292">
        <v>6.8320649432534681</v>
      </c>
      <c r="L352" s="294"/>
      <c r="P352" s="271"/>
      <c r="Q352" s="271"/>
      <c r="R352" s="271"/>
      <c r="T352">
        <v>0</v>
      </c>
    </row>
    <row r="353" spans="1:20">
      <c r="A353" s="292"/>
      <c r="B353" s="293"/>
      <c r="C353" s="291">
        <v>7265</v>
      </c>
      <c r="D353" s="292">
        <v>7.98</v>
      </c>
      <c r="L353" s="294"/>
      <c r="P353" s="271"/>
      <c r="Q353" s="271"/>
      <c r="R353" s="271"/>
      <c r="T353">
        <v>0</v>
      </c>
    </row>
    <row r="354" spans="1:20">
      <c r="A354" s="292"/>
      <c r="B354" s="293"/>
      <c r="C354" s="291">
        <v>7266</v>
      </c>
      <c r="D354" s="292">
        <v>5.58</v>
      </c>
      <c r="L354" s="294"/>
      <c r="P354" s="271"/>
      <c r="Q354" s="271"/>
      <c r="R354" s="271"/>
      <c r="T354">
        <v>0</v>
      </c>
    </row>
    <row r="355" spans="1:20">
      <c r="A355" s="292"/>
      <c r="B355" s="293"/>
      <c r="C355" s="291">
        <v>7267</v>
      </c>
      <c r="D355" s="292">
        <v>4.59</v>
      </c>
      <c r="L355" s="294"/>
      <c r="P355" s="271"/>
      <c r="Q355" s="271"/>
      <c r="R355" s="271"/>
      <c r="T355">
        <v>0</v>
      </c>
    </row>
    <row r="356" spans="1:20">
      <c r="A356" s="292"/>
      <c r="B356" s="293"/>
      <c r="C356" s="291">
        <v>7268</v>
      </c>
      <c r="D356" s="292">
        <v>6</v>
      </c>
      <c r="L356" s="294"/>
      <c r="P356" s="271"/>
      <c r="Q356" s="271"/>
      <c r="R356" s="271"/>
      <c r="T356">
        <v>0</v>
      </c>
    </row>
    <row r="357" spans="1:20">
      <c r="A357" s="292"/>
      <c r="B357" s="293"/>
      <c r="C357" s="291">
        <v>7269</v>
      </c>
      <c r="D357" s="292">
        <v>6.78</v>
      </c>
      <c r="L357" s="294"/>
      <c r="P357" s="271"/>
      <c r="Q357" s="271"/>
      <c r="R357" s="271"/>
      <c r="T357">
        <v>0</v>
      </c>
    </row>
    <row r="358" spans="1:20">
      <c r="A358" s="292"/>
      <c r="B358" s="293"/>
      <c r="C358" s="291">
        <v>7276</v>
      </c>
      <c r="D358" s="292">
        <v>8</v>
      </c>
      <c r="L358" s="294"/>
      <c r="P358" s="271"/>
      <c r="Q358" s="271"/>
      <c r="R358" s="271"/>
      <c r="T358">
        <v>0</v>
      </c>
    </row>
    <row r="359" spans="1:20">
      <c r="A359" s="292"/>
      <c r="B359" s="293"/>
      <c r="C359" s="291">
        <v>7278</v>
      </c>
      <c r="D359" s="292">
        <v>7.8</v>
      </c>
      <c r="L359" s="294"/>
      <c r="P359" s="271"/>
      <c r="Q359" s="271"/>
      <c r="R359" s="271"/>
      <c r="T359">
        <v>0</v>
      </c>
    </row>
    <row r="360" spans="1:20">
      <c r="A360" s="292"/>
      <c r="B360" s="293"/>
      <c r="C360" s="291">
        <v>7287</v>
      </c>
      <c r="D360" s="292">
        <v>8.8000000000000007</v>
      </c>
      <c r="L360" s="294"/>
      <c r="P360" s="271"/>
      <c r="Q360" s="271"/>
      <c r="R360" s="271"/>
      <c r="T360">
        <v>0</v>
      </c>
    </row>
    <row r="361" spans="1:20">
      <c r="A361" s="292"/>
      <c r="B361" s="293"/>
      <c r="C361" s="291">
        <v>7288</v>
      </c>
      <c r="D361" s="292">
        <v>6.6</v>
      </c>
      <c r="L361" s="294"/>
      <c r="P361" s="271"/>
      <c r="Q361" s="271"/>
      <c r="R361" s="271"/>
      <c r="T361">
        <v>0</v>
      </c>
    </row>
    <row r="362" spans="1:20">
      <c r="A362" s="292"/>
      <c r="B362" s="293"/>
      <c r="C362" s="291">
        <v>7289</v>
      </c>
      <c r="D362" s="292">
        <v>8.8800000000000008</v>
      </c>
      <c r="L362" s="294"/>
      <c r="P362" s="271"/>
      <c r="Q362" s="271"/>
      <c r="R362" s="271"/>
      <c r="T362">
        <v>0</v>
      </c>
    </row>
    <row r="363" spans="1:20">
      <c r="A363" s="292"/>
      <c r="B363" s="293"/>
      <c r="C363" s="291">
        <v>7378</v>
      </c>
      <c r="D363" s="292">
        <v>11.75</v>
      </c>
      <c r="L363" s="294"/>
      <c r="P363" s="271"/>
      <c r="Q363" s="271"/>
      <c r="R363" s="271"/>
      <c r="T363">
        <v>0</v>
      </c>
    </row>
    <row r="364" spans="1:20">
      <c r="A364" s="292"/>
      <c r="B364" s="293"/>
      <c r="C364" s="291">
        <v>7180</v>
      </c>
      <c r="D364" s="292">
        <v>19.8</v>
      </c>
      <c r="L364" s="294"/>
      <c r="P364" s="271"/>
      <c r="Q364" s="271"/>
      <c r="R364" s="271"/>
      <c r="T364">
        <v>0</v>
      </c>
    </row>
    <row r="365" spans="1:20">
      <c r="A365" s="292"/>
      <c r="B365" s="293"/>
      <c r="C365" s="291">
        <v>7182</v>
      </c>
      <c r="D365" s="292">
        <v>15</v>
      </c>
      <c r="L365" s="294"/>
      <c r="P365" s="271"/>
      <c r="Q365" s="271"/>
      <c r="R365" s="271"/>
      <c r="T365">
        <v>0</v>
      </c>
    </row>
    <row r="366" spans="1:20">
      <c r="A366" s="292"/>
      <c r="B366" s="293"/>
      <c r="C366" s="291">
        <v>7184</v>
      </c>
      <c r="D366" s="292">
        <v>12</v>
      </c>
      <c r="L366" s="294"/>
      <c r="P366" s="271"/>
      <c r="Q366" s="271"/>
      <c r="R366" s="271"/>
      <c r="T366">
        <v>0</v>
      </c>
    </row>
    <row r="367" spans="1:20">
      <c r="A367" s="292"/>
      <c r="B367" s="293"/>
      <c r="C367" s="291">
        <v>7185</v>
      </c>
      <c r="D367" s="292">
        <v>13.2</v>
      </c>
      <c r="L367" s="294"/>
      <c r="P367" s="271"/>
      <c r="Q367" s="271"/>
      <c r="R367" s="271"/>
      <c r="T367">
        <v>0</v>
      </c>
    </row>
    <row r="368" spans="1:20">
      <c r="A368" s="292"/>
      <c r="B368" s="293"/>
      <c r="C368" s="291">
        <v>7190</v>
      </c>
      <c r="D368" s="292">
        <v>8.1999999999999993</v>
      </c>
      <c r="L368" s="294"/>
      <c r="P368" s="271"/>
      <c r="Q368" s="271"/>
      <c r="R368" s="271"/>
      <c r="T368">
        <v>0</v>
      </c>
    </row>
    <row r="369" spans="1:20">
      <c r="A369" s="292"/>
      <c r="B369" s="293"/>
      <c r="C369" s="291">
        <v>7192</v>
      </c>
      <c r="D369" s="292">
        <v>4.59</v>
      </c>
      <c r="L369" s="294"/>
      <c r="P369" s="271"/>
      <c r="Q369" s="271"/>
      <c r="R369" s="271"/>
      <c r="T369">
        <v>0</v>
      </c>
    </row>
    <row r="370" spans="1:20">
      <c r="A370" s="292"/>
      <c r="B370" s="293"/>
      <c r="C370" s="291">
        <v>7197</v>
      </c>
      <c r="D370" s="292">
        <v>8.1999999999999993</v>
      </c>
      <c r="L370" s="294"/>
      <c r="P370" s="271"/>
      <c r="Q370" s="271"/>
      <c r="R370" s="271"/>
      <c r="T370">
        <v>0</v>
      </c>
    </row>
    <row r="371" spans="1:20">
      <c r="A371" s="292"/>
      <c r="B371" s="293"/>
      <c r="C371" s="291">
        <v>7229</v>
      </c>
      <c r="D371" s="292">
        <v>6.83</v>
      </c>
      <c r="L371" s="294"/>
      <c r="P371" s="271"/>
      <c r="Q371" s="271"/>
      <c r="R371" s="271"/>
      <c r="T371">
        <v>0</v>
      </c>
    </row>
    <row r="372" spans="1:20">
      <c r="A372" s="292"/>
      <c r="B372" s="293"/>
      <c r="C372" s="291">
        <v>7230</v>
      </c>
      <c r="D372" s="292">
        <v>7.98</v>
      </c>
      <c r="L372" s="294"/>
      <c r="P372" s="271"/>
      <c r="Q372" s="271"/>
      <c r="R372" s="271"/>
      <c r="T372">
        <v>0</v>
      </c>
    </row>
    <row r="373" spans="1:20">
      <c r="A373" s="292"/>
      <c r="B373" s="293"/>
      <c r="C373" s="291">
        <v>7231</v>
      </c>
      <c r="D373" s="292">
        <v>5.58</v>
      </c>
      <c r="L373" s="294"/>
      <c r="P373" s="271"/>
      <c r="Q373" s="271"/>
      <c r="R373" s="271"/>
      <c r="T373">
        <v>0</v>
      </c>
    </row>
    <row r="374" spans="1:20">
      <c r="A374" s="292"/>
      <c r="B374" s="293"/>
      <c r="C374" s="291">
        <v>7233</v>
      </c>
      <c r="D374" s="292">
        <v>4.59</v>
      </c>
      <c r="L374" s="294"/>
      <c r="P374" s="271"/>
      <c r="Q374" s="271"/>
      <c r="R374" s="271"/>
      <c r="T374">
        <v>0</v>
      </c>
    </row>
    <row r="375" spans="1:20">
      <c r="A375" s="292"/>
      <c r="B375" s="293"/>
      <c r="C375" s="291">
        <v>7234</v>
      </c>
      <c r="D375" s="292">
        <v>6.18</v>
      </c>
      <c r="L375" s="294"/>
      <c r="P375" s="271"/>
      <c r="Q375" s="271"/>
      <c r="R375" s="271"/>
      <c r="T375">
        <v>0</v>
      </c>
    </row>
    <row r="376" spans="1:20">
      <c r="A376" s="292"/>
      <c r="B376" s="293"/>
      <c r="C376" s="291">
        <v>7235</v>
      </c>
      <c r="D376" s="292">
        <v>7.98</v>
      </c>
      <c r="L376" s="294"/>
      <c r="P376" s="271"/>
      <c r="Q376" s="271"/>
      <c r="R376" s="271"/>
      <c r="T376">
        <v>0</v>
      </c>
    </row>
    <row r="377" spans="1:20">
      <c r="A377" s="292"/>
      <c r="B377" s="293"/>
      <c r="C377" s="291">
        <v>7236</v>
      </c>
      <c r="D377" s="292">
        <v>6.78</v>
      </c>
      <c r="L377" s="294"/>
      <c r="P377" s="271"/>
      <c r="Q377" s="271"/>
      <c r="R377" s="271"/>
      <c r="T377">
        <v>0</v>
      </c>
    </row>
    <row r="378" spans="1:20">
      <c r="A378" s="292"/>
      <c r="B378" s="293"/>
      <c r="C378" s="291">
        <v>7238</v>
      </c>
      <c r="D378" s="292">
        <v>6.78</v>
      </c>
      <c r="L378" s="294"/>
      <c r="P378" s="271"/>
      <c r="Q378" s="271"/>
      <c r="R378" s="271"/>
      <c r="T378">
        <v>0</v>
      </c>
    </row>
    <row r="379" spans="1:20">
      <c r="A379" s="292"/>
      <c r="B379" s="293"/>
      <c r="C379" s="291">
        <v>7239</v>
      </c>
      <c r="D379" s="292">
        <v>6</v>
      </c>
      <c r="L379" s="294"/>
      <c r="P379" s="271"/>
      <c r="Q379" s="271"/>
      <c r="R379" s="271"/>
      <c r="T379">
        <v>0</v>
      </c>
    </row>
    <row r="380" spans="1:20">
      <c r="A380" s="292"/>
      <c r="B380" s="293"/>
      <c r="C380" s="291">
        <v>7240</v>
      </c>
      <c r="D380" s="292">
        <v>5.7</v>
      </c>
      <c r="L380" s="294"/>
      <c r="P380" s="271"/>
      <c r="Q380" s="271"/>
      <c r="R380" s="271"/>
      <c r="T380">
        <v>0</v>
      </c>
    </row>
    <row r="381" spans="1:20">
      <c r="A381" s="292"/>
      <c r="B381" s="293"/>
      <c r="C381" s="291">
        <v>7241</v>
      </c>
      <c r="D381" s="292">
        <v>8.1999999999999993</v>
      </c>
      <c r="L381" s="294"/>
      <c r="P381" s="271"/>
      <c r="Q381" s="271"/>
      <c r="R381" s="271"/>
      <c r="T381">
        <v>0</v>
      </c>
    </row>
    <row r="382" spans="1:20">
      <c r="A382" s="292"/>
      <c r="B382" s="293"/>
      <c r="C382" s="291">
        <v>7242</v>
      </c>
      <c r="D382" s="292">
        <v>8.8800000000000008</v>
      </c>
      <c r="L382" s="294"/>
      <c r="P382" s="271"/>
      <c r="Q382" s="271"/>
      <c r="R382" s="271"/>
      <c r="T382">
        <v>0</v>
      </c>
    </row>
    <row r="383" spans="1:20">
      <c r="A383" s="292"/>
      <c r="B383" s="293"/>
      <c r="C383" s="291">
        <v>7210</v>
      </c>
      <c r="D383" s="292">
        <v>7.92</v>
      </c>
      <c r="L383" s="294"/>
      <c r="P383" s="271"/>
      <c r="Q383" s="271"/>
      <c r="R383" s="271"/>
      <c r="T383">
        <v>0</v>
      </c>
    </row>
    <row r="384" spans="1:20">
      <c r="A384" s="292"/>
      <c r="B384" s="293"/>
      <c r="C384" s="291">
        <v>7211</v>
      </c>
      <c r="D384" s="292">
        <v>13.64</v>
      </c>
      <c r="L384" s="294"/>
      <c r="P384" s="271"/>
      <c r="Q384" s="271"/>
      <c r="R384" s="271"/>
      <c r="T384">
        <v>0</v>
      </c>
    </row>
    <row r="385" spans="1:20">
      <c r="A385" s="292"/>
      <c r="B385" s="293"/>
      <c r="C385" s="291">
        <v>7212</v>
      </c>
      <c r="D385" s="292">
        <v>8.58</v>
      </c>
      <c r="L385" s="294"/>
      <c r="P385" s="271"/>
      <c r="Q385" s="271"/>
      <c r="R385" s="271"/>
      <c r="T385">
        <v>0</v>
      </c>
    </row>
    <row r="386" spans="1:20">
      <c r="A386" s="292"/>
      <c r="B386" s="293"/>
      <c r="C386" s="291">
        <v>7213</v>
      </c>
      <c r="D386" s="292">
        <v>9.24</v>
      </c>
      <c r="L386" s="294"/>
      <c r="P386" s="271"/>
      <c r="Q386" s="271"/>
      <c r="R386" s="271"/>
      <c r="T386">
        <v>0</v>
      </c>
    </row>
    <row r="387" spans="1:20">
      <c r="A387" s="292"/>
      <c r="B387" s="293"/>
      <c r="C387" s="291">
        <v>7214</v>
      </c>
      <c r="D387" s="292">
        <v>9.24</v>
      </c>
      <c r="L387" s="294"/>
      <c r="P387" s="271"/>
      <c r="Q387" s="271"/>
      <c r="R387" s="271"/>
      <c r="T387">
        <v>0</v>
      </c>
    </row>
    <row r="388" spans="1:20">
      <c r="A388" s="292"/>
      <c r="B388" s="293"/>
      <c r="C388" s="291">
        <v>7215</v>
      </c>
      <c r="D388" s="292">
        <v>10.56</v>
      </c>
      <c r="L388" s="294"/>
      <c r="P388" s="271"/>
      <c r="Q388" s="271"/>
      <c r="R388" s="271"/>
      <c r="T388">
        <v>0</v>
      </c>
    </row>
    <row r="389" spans="1:20">
      <c r="A389" s="292"/>
      <c r="B389" s="293"/>
      <c r="C389" s="291">
        <v>7216</v>
      </c>
      <c r="D389" s="292">
        <v>9.24</v>
      </c>
      <c r="L389" s="294"/>
      <c r="P389" s="271"/>
      <c r="Q389" s="271"/>
      <c r="R389" s="271"/>
      <c r="T389">
        <v>0</v>
      </c>
    </row>
    <row r="390" spans="1:20">
      <c r="A390" s="292"/>
      <c r="B390" s="293"/>
      <c r="C390" s="291">
        <v>7217</v>
      </c>
      <c r="D390" s="292">
        <v>10.56</v>
      </c>
      <c r="L390" s="294"/>
      <c r="P390" s="271"/>
      <c r="Q390" s="271"/>
      <c r="R390" s="271"/>
      <c r="T390">
        <v>0</v>
      </c>
    </row>
    <row r="391" spans="1:20">
      <c r="A391" s="292"/>
      <c r="B391" s="293"/>
      <c r="C391" s="291">
        <v>7218</v>
      </c>
      <c r="D391" s="292">
        <v>9.24</v>
      </c>
      <c r="L391" s="294"/>
      <c r="P391" s="271"/>
      <c r="Q391" s="271"/>
      <c r="R391" s="271"/>
      <c r="T391">
        <v>0</v>
      </c>
    </row>
    <row r="392" spans="1:20">
      <c r="A392" s="292"/>
      <c r="B392" s="293"/>
      <c r="C392" s="291">
        <v>7219</v>
      </c>
      <c r="D392" s="292">
        <v>9.48</v>
      </c>
      <c r="L392" s="294"/>
      <c r="P392" s="271"/>
      <c r="Q392" s="271"/>
      <c r="R392" s="271"/>
      <c r="T392">
        <v>0</v>
      </c>
    </row>
    <row r="393" spans="1:20">
      <c r="A393" s="292"/>
      <c r="B393" s="293"/>
      <c r="C393" s="291">
        <v>7220</v>
      </c>
      <c r="D393" s="292">
        <v>12.6</v>
      </c>
      <c r="L393" s="294"/>
      <c r="P393" s="271"/>
      <c r="Q393" s="271"/>
      <c r="R393" s="271"/>
      <c r="T393">
        <v>0</v>
      </c>
    </row>
    <row r="394" spans="1:20">
      <c r="A394" s="292"/>
      <c r="B394" s="293"/>
      <c r="C394" s="291">
        <v>7221</v>
      </c>
      <c r="D394" s="292">
        <v>9.5</v>
      </c>
      <c r="L394" s="294"/>
      <c r="P394" s="271"/>
      <c r="Q394" s="271"/>
      <c r="R394" s="271"/>
      <c r="T394">
        <v>0</v>
      </c>
    </row>
    <row r="395" spans="1:20">
      <c r="A395" s="292"/>
      <c r="B395" s="293"/>
      <c r="C395" s="291">
        <v>7222</v>
      </c>
      <c r="D395" s="292">
        <v>10</v>
      </c>
      <c r="L395" s="294"/>
      <c r="P395" s="271"/>
      <c r="Q395" s="271"/>
      <c r="R395" s="271"/>
      <c r="T395">
        <v>0</v>
      </c>
    </row>
    <row r="396" spans="1:20">
      <c r="A396" s="292"/>
      <c r="B396" s="293"/>
      <c r="C396" s="291">
        <v>7223</v>
      </c>
      <c r="D396" s="292">
        <v>16</v>
      </c>
      <c r="L396" s="294"/>
      <c r="P396" s="271"/>
      <c r="Q396" s="271"/>
      <c r="R396" s="271"/>
      <c r="T396">
        <v>0</v>
      </c>
    </row>
    <row r="397" spans="1:20">
      <c r="A397" s="292"/>
      <c r="B397" s="293"/>
      <c r="C397" s="291">
        <v>7225</v>
      </c>
      <c r="D397" s="292">
        <v>12</v>
      </c>
      <c r="L397" s="294"/>
      <c r="P397" s="271"/>
      <c r="Q397" s="271"/>
      <c r="R397" s="271"/>
      <c r="T397">
        <v>0</v>
      </c>
    </row>
    <row r="398" spans="1:20">
      <c r="A398" s="292"/>
      <c r="B398" s="293"/>
      <c r="C398" s="291">
        <v>7226</v>
      </c>
      <c r="D398" s="292">
        <v>12.8</v>
      </c>
      <c r="L398" s="294"/>
      <c r="P398" s="271"/>
      <c r="Q398" s="271"/>
      <c r="R398" s="271"/>
      <c r="T398">
        <v>0</v>
      </c>
    </row>
    <row r="399" spans="1:20">
      <c r="A399" s="292"/>
      <c r="B399" s="293"/>
      <c r="C399" s="291">
        <v>7310</v>
      </c>
      <c r="D399" s="292">
        <v>7.6</v>
      </c>
      <c r="L399" s="294"/>
      <c r="P399" s="271"/>
      <c r="Q399" s="271"/>
      <c r="R399" s="271"/>
      <c r="T399">
        <v>0</v>
      </c>
    </row>
    <row r="400" spans="1:20">
      <c r="A400" s="292"/>
      <c r="B400" s="293"/>
      <c r="C400" s="291">
        <v>7413</v>
      </c>
      <c r="D400" s="292">
        <v>10.5</v>
      </c>
      <c r="L400" s="294"/>
      <c r="P400" s="271"/>
      <c r="Q400" s="271"/>
      <c r="R400" s="271"/>
      <c r="T400">
        <v>0</v>
      </c>
    </row>
    <row r="401" spans="1:20">
      <c r="A401" s="292"/>
      <c r="B401" s="293"/>
      <c r="C401" s="291">
        <v>7414</v>
      </c>
      <c r="D401" s="292">
        <v>9.1</v>
      </c>
      <c r="L401" s="294"/>
      <c r="P401" s="271"/>
      <c r="Q401" s="271"/>
      <c r="R401" s="271"/>
      <c r="T401">
        <v>0</v>
      </c>
    </row>
    <row r="402" spans="1:20">
      <c r="A402" s="292"/>
      <c r="B402" s="293"/>
      <c r="C402" s="291">
        <v>7417</v>
      </c>
      <c r="D402" s="292">
        <v>13</v>
      </c>
      <c r="L402" s="294"/>
      <c r="P402" s="271"/>
      <c r="Q402" s="271"/>
      <c r="R402" s="271"/>
      <c r="T402">
        <v>0</v>
      </c>
    </row>
    <row r="403" spans="1:20">
      <c r="A403" s="292"/>
      <c r="B403" s="293"/>
      <c r="C403" s="291">
        <v>7468</v>
      </c>
      <c r="D403" s="292">
        <v>10</v>
      </c>
      <c r="L403" s="294"/>
      <c r="P403" s="271"/>
      <c r="Q403" s="271"/>
      <c r="R403" s="271"/>
      <c r="T403">
        <v>0</v>
      </c>
    </row>
    <row r="404" spans="1:20">
      <c r="A404" s="292"/>
      <c r="B404" s="293"/>
      <c r="C404" s="291">
        <v>7469</v>
      </c>
      <c r="D404" s="292">
        <v>10</v>
      </c>
      <c r="L404" s="294"/>
      <c r="P404" s="271"/>
      <c r="Q404" s="271"/>
      <c r="R404" s="271"/>
      <c r="T404">
        <v>0</v>
      </c>
    </row>
    <row r="405" spans="1:20">
      <c r="A405" s="292"/>
      <c r="B405" s="293"/>
      <c r="C405" s="291">
        <v>7519</v>
      </c>
      <c r="D405" s="292">
        <v>7.5</v>
      </c>
      <c r="L405" s="294"/>
      <c r="P405" s="271"/>
      <c r="Q405" s="271"/>
      <c r="R405" s="271"/>
      <c r="T405">
        <v>0</v>
      </c>
    </row>
    <row r="406" spans="1:20">
      <c r="A406" s="292"/>
      <c r="B406" s="293"/>
      <c r="C406" s="291">
        <v>7522</v>
      </c>
      <c r="D406" s="292">
        <v>13</v>
      </c>
      <c r="L406" s="294"/>
      <c r="P406" s="271"/>
      <c r="Q406" s="271"/>
      <c r="R406" s="271"/>
      <c r="T406">
        <v>0</v>
      </c>
    </row>
    <row r="407" spans="1:20">
      <c r="A407" s="292"/>
      <c r="B407" s="293"/>
      <c r="C407" s="291">
        <v>7537</v>
      </c>
      <c r="D407" s="292">
        <v>14</v>
      </c>
      <c r="L407" s="294"/>
      <c r="P407" s="271"/>
      <c r="Q407" s="271"/>
      <c r="R407" s="271"/>
      <c r="T407">
        <v>0</v>
      </c>
    </row>
    <row r="408" spans="1:20">
      <c r="A408" s="292"/>
      <c r="B408" s="293"/>
      <c r="C408" s="291">
        <v>7538</v>
      </c>
      <c r="D408" s="292">
        <v>13</v>
      </c>
      <c r="L408" s="294"/>
      <c r="P408" s="271"/>
      <c r="Q408" s="271"/>
      <c r="R408" s="271"/>
      <c r="T408">
        <v>0</v>
      </c>
    </row>
    <row r="409" spans="1:20">
      <c r="A409" s="292"/>
      <c r="B409" s="293"/>
      <c r="C409" s="291">
        <v>7540</v>
      </c>
      <c r="D409" s="292">
        <v>9</v>
      </c>
      <c r="L409" s="294"/>
      <c r="P409" s="271"/>
      <c r="Q409" s="271"/>
      <c r="R409" s="271"/>
      <c r="T409">
        <v>0</v>
      </c>
    </row>
    <row r="410" spans="1:20">
      <c r="A410" s="292"/>
      <c r="B410" s="293"/>
      <c r="C410" s="291">
        <v>7553</v>
      </c>
      <c r="D410" s="292">
        <v>15</v>
      </c>
      <c r="L410" s="294"/>
      <c r="P410" s="271"/>
      <c r="Q410" s="271"/>
      <c r="R410" s="271"/>
      <c r="T410">
        <v>0</v>
      </c>
    </row>
    <row r="411" spans="1:20">
      <c r="A411" s="292"/>
      <c r="B411" s="293"/>
      <c r="C411" s="291">
        <v>7554</v>
      </c>
      <c r="D411" s="292">
        <v>14</v>
      </c>
      <c r="L411" s="294"/>
      <c r="P411" s="271"/>
      <c r="Q411" s="271"/>
      <c r="R411" s="271"/>
      <c r="T411">
        <v>0</v>
      </c>
    </row>
    <row r="412" spans="1:20">
      <c r="A412" s="292"/>
      <c r="B412" s="293"/>
      <c r="C412" s="291">
        <v>7557</v>
      </c>
      <c r="D412" s="292">
        <v>10.3</v>
      </c>
      <c r="L412" s="294"/>
      <c r="P412" s="271"/>
      <c r="Q412" s="271"/>
      <c r="R412" s="271"/>
      <c r="T412">
        <v>0</v>
      </c>
    </row>
    <row r="413" spans="1:20">
      <c r="A413" s="292"/>
      <c r="B413" s="293"/>
      <c r="C413" s="291">
        <v>7561</v>
      </c>
      <c r="D413" s="292">
        <v>10</v>
      </c>
      <c r="L413" s="294"/>
      <c r="P413" s="271"/>
      <c r="Q413" s="271"/>
      <c r="R413" s="271"/>
      <c r="T413">
        <v>0</v>
      </c>
    </row>
    <row r="414" spans="1:20">
      <c r="A414" s="292"/>
      <c r="B414" s="293"/>
      <c r="C414" s="291">
        <v>7569</v>
      </c>
      <c r="D414" s="292">
        <v>11</v>
      </c>
      <c r="L414" s="294"/>
      <c r="P414" s="271"/>
      <c r="Q414" s="271"/>
      <c r="R414" s="271"/>
      <c r="T414">
        <v>0</v>
      </c>
    </row>
    <row r="415" spans="1:20">
      <c r="A415" s="292"/>
      <c r="B415" s="293"/>
      <c r="C415" s="291">
        <v>7584</v>
      </c>
      <c r="D415" s="292">
        <v>14</v>
      </c>
      <c r="L415" s="294"/>
      <c r="P415" s="271"/>
      <c r="Q415" s="271"/>
      <c r="R415" s="271"/>
      <c r="T415">
        <v>0</v>
      </c>
    </row>
    <row r="416" spans="1:20">
      <c r="A416" s="292"/>
      <c r="B416" s="293"/>
      <c r="C416" s="291">
        <v>7591</v>
      </c>
      <c r="D416" s="292">
        <v>5.4</v>
      </c>
      <c r="L416" s="294"/>
      <c r="P416" s="271"/>
      <c r="Q416" s="271"/>
      <c r="R416" s="271"/>
      <c r="T416">
        <v>0</v>
      </c>
    </row>
    <row r="417" spans="1:20">
      <c r="A417" s="292"/>
      <c r="B417" s="293"/>
      <c r="C417" s="291">
        <v>7595</v>
      </c>
      <c r="D417" s="292">
        <v>12</v>
      </c>
      <c r="F417" s="292">
        <v>7823</v>
      </c>
      <c r="G417" s="293">
        <v>0.11557722222222221</v>
      </c>
      <c r="L417" s="294"/>
      <c r="P417" s="271"/>
      <c r="Q417" s="271"/>
      <c r="R417" s="271"/>
      <c r="T417">
        <v>0</v>
      </c>
    </row>
    <row r="418" spans="1:20">
      <c r="A418" s="292"/>
      <c r="B418" s="293"/>
      <c r="C418" s="291">
        <v>7596</v>
      </c>
      <c r="D418" s="292">
        <v>8</v>
      </c>
      <c r="F418" s="292">
        <v>7824</v>
      </c>
      <c r="G418" s="293">
        <v>0.11557722222222221</v>
      </c>
      <c r="L418" s="294"/>
      <c r="P418" s="271"/>
      <c r="Q418" s="271"/>
      <c r="R418" s="271"/>
      <c r="T418">
        <v>0</v>
      </c>
    </row>
    <row r="419" spans="1:20">
      <c r="A419" s="292"/>
      <c r="B419" s="293"/>
      <c r="C419" s="291">
        <v>1876</v>
      </c>
      <c r="D419" s="292">
        <v>9.6</v>
      </c>
      <c r="F419" s="292">
        <v>7825</v>
      </c>
      <c r="G419" s="293">
        <v>0.106</v>
      </c>
      <c r="L419" s="294"/>
      <c r="P419" s="271"/>
      <c r="Q419" s="271"/>
      <c r="R419" s="271"/>
      <c r="T419">
        <v>0</v>
      </c>
    </row>
    <row r="420" spans="1:20">
      <c r="A420" s="292"/>
      <c r="B420" s="293"/>
      <c r="C420" s="291">
        <v>1877</v>
      </c>
      <c r="D420" s="292">
        <v>9.6</v>
      </c>
      <c r="F420" s="292">
        <v>7826</v>
      </c>
      <c r="G420" s="293">
        <v>8.5000000000000006E-2</v>
      </c>
      <c r="L420" s="294"/>
      <c r="P420" s="271"/>
      <c r="Q420" s="271"/>
      <c r="R420" s="271"/>
      <c r="T420">
        <v>0</v>
      </c>
    </row>
    <row r="421" spans="1:20">
      <c r="A421" s="292"/>
      <c r="B421" s="293"/>
      <c r="C421" s="291">
        <v>7911</v>
      </c>
      <c r="D421" s="292">
        <v>6.36</v>
      </c>
      <c r="F421" s="292">
        <v>7827</v>
      </c>
      <c r="G421" s="292">
        <v>8.5000000000000006E-2</v>
      </c>
      <c r="L421" s="294"/>
      <c r="P421" s="271"/>
      <c r="Q421" s="271"/>
      <c r="R421" s="271"/>
      <c r="T421">
        <v>0</v>
      </c>
    </row>
    <row r="422" spans="1:20">
      <c r="A422" s="292"/>
      <c r="B422" s="293"/>
      <c r="C422" s="291">
        <v>7912</v>
      </c>
      <c r="D422" s="292">
        <v>8</v>
      </c>
      <c r="F422" s="292">
        <v>7828</v>
      </c>
      <c r="G422" s="292">
        <v>0.10299999999999999</v>
      </c>
      <c r="L422" s="294"/>
      <c r="P422" s="271"/>
      <c r="Q422" s="271"/>
      <c r="R422" s="271"/>
      <c r="T422">
        <v>0</v>
      </c>
    </row>
    <row r="423" spans="1:20">
      <c r="A423" s="292"/>
      <c r="B423" s="293"/>
      <c r="C423" s="291">
        <v>7930</v>
      </c>
      <c r="D423" s="292">
        <v>13.4</v>
      </c>
      <c r="F423" s="292">
        <v>7829</v>
      </c>
      <c r="G423" s="292">
        <v>0.14899999999999999</v>
      </c>
      <c r="L423" s="294"/>
      <c r="P423" s="271"/>
      <c r="Q423" s="271"/>
      <c r="R423" s="271"/>
      <c r="T423">
        <v>0</v>
      </c>
    </row>
    <row r="424" spans="1:20">
      <c r="A424" s="292"/>
      <c r="B424" s="293"/>
      <c r="C424" s="291">
        <v>7931</v>
      </c>
      <c r="D424" s="292">
        <v>8.4</v>
      </c>
      <c r="F424" s="292">
        <v>7830</v>
      </c>
      <c r="G424" s="292">
        <v>0.156</v>
      </c>
      <c r="L424" s="294"/>
      <c r="P424" s="271"/>
      <c r="Q424" s="271"/>
      <c r="R424" s="271"/>
      <c r="T424">
        <v>0</v>
      </c>
    </row>
    <row r="425" spans="1:20">
      <c r="A425" s="292"/>
      <c r="B425" s="293"/>
      <c r="C425" s="291">
        <v>7932</v>
      </c>
      <c r="D425" s="292">
        <v>13.8</v>
      </c>
      <c r="F425" s="292">
        <v>7831</v>
      </c>
      <c r="G425" s="292">
        <v>0.20442330558858501</v>
      </c>
      <c r="L425" s="294"/>
      <c r="P425" s="271"/>
      <c r="Q425" s="271"/>
      <c r="R425" s="271"/>
      <c r="T425">
        <v>0</v>
      </c>
    </row>
    <row r="426" spans="1:20">
      <c r="A426" s="292"/>
      <c r="B426" s="293"/>
      <c r="C426" s="291">
        <v>7940</v>
      </c>
      <c r="D426" s="292">
        <v>13.4</v>
      </c>
      <c r="F426" s="292">
        <v>7833</v>
      </c>
      <c r="G426" s="292">
        <v>6.0373888888888873E-2</v>
      </c>
      <c r="L426" s="294"/>
      <c r="P426" s="271"/>
      <c r="Q426" s="271"/>
      <c r="R426" s="271"/>
      <c r="T426">
        <v>0</v>
      </c>
    </row>
    <row r="427" spans="1:20">
      <c r="A427" s="292"/>
      <c r="B427" s="293"/>
      <c r="C427" s="291">
        <v>7941</v>
      </c>
      <c r="D427" s="292">
        <v>13.8</v>
      </c>
      <c r="L427" s="294"/>
      <c r="P427" s="271"/>
      <c r="Q427" s="271"/>
      <c r="R427" s="271"/>
      <c r="T427">
        <v>0</v>
      </c>
    </row>
    <row r="428" spans="1:20">
      <c r="A428" s="292"/>
      <c r="B428" s="293"/>
      <c r="C428" s="291">
        <v>7976</v>
      </c>
      <c r="D428" s="292">
        <v>12</v>
      </c>
      <c r="L428" s="294"/>
      <c r="P428" s="271"/>
      <c r="Q428" s="271"/>
      <c r="R428" s="271"/>
      <c r="T428">
        <v>0</v>
      </c>
    </row>
    <row r="429" spans="1:20">
      <c r="A429" s="292"/>
      <c r="B429" s="293"/>
      <c r="C429" s="291">
        <v>7977</v>
      </c>
      <c r="D429" s="292">
        <v>8.8000000000000007</v>
      </c>
      <c r="L429" s="294"/>
      <c r="P429" s="271"/>
      <c r="Q429" s="271"/>
      <c r="R429" s="271"/>
      <c r="T429">
        <v>0</v>
      </c>
    </row>
    <row r="430" spans="1:20">
      <c r="A430" s="292"/>
      <c r="B430" s="293"/>
      <c r="C430" s="291">
        <v>200110</v>
      </c>
      <c r="D430" s="292">
        <v>14.4</v>
      </c>
      <c r="L430" s="294"/>
      <c r="P430" s="271"/>
      <c r="Q430" s="271"/>
      <c r="R430" s="271"/>
      <c r="T430">
        <v>0</v>
      </c>
    </row>
    <row r="431" spans="1:20">
      <c r="A431" s="292"/>
      <c r="B431" s="293"/>
      <c r="C431" s="291">
        <v>200111</v>
      </c>
      <c r="D431" s="292">
        <v>13.2</v>
      </c>
      <c r="L431" s="294"/>
      <c r="P431" s="271"/>
      <c r="Q431" s="271"/>
      <c r="R431" s="271"/>
      <c r="T431">
        <v>0</v>
      </c>
    </row>
    <row r="432" spans="1:20">
      <c r="A432" s="292"/>
      <c r="B432" s="293"/>
      <c r="C432" s="291">
        <v>200112</v>
      </c>
      <c r="D432" s="292">
        <v>19.8</v>
      </c>
      <c r="L432" s="294"/>
      <c r="P432" s="271"/>
      <c r="Q432" s="271"/>
      <c r="R432" s="271"/>
      <c r="T432">
        <v>0</v>
      </c>
    </row>
    <row r="433" spans="1:20">
      <c r="A433" s="292"/>
      <c r="B433" s="293"/>
      <c r="C433" s="291">
        <v>200113</v>
      </c>
      <c r="D433" s="292">
        <v>21</v>
      </c>
      <c r="L433" s="294"/>
      <c r="P433" s="271"/>
      <c r="Q433" s="271"/>
      <c r="R433" s="271"/>
      <c r="T433">
        <v>0</v>
      </c>
    </row>
    <row r="434" spans="1:20">
      <c r="A434" s="292"/>
      <c r="B434" s="293"/>
      <c r="C434" s="291"/>
      <c r="D434" s="292"/>
      <c r="L434" s="294"/>
      <c r="P434" s="271"/>
      <c r="Q434" s="271"/>
      <c r="R434" s="271"/>
      <c r="T434">
        <v>0</v>
      </c>
    </row>
    <row r="435" spans="1:20">
      <c r="A435" s="292"/>
      <c r="B435" s="293"/>
      <c r="C435" s="291">
        <v>200703</v>
      </c>
      <c r="D435" s="292">
        <v>4.28</v>
      </c>
      <c r="L435" s="294"/>
      <c r="P435" s="271"/>
      <c r="Q435" s="271"/>
      <c r="R435" s="271"/>
      <c r="T435">
        <v>0</v>
      </c>
    </row>
    <row r="436" spans="1:20">
      <c r="A436" s="292"/>
      <c r="B436" s="293"/>
      <c r="C436" s="291">
        <v>200704</v>
      </c>
      <c r="D436" s="292">
        <v>7.8</v>
      </c>
      <c r="L436" s="294"/>
      <c r="P436" s="271"/>
      <c r="Q436" s="271"/>
      <c r="R436" s="271"/>
      <c r="T436">
        <v>0</v>
      </c>
    </row>
    <row r="437" spans="1:20">
      <c r="A437" s="292"/>
      <c r="B437" s="293"/>
      <c r="C437" s="291">
        <v>200705</v>
      </c>
      <c r="D437" s="292">
        <v>6.23</v>
      </c>
      <c r="L437" s="294"/>
      <c r="P437" s="271"/>
      <c r="Q437" s="271"/>
      <c r="R437" s="271"/>
      <c r="T437">
        <v>0</v>
      </c>
    </row>
    <row r="438" spans="1:20">
      <c r="A438" s="292"/>
      <c r="B438" s="293"/>
      <c r="C438" s="291">
        <v>200706</v>
      </c>
      <c r="D438" s="292">
        <v>4.4400000000000004</v>
      </c>
      <c r="L438" s="294"/>
      <c r="P438" s="271"/>
      <c r="Q438" s="271"/>
      <c r="R438" s="271"/>
      <c r="T438">
        <v>0</v>
      </c>
    </row>
    <row r="439" spans="1:20">
      <c r="A439" s="292"/>
      <c r="B439" s="293"/>
      <c r="C439" s="291">
        <v>200707</v>
      </c>
      <c r="D439" s="292">
        <v>8.0299999999999994</v>
      </c>
      <c r="L439" s="294"/>
      <c r="P439" s="271"/>
      <c r="Q439" s="271"/>
      <c r="R439" s="271"/>
      <c r="T439">
        <v>0</v>
      </c>
    </row>
    <row r="440" spans="1:20">
      <c r="A440" s="292"/>
      <c r="B440" s="293"/>
      <c r="C440" s="291">
        <v>200708</v>
      </c>
      <c r="D440" s="292">
        <v>4.87</v>
      </c>
      <c r="L440" s="294"/>
      <c r="P440" s="271"/>
      <c r="Q440" s="271"/>
      <c r="R440" s="271"/>
      <c r="T440">
        <v>0</v>
      </c>
    </row>
    <row r="441" spans="1:20">
      <c r="A441" s="292"/>
      <c r="B441" s="293"/>
      <c r="C441" s="291">
        <v>200709</v>
      </c>
      <c r="D441" s="292">
        <v>4.28</v>
      </c>
      <c r="L441" s="294"/>
      <c r="P441" s="271"/>
      <c r="Q441" s="271"/>
      <c r="R441" s="271"/>
      <c r="T441">
        <v>0</v>
      </c>
    </row>
    <row r="442" spans="1:20">
      <c r="A442" s="292"/>
      <c r="B442" s="293"/>
      <c r="C442" s="291">
        <v>200710</v>
      </c>
      <c r="D442" s="292">
        <v>7.8</v>
      </c>
      <c r="L442" s="294"/>
      <c r="P442" s="271"/>
      <c r="Q442" s="271"/>
      <c r="R442" s="271"/>
      <c r="T442">
        <v>0</v>
      </c>
    </row>
    <row r="443" spans="1:20">
      <c r="A443" s="292"/>
      <c r="B443" s="293"/>
      <c r="C443" s="291">
        <v>200711</v>
      </c>
      <c r="D443" s="292">
        <v>6.23</v>
      </c>
      <c r="L443" s="294"/>
      <c r="P443" s="271"/>
      <c r="Q443" s="271"/>
      <c r="R443" s="271"/>
      <c r="T443">
        <v>0</v>
      </c>
    </row>
    <row r="444" spans="1:20">
      <c r="A444" s="292"/>
      <c r="B444" s="293"/>
      <c r="C444" s="291">
        <v>200712</v>
      </c>
      <c r="D444" s="292">
        <v>4.4400000000000004</v>
      </c>
      <c r="L444" s="294"/>
      <c r="P444" s="271"/>
      <c r="Q444" s="271"/>
      <c r="R444" s="271"/>
      <c r="T444">
        <v>0</v>
      </c>
    </row>
    <row r="445" spans="1:20">
      <c r="A445" s="292"/>
      <c r="B445" s="293"/>
      <c r="C445" s="291">
        <v>200713</v>
      </c>
      <c r="D445" s="292">
        <v>8.0299999999999994</v>
      </c>
      <c r="L445" s="294"/>
      <c r="P445" s="271"/>
      <c r="Q445" s="271"/>
      <c r="R445" s="271"/>
      <c r="T445">
        <v>0</v>
      </c>
    </row>
    <row r="446" spans="1:20">
      <c r="A446" s="292"/>
      <c r="B446" s="293"/>
      <c r="C446" s="291">
        <v>200714</v>
      </c>
      <c r="D446" s="292">
        <v>4.87</v>
      </c>
      <c r="L446" s="294"/>
      <c r="P446" s="271"/>
      <c r="Q446" s="271"/>
      <c r="R446" s="271"/>
      <c r="T446">
        <v>0</v>
      </c>
    </row>
    <row r="447" spans="1:20">
      <c r="A447" s="292"/>
      <c r="B447" s="293"/>
      <c r="C447" s="291">
        <v>200715</v>
      </c>
      <c r="D447" s="292">
        <v>10.72</v>
      </c>
      <c r="L447" s="294"/>
      <c r="P447" s="271"/>
      <c r="Q447" s="271"/>
      <c r="R447" s="271"/>
      <c r="T447">
        <v>0</v>
      </c>
    </row>
    <row r="448" spans="1:20">
      <c r="A448" s="292"/>
      <c r="B448" s="293"/>
      <c r="C448" s="291">
        <v>200716</v>
      </c>
      <c r="D448" s="292">
        <v>13.38</v>
      </c>
      <c r="L448" s="294"/>
      <c r="P448" s="271"/>
      <c r="Q448" s="271"/>
      <c r="R448" s="271"/>
      <c r="T448">
        <v>0</v>
      </c>
    </row>
    <row r="449" spans="1:20">
      <c r="A449" s="292"/>
      <c r="B449" s="293"/>
      <c r="C449" s="291">
        <v>200717</v>
      </c>
      <c r="D449" s="292">
        <v>10.38</v>
      </c>
      <c r="L449" s="294"/>
      <c r="P449" s="271"/>
      <c r="Q449" s="271"/>
      <c r="R449" s="271"/>
      <c r="T449">
        <v>0</v>
      </c>
    </row>
    <row r="450" spans="1:20">
      <c r="A450" s="292"/>
      <c r="B450" s="293"/>
      <c r="C450" s="291">
        <v>200718</v>
      </c>
      <c r="D450" s="292">
        <v>10.72</v>
      </c>
      <c r="L450" s="294"/>
      <c r="P450" s="271"/>
      <c r="Q450" s="271"/>
      <c r="R450" s="271"/>
      <c r="T450">
        <v>0</v>
      </c>
    </row>
    <row r="451" spans="1:20">
      <c r="A451" s="292"/>
      <c r="B451" s="293"/>
      <c r="C451" s="291">
        <v>200721</v>
      </c>
      <c r="D451" s="292">
        <v>13.38</v>
      </c>
      <c r="L451" s="294"/>
      <c r="P451" s="271"/>
      <c r="Q451" s="271"/>
      <c r="R451" s="271"/>
      <c r="T451">
        <v>0</v>
      </c>
    </row>
    <row r="452" spans="1:20">
      <c r="A452" s="292"/>
      <c r="B452" s="293"/>
      <c r="C452" s="291">
        <v>200722</v>
      </c>
      <c r="D452" s="292">
        <v>10.38</v>
      </c>
      <c r="L452" s="294"/>
      <c r="P452" s="271"/>
      <c r="Q452" s="271"/>
      <c r="R452" s="271"/>
      <c r="T452">
        <v>0</v>
      </c>
    </row>
    <row r="453" spans="1:20">
      <c r="A453" s="292"/>
      <c r="B453" s="293"/>
      <c r="C453" s="291"/>
      <c r="D453" s="292"/>
      <c r="L453" s="294"/>
      <c r="P453" s="271"/>
      <c r="Q453" s="271"/>
      <c r="R453" s="271"/>
      <c r="T453">
        <v>0</v>
      </c>
    </row>
    <row r="454" spans="1:20">
      <c r="A454" s="292"/>
      <c r="B454" s="293"/>
      <c r="C454" s="291">
        <v>200410</v>
      </c>
      <c r="D454" s="292">
        <v>10.5</v>
      </c>
      <c r="L454" s="294"/>
      <c r="P454" s="271"/>
      <c r="Q454" s="271"/>
      <c r="R454" s="271"/>
      <c r="T454">
        <v>0</v>
      </c>
    </row>
    <row r="455" spans="1:20">
      <c r="A455" s="292"/>
      <c r="B455" s="293"/>
      <c r="C455" s="291">
        <v>200414</v>
      </c>
      <c r="D455" s="292">
        <v>16</v>
      </c>
      <c r="L455" s="294"/>
      <c r="P455" s="271"/>
      <c r="Q455" s="271"/>
      <c r="R455" s="271"/>
      <c r="T455">
        <v>0</v>
      </c>
    </row>
    <row r="456" spans="1:20">
      <c r="A456" s="292"/>
      <c r="B456" s="293"/>
      <c r="C456" s="291">
        <v>200416</v>
      </c>
      <c r="D456" s="292">
        <v>15</v>
      </c>
      <c r="L456" s="294"/>
      <c r="P456" s="271"/>
      <c r="Q456" s="271"/>
      <c r="R456" s="271"/>
      <c r="T456">
        <v>0</v>
      </c>
    </row>
    <row r="457" spans="1:20">
      <c r="A457" s="292"/>
      <c r="B457" s="293"/>
      <c r="C457" s="291">
        <v>200419</v>
      </c>
      <c r="D457" s="292">
        <v>5</v>
      </c>
      <c r="L457" s="294"/>
      <c r="P457" s="271"/>
      <c r="Q457" s="271"/>
      <c r="R457" s="271"/>
      <c r="T457">
        <v>0</v>
      </c>
    </row>
    <row r="458" spans="1:20">
      <c r="A458" s="292"/>
      <c r="B458" s="293"/>
      <c r="C458" s="291">
        <v>200420</v>
      </c>
      <c r="D458" s="292">
        <v>15</v>
      </c>
      <c r="L458" s="294"/>
      <c r="P458" s="271"/>
      <c r="Q458" s="271"/>
      <c r="R458" s="271"/>
      <c r="T458">
        <v>0</v>
      </c>
    </row>
    <row r="459" spans="1:20">
      <c r="A459" s="292"/>
      <c r="B459" s="293"/>
      <c r="C459" s="291">
        <v>200421</v>
      </c>
      <c r="D459" s="292">
        <v>7</v>
      </c>
      <c r="L459" s="294"/>
      <c r="P459" s="271"/>
      <c r="Q459" s="271"/>
      <c r="R459" s="271"/>
      <c r="T459">
        <v>0</v>
      </c>
    </row>
    <row r="460" spans="1:20">
      <c r="A460" s="292"/>
      <c r="B460" s="293"/>
      <c r="C460" s="291">
        <v>200452</v>
      </c>
      <c r="D460" s="292">
        <v>6.2</v>
      </c>
      <c r="L460" s="294"/>
      <c r="P460" s="271"/>
      <c r="Q460" s="271"/>
      <c r="R460" s="271"/>
      <c r="T460">
        <v>0</v>
      </c>
    </row>
    <row r="461" spans="1:20">
      <c r="A461" s="292"/>
      <c r="B461" s="293"/>
      <c r="C461" s="291">
        <v>200478</v>
      </c>
      <c r="D461" s="292">
        <v>16</v>
      </c>
      <c r="L461" s="294"/>
      <c r="P461" s="271"/>
      <c r="Q461" s="271"/>
      <c r="R461" s="271"/>
      <c r="T461">
        <v>0</v>
      </c>
    </row>
    <row r="462" spans="1:20">
      <c r="A462" s="292"/>
      <c r="B462" s="293"/>
      <c r="C462" s="291">
        <v>200776</v>
      </c>
      <c r="D462" s="292">
        <v>16</v>
      </c>
      <c r="L462" s="294"/>
      <c r="P462" s="271"/>
      <c r="Q462" s="271"/>
      <c r="R462" s="271"/>
      <c r="T462">
        <v>0</v>
      </c>
    </row>
    <row r="463" spans="1:20">
      <c r="A463" s="292"/>
      <c r="B463" s="293"/>
      <c r="C463" s="291">
        <v>200778</v>
      </c>
      <c r="D463" s="292">
        <v>8</v>
      </c>
      <c r="L463" s="294"/>
      <c r="P463" s="271"/>
      <c r="Q463" s="271"/>
      <c r="R463" s="271"/>
      <c r="T463">
        <v>0</v>
      </c>
    </row>
    <row r="464" spans="1:20">
      <c r="A464" s="292"/>
      <c r="B464" s="293"/>
      <c r="C464" s="291">
        <v>200780</v>
      </c>
      <c r="D464" s="292">
        <v>6</v>
      </c>
      <c r="L464" s="294"/>
      <c r="P464" s="271"/>
      <c r="Q464" s="271"/>
      <c r="R464" s="271"/>
      <c r="T464">
        <v>0</v>
      </c>
    </row>
    <row r="465" spans="1:20">
      <c r="A465" s="292"/>
      <c r="B465" s="293"/>
      <c r="C465" s="291">
        <v>200781</v>
      </c>
      <c r="D465" s="292">
        <v>8</v>
      </c>
      <c r="L465" s="294"/>
      <c r="P465" s="271"/>
      <c r="Q465" s="271"/>
      <c r="R465" s="271"/>
      <c r="T465">
        <v>0</v>
      </c>
    </row>
    <row r="466" spans="1:20">
      <c r="A466" s="292"/>
      <c r="B466" s="293"/>
      <c r="C466" s="291">
        <v>200795</v>
      </c>
      <c r="D466" s="292">
        <v>6</v>
      </c>
      <c r="L466" s="294"/>
      <c r="P466" s="271"/>
      <c r="Q466" s="271"/>
      <c r="R466" s="271"/>
      <c r="T466">
        <v>0</v>
      </c>
    </row>
    <row r="467" spans="1:20">
      <c r="A467" s="292"/>
      <c r="B467" s="293"/>
      <c r="C467" s="291">
        <v>200799</v>
      </c>
      <c r="D467" s="292">
        <v>8</v>
      </c>
      <c r="L467" s="294"/>
      <c r="P467" s="271"/>
      <c r="Q467" s="271"/>
      <c r="R467" s="271"/>
      <c r="T467">
        <v>0</v>
      </c>
    </row>
    <row r="468" spans="1:20">
      <c r="A468" s="292"/>
      <c r="B468" s="293"/>
      <c r="C468" s="291">
        <v>207413</v>
      </c>
      <c r="D468" s="292">
        <v>10.5</v>
      </c>
      <c r="L468" s="294"/>
      <c r="P468" s="271"/>
      <c r="Q468" s="271"/>
      <c r="R468" s="271"/>
      <c r="T468">
        <v>0</v>
      </c>
    </row>
    <row r="469" spans="1:20">
      <c r="A469" s="292"/>
      <c r="B469" s="293"/>
      <c r="C469" s="291">
        <v>207414</v>
      </c>
      <c r="D469" s="292">
        <v>10.5</v>
      </c>
      <c r="L469" s="294"/>
      <c r="P469" s="271"/>
      <c r="Q469" s="271"/>
      <c r="R469" s="271"/>
      <c r="T469">
        <v>0</v>
      </c>
    </row>
    <row r="470" spans="1:20">
      <c r="A470" s="292"/>
      <c r="B470" s="293"/>
      <c r="C470" s="291">
        <v>207415</v>
      </c>
      <c r="D470" s="292">
        <v>12</v>
      </c>
      <c r="L470" s="294"/>
      <c r="P470" s="271"/>
      <c r="Q470" s="271"/>
      <c r="R470" s="271"/>
      <c r="T470">
        <v>0</v>
      </c>
    </row>
    <row r="471" spans="1:20">
      <c r="A471" s="292"/>
      <c r="B471" s="293"/>
      <c r="C471" s="291">
        <v>207416</v>
      </c>
      <c r="D471" s="292">
        <v>12</v>
      </c>
      <c r="L471" s="294"/>
      <c r="P471" s="271"/>
      <c r="Q471" s="271"/>
      <c r="R471" s="271"/>
      <c r="T471">
        <v>0</v>
      </c>
    </row>
    <row r="472" spans="1:20">
      <c r="A472" s="292"/>
      <c r="B472" s="293"/>
      <c r="C472" s="291">
        <v>207423</v>
      </c>
      <c r="D472" s="292">
        <v>10</v>
      </c>
      <c r="L472" s="294"/>
      <c r="P472" s="271"/>
      <c r="Q472" s="271"/>
      <c r="R472" s="271"/>
      <c r="T472">
        <v>0</v>
      </c>
    </row>
    <row r="473" spans="1:20">
      <c r="A473" s="292"/>
      <c r="B473" s="293"/>
      <c r="C473" s="291">
        <v>207425</v>
      </c>
      <c r="D473" s="292">
        <v>16</v>
      </c>
      <c r="L473" s="294"/>
      <c r="P473" s="271"/>
      <c r="Q473" s="271"/>
      <c r="R473" s="271"/>
      <c r="T473">
        <v>0</v>
      </c>
    </row>
    <row r="474" spans="1:20">
      <c r="A474" s="292"/>
      <c r="B474" s="293"/>
      <c r="C474" s="291">
        <v>207426</v>
      </c>
      <c r="D474" s="292">
        <v>12</v>
      </c>
      <c r="L474" s="294"/>
      <c r="P474" s="271"/>
      <c r="Q474" s="271"/>
      <c r="R474" s="271"/>
      <c r="T474">
        <v>0</v>
      </c>
    </row>
    <row r="475" spans="1:20">
      <c r="A475" s="292"/>
      <c r="B475" s="293"/>
      <c r="C475" s="291">
        <v>207430</v>
      </c>
      <c r="D475" s="292">
        <v>10</v>
      </c>
      <c r="L475" s="294"/>
      <c r="P475" s="271"/>
      <c r="Q475" s="271"/>
      <c r="R475" s="271"/>
      <c r="T475">
        <v>0</v>
      </c>
    </row>
    <row r="476" spans="1:20">
      <c r="A476" s="292"/>
      <c r="B476" s="293"/>
      <c r="C476" s="291">
        <v>207432</v>
      </c>
      <c r="D476" s="292">
        <v>16</v>
      </c>
      <c r="L476" s="294"/>
      <c r="P476" s="271"/>
      <c r="Q476" s="271"/>
      <c r="R476" s="271"/>
      <c r="T476">
        <v>0</v>
      </c>
    </row>
    <row r="477" spans="1:20">
      <c r="A477" s="292"/>
      <c r="B477" s="293"/>
      <c r="C477" s="291">
        <v>207433</v>
      </c>
      <c r="D477" s="292">
        <v>12</v>
      </c>
      <c r="L477" s="294"/>
      <c r="P477" s="271"/>
      <c r="Q477" s="271"/>
      <c r="R477" s="271"/>
      <c r="T477">
        <v>0</v>
      </c>
    </row>
    <row r="478" spans="1:20">
      <c r="A478" s="292"/>
      <c r="B478" s="293"/>
      <c r="C478" s="291">
        <v>207519</v>
      </c>
      <c r="D478" s="292">
        <v>8</v>
      </c>
      <c r="L478" s="294"/>
      <c r="P478" s="271"/>
      <c r="Q478" s="271"/>
      <c r="R478" s="271"/>
      <c r="T478">
        <v>0</v>
      </c>
    </row>
    <row r="479" spans="1:20">
      <c r="A479" s="292"/>
      <c r="B479" s="293"/>
      <c r="C479" s="291">
        <v>207537</v>
      </c>
      <c r="D479" s="292">
        <v>10</v>
      </c>
      <c r="L479" s="294"/>
      <c r="P479" s="271"/>
      <c r="Q479" s="271"/>
      <c r="R479" s="271"/>
      <c r="T479">
        <v>0</v>
      </c>
    </row>
    <row r="480" spans="1:20">
      <c r="A480" s="292"/>
      <c r="B480" s="293"/>
      <c r="C480" s="291">
        <v>207539</v>
      </c>
      <c r="D480" s="292">
        <v>16</v>
      </c>
      <c r="L480" s="294"/>
      <c r="P480" s="271"/>
      <c r="Q480" s="271"/>
      <c r="R480" s="271"/>
      <c r="T480">
        <v>0</v>
      </c>
    </row>
    <row r="481" spans="1:20">
      <c r="A481" s="292"/>
      <c r="B481" s="293"/>
      <c r="C481" s="291">
        <v>207595</v>
      </c>
      <c r="D481" s="292">
        <v>12</v>
      </c>
      <c r="L481" s="294"/>
      <c r="P481" s="271"/>
      <c r="Q481" s="271"/>
      <c r="R481" s="271"/>
      <c r="T481">
        <v>0</v>
      </c>
    </row>
    <row r="482" spans="1:20">
      <c r="A482" s="292"/>
      <c r="B482" s="293"/>
      <c r="C482" s="291">
        <v>207930</v>
      </c>
      <c r="D482" s="292">
        <v>12.9</v>
      </c>
      <c r="L482" s="294"/>
      <c r="P482" s="271"/>
      <c r="Q482" s="271"/>
      <c r="R482" s="271"/>
      <c r="T482">
        <v>0</v>
      </c>
    </row>
    <row r="483" spans="1:20">
      <c r="A483" s="292"/>
      <c r="B483" s="293"/>
      <c r="C483" s="291">
        <v>207932</v>
      </c>
      <c r="D483" s="292">
        <v>12.1</v>
      </c>
      <c r="L483" s="294"/>
      <c r="P483" s="271"/>
      <c r="Q483" s="271"/>
      <c r="R483" s="271"/>
      <c r="T483">
        <v>0</v>
      </c>
    </row>
    <row r="484" spans="1:20">
      <c r="A484" s="292"/>
      <c r="B484" s="293"/>
      <c r="C484" s="291">
        <v>207976</v>
      </c>
      <c r="D484" s="292">
        <v>12</v>
      </c>
      <c r="L484" s="294"/>
      <c r="P484" s="271"/>
      <c r="Q484" s="271"/>
      <c r="R484" s="271"/>
      <c r="T484">
        <v>0</v>
      </c>
    </row>
    <row r="485" spans="1:20">
      <c r="A485" s="292"/>
      <c r="B485" s="293"/>
      <c r="C485" s="291">
        <v>207977</v>
      </c>
      <c r="D485" s="292">
        <v>8.8000000000000007</v>
      </c>
      <c r="L485" s="294"/>
      <c r="P485" s="271"/>
      <c r="Q485" s="271"/>
      <c r="R485" s="271"/>
      <c r="T485">
        <v>0</v>
      </c>
    </row>
    <row r="486" spans="1:20">
      <c r="A486" s="292"/>
      <c r="B486" s="293"/>
      <c r="C486" s="291">
        <v>1878</v>
      </c>
      <c r="D486" s="292">
        <v>16</v>
      </c>
      <c r="L486" s="294"/>
      <c r="P486" s="271"/>
      <c r="Q486" s="271"/>
      <c r="R486" s="271"/>
      <c r="T486">
        <v>0</v>
      </c>
    </row>
    <row r="487" spans="1:20">
      <c r="A487" s="292"/>
      <c r="B487" s="293"/>
      <c r="C487" s="291">
        <v>201501</v>
      </c>
      <c r="D487" s="292">
        <v>11</v>
      </c>
      <c r="L487" s="294"/>
      <c r="P487" s="271"/>
      <c r="Q487" s="271"/>
      <c r="R487" s="271"/>
      <c r="T487">
        <v>0</v>
      </c>
    </row>
    <row r="488" spans="1:20">
      <c r="A488" s="292"/>
      <c r="B488" s="293"/>
      <c r="C488" s="291">
        <v>201502</v>
      </c>
      <c r="D488" s="292">
        <v>11</v>
      </c>
      <c r="L488" s="294"/>
      <c r="P488" s="271"/>
      <c r="Q488" s="271"/>
      <c r="R488" s="271"/>
      <c r="T488">
        <v>0</v>
      </c>
    </row>
    <row r="489" spans="1:20">
      <c r="A489" s="292"/>
      <c r="B489" s="293"/>
      <c r="C489" s="291">
        <v>1588</v>
      </c>
      <c r="D489" s="292">
        <v>9.6</v>
      </c>
      <c r="L489" s="294"/>
      <c r="P489" s="271"/>
      <c r="Q489" s="271"/>
      <c r="R489" s="271"/>
      <c r="T489">
        <v>0</v>
      </c>
    </row>
    <row r="490" spans="1:20">
      <c r="A490" s="292"/>
      <c r="B490" s="293"/>
      <c r="C490" s="291">
        <v>1589</v>
      </c>
      <c r="D490" s="292">
        <v>8.8000000000000007</v>
      </c>
      <c r="L490" s="294"/>
      <c r="P490" s="271"/>
      <c r="Q490" s="271"/>
      <c r="R490" s="271"/>
      <c r="T490">
        <v>0</v>
      </c>
    </row>
    <row r="491" spans="1:20">
      <c r="A491" s="292"/>
      <c r="B491" s="293"/>
      <c r="C491" s="291">
        <v>7978</v>
      </c>
      <c r="D491" s="292">
        <v>14</v>
      </c>
      <c r="L491" s="294"/>
      <c r="P491" s="271"/>
      <c r="Q491" s="271"/>
      <c r="R491" s="271"/>
      <c r="T491">
        <v>0</v>
      </c>
    </row>
    <row r="492" spans="1:20">
      <c r="A492" s="292"/>
      <c r="B492" s="293"/>
      <c r="C492" s="291">
        <v>7979</v>
      </c>
      <c r="D492" s="292">
        <v>8.1</v>
      </c>
      <c r="L492" s="294"/>
      <c r="P492" s="271"/>
      <c r="Q492" s="271"/>
      <c r="R492" s="271"/>
      <c r="T492">
        <v>0</v>
      </c>
    </row>
    <row r="493" spans="1:20">
      <c r="A493" s="292"/>
      <c r="B493" s="293"/>
      <c r="C493" s="291">
        <v>1881</v>
      </c>
      <c r="D493" s="292">
        <v>13</v>
      </c>
      <c r="L493" s="294"/>
      <c r="P493" s="271"/>
      <c r="Q493" s="271"/>
      <c r="R493" s="271"/>
      <c r="T493">
        <v>0</v>
      </c>
    </row>
    <row r="494" spans="1:20">
      <c r="A494" s="292"/>
      <c r="B494" s="293"/>
      <c r="C494" s="291">
        <v>1846</v>
      </c>
      <c r="D494" s="292">
        <v>9.9600000000000009</v>
      </c>
      <c r="L494" s="294"/>
      <c r="P494" s="271"/>
      <c r="Q494" s="271"/>
      <c r="R494" s="271"/>
      <c r="T494">
        <v>0</v>
      </c>
    </row>
    <row r="495" spans="1:20">
      <c r="A495" s="292"/>
      <c r="B495" s="293"/>
      <c r="C495" s="291">
        <v>1847</v>
      </c>
      <c r="D495" s="292">
        <v>10.06</v>
      </c>
      <c r="L495" s="294"/>
      <c r="P495" s="271"/>
      <c r="Q495" s="271"/>
      <c r="R495" s="271"/>
      <c r="T495">
        <v>0</v>
      </c>
    </row>
    <row r="496" spans="1:20">
      <c r="A496" s="292"/>
      <c r="B496" s="293"/>
      <c r="C496" s="291">
        <v>1882</v>
      </c>
      <c r="D496" s="292">
        <v>13</v>
      </c>
      <c r="L496" s="294"/>
      <c r="P496" s="271"/>
      <c r="Q496" s="271"/>
      <c r="R496" s="271"/>
      <c r="T496">
        <v>0</v>
      </c>
    </row>
    <row r="497" spans="1:20">
      <c r="A497" s="292"/>
      <c r="B497" s="293"/>
      <c r="C497" s="291">
        <v>1883</v>
      </c>
      <c r="D497" s="292">
        <v>13</v>
      </c>
      <c r="L497" s="294"/>
      <c r="P497" s="271"/>
      <c r="Q497" s="271"/>
      <c r="R497" s="271"/>
      <c r="T497">
        <v>0</v>
      </c>
    </row>
    <row r="498" spans="1:20">
      <c r="A498" s="292"/>
      <c r="B498" s="293"/>
      <c r="C498" s="291">
        <v>1884</v>
      </c>
      <c r="D498" s="292">
        <v>7.68</v>
      </c>
      <c r="L498" s="294"/>
      <c r="P498" s="271"/>
      <c r="Q498" s="271"/>
      <c r="R498" s="271"/>
      <c r="T498">
        <v>0</v>
      </c>
    </row>
    <row r="499" spans="1:20">
      <c r="A499" s="292"/>
      <c r="B499" s="293"/>
      <c r="C499" s="291">
        <v>1885</v>
      </c>
      <c r="D499" s="292">
        <v>15</v>
      </c>
      <c r="L499" s="294"/>
      <c r="P499" s="271"/>
      <c r="Q499" s="271"/>
      <c r="R499" s="271"/>
      <c r="T499">
        <v>0</v>
      </c>
    </row>
    <row r="500" spans="1:20">
      <c r="A500" s="292"/>
      <c r="B500" s="293"/>
      <c r="C500" s="291">
        <v>1886</v>
      </c>
      <c r="D500" s="292">
        <v>10</v>
      </c>
      <c r="L500" s="294"/>
      <c r="P500" s="271"/>
      <c r="Q500" s="271"/>
      <c r="R500" s="271"/>
      <c r="T500">
        <v>0</v>
      </c>
    </row>
    <row r="501" spans="1:20">
      <c r="A501" s="292"/>
      <c r="B501" s="293"/>
      <c r="C501" s="291">
        <v>1890</v>
      </c>
      <c r="D501" s="292">
        <v>9.5</v>
      </c>
      <c r="L501" s="294"/>
      <c r="P501" s="271"/>
      <c r="Q501" s="271"/>
      <c r="R501" s="271"/>
      <c r="T501">
        <v>0</v>
      </c>
    </row>
    <row r="502" spans="1:20">
      <c r="A502" s="292"/>
      <c r="B502" s="293"/>
      <c r="C502" s="291">
        <v>1891</v>
      </c>
      <c r="D502" s="292">
        <v>6.9</v>
      </c>
      <c r="L502" s="294"/>
      <c r="P502" s="271"/>
      <c r="Q502" s="271"/>
      <c r="R502" s="271"/>
      <c r="T502">
        <v>0</v>
      </c>
    </row>
    <row r="503" spans="1:20">
      <c r="A503" s="292"/>
      <c r="B503" s="293"/>
      <c r="C503" s="291">
        <v>1892</v>
      </c>
      <c r="D503" s="292">
        <v>12.5</v>
      </c>
      <c r="L503" s="294"/>
      <c r="P503" s="271"/>
      <c r="Q503" s="271"/>
      <c r="R503" s="271"/>
      <c r="T503">
        <v>0</v>
      </c>
    </row>
    <row r="504" spans="1:20">
      <c r="A504" s="292"/>
      <c r="B504" s="293"/>
      <c r="C504" s="291">
        <v>1893</v>
      </c>
      <c r="D504" s="292">
        <v>12.4</v>
      </c>
      <c r="L504" s="294"/>
      <c r="P504" s="271"/>
      <c r="Q504" s="271"/>
      <c r="R504" s="271"/>
      <c r="T504">
        <v>0</v>
      </c>
    </row>
    <row r="505" spans="1:20">
      <c r="A505" s="292"/>
      <c r="B505" s="293"/>
      <c r="C505" s="291">
        <v>1895</v>
      </c>
      <c r="D505" s="292">
        <v>10</v>
      </c>
      <c r="L505" s="294"/>
      <c r="P505" s="271"/>
      <c r="Q505" s="271"/>
      <c r="R505" s="271"/>
      <c r="T505">
        <v>0</v>
      </c>
    </row>
    <row r="506" spans="1:20">
      <c r="A506" s="292"/>
      <c r="B506" s="293"/>
      <c r="C506" s="291">
        <v>1860</v>
      </c>
      <c r="D506" s="292">
        <v>8.8000000000000007</v>
      </c>
      <c r="L506" s="294"/>
      <c r="P506" s="271"/>
      <c r="Q506" s="271"/>
      <c r="R506" s="271"/>
      <c r="T506">
        <v>0</v>
      </c>
    </row>
    <row r="507" spans="1:20">
      <c r="A507" s="292"/>
      <c r="B507" s="293"/>
      <c r="C507" s="291">
        <v>1861</v>
      </c>
      <c r="D507" s="292">
        <v>14</v>
      </c>
      <c r="L507" s="294"/>
      <c r="P507" s="271"/>
      <c r="Q507" s="271"/>
      <c r="R507" s="271"/>
      <c r="T507">
        <v>0</v>
      </c>
    </row>
    <row r="508" spans="1:20">
      <c r="A508" s="292"/>
      <c r="B508" s="293"/>
      <c r="C508" s="291">
        <v>1862</v>
      </c>
      <c r="D508" s="292">
        <v>10.199999999999999</v>
      </c>
      <c r="L508" s="294"/>
      <c r="P508" s="271"/>
      <c r="Q508" s="271"/>
      <c r="R508" s="271"/>
      <c r="T508">
        <v>0</v>
      </c>
    </row>
    <row r="509" spans="1:20">
      <c r="A509" s="292"/>
      <c r="B509" s="293"/>
      <c r="C509" s="291">
        <v>1863</v>
      </c>
      <c r="D509" s="292">
        <v>8.8000000000000007</v>
      </c>
      <c r="L509" s="294"/>
      <c r="P509" s="271"/>
      <c r="Q509" s="271"/>
      <c r="R509" s="271"/>
      <c r="T509">
        <v>0</v>
      </c>
    </row>
    <row r="510" spans="1:20">
      <c r="A510" s="292"/>
      <c r="B510" s="293"/>
      <c r="C510" s="291">
        <v>1864</v>
      </c>
      <c r="D510" s="292">
        <v>12</v>
      </c>
      <c r="L510" s="294"/>
      <c r="P510" s="271"/>
      <c r="Q510" s="271"/>
      <c r="R510" s="271"/>
      <c r="T510">
        <v>0</v>
      </c>
    </row>
    <row r="511" spans="1:20">
      <c r="A511" s="292"/>
      <c r="B511" s="293"/>
      <c r="C511" s="291">
        <v>1896</v>
      </c>
      <c r="D511" s="292">
        <v>19.8</v>
      </c>
      <c r="L511" s="294"/>
      <c r="P511" s="271"/>
      <c r="Q511" s="271"/>
      <c r="R511" s="271"/>
      <c r="T511">
        <v>0</v>
      </c>
    </row>
    <row r="512" spans="1:20">
      <c r="A512" s="292"/>
      <c r="B512" s="293"/>
      <c r="C512" s="291">
        <v>1897</v>
      </c>
      <c r="D512" s="292">
        <v>18</v>
      </c>
      <c r="L512" s="294"/>
      <c r="P512" s="271"/>
      <c r="Q512" s="271"/>
      <c r="R512" s="271"/>
      <c r="T512">
        <v>0</v>
      </c>
    </row>
    <row r="513" spans="1:20">
      <c r="A513" s="292"/>
      <c r="B513" s="293"/>
      <c r="C513" s="291">
        <v>1898</v>
      </c>
      <c r="D513" s="292">
        <v>6</v>
      </c>
      <c r="L513" s="294"/>
      <c r="P513" s="271"/>
      <c r="Q513" s="271"/>
      <c r="R513" s="271"/>
      <c r="T513">
        <v>0</v>
      </c>
    </row>
    <row r="514" spans="1:20">
      <c r="A514" s="292"/>
      <c r="B514" s="293"/>
      <c r="C514" s="291">
        <v>7224</v>
      </c>
      <c r="D514" s="292">
        <v>12</v>
      </c>
      <c r="L514" s="294"/>
      <c r="P514" s="271"/>
      <c r="Q514" s="271"/>
      <c r="R514" s="271"/>
      <c r="T514">
        <v>0</v>
      </c>
    </row>
    <row r="515" spans="1:20">
      <c r="A515" s="292"/>
      <c r="B515" s="293"/>
      <c r="C515" s="291">
        <v>1523</v>
      </c>
      <c r="D515" s="292">
        <v>15</v>
      </c>
      <c r="L515" s="294"/>
      <c r="P515" s="271"/>
      <c r="Q515" s="271"/>
      <c r="R515" s="271"/>
      <c r="T515">
        <v>0</v>
      </c>
    </row>
    <row r="516" spans="1:20">
      <c r="A516" s="292"/>
      <c r="B516" s="293"/>
      <c r="C516" s="291">
        <v>7251</v>
      </c>
      <c r="D516" s="292">
        <v>9.24</v>
      </c>
      <c r="L516" s="294"/>
      <c r="P516" s="271"/>
      <c r="Q516" s="271"/>
      <c r="R516" s="271"/>
      <c r="T516">
        <v>0</v>
      </c>
    </row>
    <row r="517" spans="1:20">
      <c r="A517" s="292"/>
      <c r="B517" s="293"/>
      <c r="C517" s="291">
        <v>7252</v>
      </c>
      <c r="D517" s="292">
        <v>10.56</v>
      </c>
      <c r="L517" s="294"/>
      <c r="P517" s="271"/>
      <c r="Q517" s="271"/>
      <c r="R517" s="271"/>
      <c r="T517">
        <v>0</v>
      </c>
    </row>
    <row r="518" spans="1:20">
      <c r="A518" s="292"/>
      <c r="B518" s="293"/>
      <c r="C518" s="291">
        <v>7091</v>
      </c>
      <c r="D518" s="292">
        <v>11.75</v>
      </c>
      <c r="L518" s="294"/>
      <c r="P518" s="271"/>
      <c r="Q518" s="271"/>
      <c r="R518" s="271"/>
      <c r="T518">
        <v>0</v>
      </c>
    </row>
    <row r="519" spans="1:20">
      <c r="A519" s="292"/>
      <c r="B519" s="293"/>
      <c r="C519" s="291">
        <v>7823</v>
      </c>
      <c r="D519" s="292">
        <v>7.0730000000000004</v>
      </c>
      <c r="L519" s="294"/>
      <c r="P519" s="271"/>
      <c r="Q519" s="271"/>
      <c r="R519" s="271"/>
      <c r="T519">
        <v>0</v>
      </c>
    </row>
    <row r="520" spans="1:20">
      <c r="A520" s="292"/>
      <c r="B520" s="293"/>
      <c r="C520" s="291">
        <v>7824</v>
      </c>
      <c r="D520" s="292">
        <v>6.7760000000000007</v>
      </c>
      <c r="L520" s="294"/>
      <c r="P520" s="271"/>
      <c r="Q520" s="271"/>
      <c r="R520" s="271"/>
      <c r="T520">
        <v>0</v>
      </c>
    </row>
    <row r="521" spans="1:20">
      <c r="A521" s="292"/>
      <c r="B521" s="293"/>
      <c r="C521" s="291">
        <v>7825</v>
      </c>
      <c r="D521" s="292">
        <v>7.0400000000000009</v>
      </c>
      <c r="T521">
        <v>0</v>
      </c>
    </row>
    <row r="522" spans="1:20">
      <c r="A522" s="292"/>
      <c r="B522" s="293"/>
      <c r="C522" s="291">
        <v>7826</v>
      </c>
      <c r="D522" s="292">
        <v>9.0530000000000008</v>
      </c>
      <c r="T522">
        <v>0</v>
      </c>
    </row>
    <row r="523" spans="1:20">
      <c r="A523" s="292"/>
      <c r="B523" s="293"/>
      <c r="C523" s="291">
        <v>7827</v>
      </c>
      <c r="D523" s="292">
        <v>14.069000000000001</v>
      </c>
      <c r="T523">
        <v>0</v>
      </c>
    </row>
    <row r="524" spans="1:20">
      <c r="A524" s="292"/>
      <c r="B524" s="293"/>
      <c r="C524" s="291">
        <v>7828</v>
      </c>
      <c r="D524" s="292">
        <v>4.9940000000000007</v>
      </c>
      <c r="T524">
        <v>0</v>
      </c>
    </row>
    <row r="525" spans="1:20">
      <c r="A525" s="292"/>
      <c r="B525" s="293"/>
      <c r="C525" s="291">
        <v>7829</v>
      </c>
      <c r="D525" s="292">
        <v>4.95</v>
      </c>
      <c r="T525">
        <v>0</v>
      </c>
    </row>
    <row r="526" spans="1:20">
      <c r="A526" s="292"/>
      <c r="B526" s="293"/>
      <c r="C526" s="291">
        <v>7830</v>
      </c>
      <c r="D526" s="292">
        <v>6.3250000000000002</v>
      </c>
    </row>
    <row r="527" spans="1:20">
      <c r="A527" s="292"/>
      <c r="B527" s="293"/>
      <c r="C527" s="291">
        <v>7831</v>
      </c>
      <c r="D527" s="292">
        <v>9.9</v>
      </c>
    </row>
    <row r="528" spans="1:20">
      <c r="A528" s="292"/>
      <c r="B528" s="293"/>
      <c r="C528" s="291">
        <v>7833</v>
      </c>
      <c r="D528" s="292">
        <v>6.6000000000000014</v>
      </c>
    </row>
    <row r="529" spans="1:4">
      <c r="A529" s="292"/>
      <c r="B529" s="293"/>
      <c r="C529" s="291">
        <v>200724</v>
      </c>
      <c r="D529" s="292">
        <v>8.1000000000000003E-2</v>
      </c>
    </row>
    <row r="530" spans="1:4">
      <c r="A530" s="292"/>
      <c r="B530" s="293"/>
      <c r="C530" s="291">
        <v>2067</v>
      </c>
      <c r="D530" s="292">
        <v>0.156</v>
      </c>
    </row>
    <row r="531" spans="1:4">
      <c r="A531" s="292"/>
      <c r="B531" s="293"/>
      <c r="C531" s="291">
        <v>2068</v>
      </c>
      <c r="D531" s="292">
        <v>0.05</v>
      </c>
    </row>
    <row r="532" spans="1:4">
      <c r="A532" s="292"/>
      <c r="B532" s="293"/>
      <c r="C532" s="210">
        <v>2512</v>
      </c>
    </row>
    <row r="533" spans="1:4">
      <c r="A533" s="292"/>
      <c r="B533" s="293"/>
    </row>
    <row r="534" spans="1:4">
      <c r="A534" s="292"/>
      <c r="B534" s="293"/>
    </row>
    <row r="535" spans="1:4">
      <c r="A535" s="292"/>
      <c r="B535" s="293"/>
    </row>
    <row r="536" spans="1:4">
      <c r="A536" s="292"/>
      <c r="B536" s="293"/>
    </row>
    <row r="537" spans="1:4">
      <c r="A537" s="292"/>
      <c r="B537" s="293"/>
    </row>
    <row r="538" spans="1:4">
      <c r="A538" s="292"/>
      <c r="B538" s="293"/>
    </row>
    <row r="539" spans="1:4">
      <c r="A539" s="292"/>
      <c r="B539" s="293"/>
    </row>
    <row r="540" spans="1:4">
      <c r="A540" s="292"/>
      <c r="B540" s="293"/>
    </row>
    <row r="541" spans="1:4">
      <c r="A541" s="292"/>
      <c r="B541" s="293"/>
    </row>
    <row r="542" spans="1:4">
      <c r="A542" s="292"/>
      <c r="B542" s="293"/>
    </row>
    <row r="543" spans="1:4">
      <c r="A543" s="292"/>
      <c r="B543" s="293"/>
    </row>
    <row r="544" spans="1:4">
      <c r="A544" s="292"/>
      <c r="B544" s="293"/>
    </row>
    <row r="545" spans="1:2">
      <c r="A545" s="292"/>
      <c r="B545" s="293"/>
    </row>
    <row r="546" spans="1:2">
      <c r="A546" s="292"/>
      <c r="B546" s="293"/>
    </row>
    <row r="547" spans="1:2">
      <c r="A547" s="292"/>
      <c r="B547" s="293"/>
    </row>
    <row r="548" spans="1:2">
      <c r="A548" s="292"/>
      <c r="B548" s="293"/>
    </row>
    <row r="549" spans="1:2">
      <c r="A549" s="292"/>
      <c r="B549" s="293"/>
    </row>
    <row r="550" spans="1:2">
      <c r="A550" s="292"/>
      <c r="B550" s="293"/>
    </row>
    <row r="551" spans="1:2">
      <c r="A551" s="292"/>
      <c r="B551" s="293"/>
    </row>
    <row r="552" spans="1:2">
      <c r="A552" s="292"/>
      <c r="B552" s="293"/>
    </row>
    <row r="553" spans="1:2">
      <c r="A553" s="292"/>
      <c r="B553" s="293"/>
    </row>
    <row r="554" spans="1:2">
      <c r="A554" s="292"/>
      <c r="B554" s="293"/>
    </row>
    <row r="555" spans="1:2">
      <c r="A555" s="292"/>
      <c r="B555" s="293"/>
    </row>
    <row r="556" spans="1:2">
      <c r="A556" s="292"/>
      <c r="B556" s="293"/>
    </row>
    <row r="557" spans="1:2">
      <c r="A557" s="292"/>
      <c r="B557" s="293"/>
    </row>
    <row r="558" spans="1:2">
      <c r="A558" s="292"/>
      <c r="B558" s="293"/>
    </row>
    <row r="559" spans="1:2">
      <c r="A559" s="292"/>
      <c r="B559" s="293"/>
    </row>
    <row r="560" spans="1:2">
      <c r="A560" s="292"/>
      <c r="B560" s="293"/>
    </row>
    <row r="561" spans="1:2">
      <c r="A561" s="292"/>
      <c r="B561" s="293"/>
    </row>
    <row r="562" spans="1:2">
      <c r="A562" s="292"/>
      <c r="B562" s="293"/>
    </row>
    <row r="563" spans="1:2">
      <c r="A563" s="292"/>
      <c r="B563" s="293"/>
    </row>
    <row r="564" spans="1:2">
      <c r="A564" s="292"/>
      <c r="B564" s="293"/>
    </row>
    <row r="565" spans="1:2">
      <c r="A565" s="292"/>
      <c r="B565" s="293"/>
    </row>
    <row r="566" spans="1:2">
      <c r="A566" s="292"/>
      <c r="B566" s="293"/>
    </row>
    <row r="567" spans="1:2">
      <c r="A567" s="292"/>
      <c r="B567" s="293"/>
    </row>
    <row r="568" spans="1:2">
      <c r="A568" s="292"/>
      <c r="B568" s="293"/>
    </row>
    <row r="569" spans="1:2">
      <c r="A569" s="292"/>
      <c r="B569" s="293"/>
    </row>
    <row r="570" spans="1:2">
      <c r="A570" s="292"/>
      <c r="B570" s="293"/>
    </row>
    <row r="571" spans="1:2">
      <c r="A571" s="292"/>
      <c r="B571" s="293"/>
    </row>
    <row r="572" spans="1:2">
      <c r="A572" s="292"/>
      <c r="B572" s="293"/>
    </row>
    <row r="573" spans="1:2">
      <c r="A573" s="292"/>
      <c r="B573" s="293"/>
    </row>
    <row r="574" spans="1:2">
      <c r="A574" s="292"/>
      <c r="B574" s="293"/>
    </row>
    <row r="575" spans="1:2">
      <c r="A575" s="292"/>
      <c r="B575" s="293"/>
    </row>
    <row r="576" spans="1:2">
      <c r="A576" s="292"/>
      <c r="B576" s="293"/>
    </row>
    <row r="577" spans="1:2">
      <c r="A577" s="292"/>
      <c r="B577" s="293"/>
    </row>
    <row r="578" spans="1:2">
      <c r="A578" s="292"/>
      <c r="B578" s="293"/>
    </row>
    <row r="579" spans="1:2">
      <c r="A579" s="292"/>
      <c r="B579" s="293"/>
    </row>
    <row r="580" spans="1:2">
      <c r="A580" s="292"/>
      <c r="B580" s="29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B1:V97"/>
  <sheetViews>
    <sheetView workbookViewId="0"/>
  </sheetViews>
  <sheetFormatPr defaultRowHeight="14.4"/>
  <cols>
    <col min="1" max="1" width="7.5546875" customWidth="1"/>
    <col min="2" max="2" width="12.5546875" customWidth="1"/>
    <col min="3" max="6" width="7.5546875" customWidth="1"/>
    <col min="7" max="7" width="8" customWidth="1"/>
    <col min="8" max="8" width="14.109375" customWidth="1"/>
    <col min="9" max="9" width="9.109375" customWidth="1"/>
    <col min="10" max="10" width="7.5546875" customWidth="1"/>
    <col min="11" max="11" width="8" customWidth="1"/>
    <col min="12" max="12" width="16.44140625" customWidth="1"/>
    <col min="13" max="13" width="21.44140625" customWidth="1"/>
    <col min="14" max="14" width="7.5546875" customWidth="1"/>
    <col min="17" max="17" width="9.77734375" customWidth="1"/>
    <col min="18" max="19" width="7.5546875" customWidth="1"/>
  </cols>
  <sheetData>
    <row r="1" spans="2:22">
      <c r="B1" s="187"/>
    </row>
    <row r="2" spans="2:22">
      <c r="N2" s="15" t="s">
        <v>569</v>
      </c>
      <c r="O2" s="295">
        <f>3.6%*G30</f>
        <v>3.6000000000000004E-2</v>
      </c>
    </row>
    <row r="3" spans="2:22">
      <c r="H3" s="296">
        <v>3.5000000000000003E-2</v>
      </c>
      <c r="L3" s="297" t="s">
        <v>570</v>
      </c>
      <c r="M3" s="298">
        <f>6%*G30*(1-H3)</f>
        <v>5.7899999999999993E-2</v>
      </c>
      <c r="N3" s="15" t="s">
        <v>571</v>
      </c>
      <c r="O3" s="295">
        <f>4.3%*G30</f>
        <v>4.2999999999999997E-2</v>
      </c>
      <c r="Q3" s="14">
        <v>61087</v>
      </c>
      <c r="R3" s="299">
        <f>M24</f>
        <v>0.105</v>
      </c>
      <c r="S3" s="14">
        <v>25</v>
      </c>
    </row>
    <row r="4" spans="2:22">
      <c r="H4" s="297" t="s">
        <v>38</v>
      </c>
      <c r="I4" s="300">
        <f>9%*G30</f>
        <v>0.09</v>
      </c>
      <c r="J4" s="301"/>
      <c r="K4" s="302"/>
      <c r="M4" s="303"/>
      <c r="Q4" s="14">
        <v>61074</v>
      </c>
      <c r="R4" s="299">
        <f>I18</f>
        <v>0.14000000000000001</v>
      </c>
      <c r="S4" s="14">
        <v>25</v>
      </c>
    </row>
    <row r="5" spans="2:22">
      <c r="I5" s="304"/>
      <c r="J5" s="305"/>
      <c r="L5" s="297" t="s">
        <v>572</v>
      </c>
      <c r="M5" s="306">
        <f>1.2%*G30</f>
        <v>1.2E-2</v>
      </c>
      <c r="Q5" s="14">
        <v>61076</v>
      </c>
      <c r="R5" s="299">
        <f>M19</f>
        <v>0.12</v>
      </c>
      <c r="S5" s="14">
        <v>25</v>
      </c>
      <c r="U5" s="58">
        <v>1</v>
      </c>
      <c r="V5" s="58">
        <f>U5*O2</f>
        <v>3.6000000000000004E-2</v>
      </c>
    </row>
    <row r="6" spans="2:22">
      <c r="I6" s="50"/>
      <c r="J6" s="305"/>
      <c r="M6" s="303"/>
      <c r="Q6" s="14">
        <v>61051</v>
      </c>
      <c r="R6" s="299">
        <f>M9</f>
        <v>0.30499999999999999</v>
      </c>
      <c r="S6" s="14">
        <v>25</v>
      </c>
    </row>
    <row r="7" spans="2:22">
      <c r="E7" s="297" t="s">
        <v>573</v>
      </c>
      <c r="F7" s="301">
        <f>52.8%*G30</f>
        <v>0.52800000000000002</v>
      </c>
      <c r="G7" s="302"/>
      <c r="I7" s="50"/>
      <c r="J7" s="305"/>
      <c r="M7" s="303"/>
      <c r="Q7" s="14">
        <v>61042</v>
      </c>
      <c r="R7" s="299">
        <f>M13</f>
        <v>0.38</v>
      </c>
      <c r="S7" s="14">
        <v>25</v>
      </c>
    </row>
    <row r="8" spans="2:22">
      <c r="I8" s="50"/>
      <c r="J8" s="305"/>
      <c r="L8" s="297" t="s">
        <v>574</v>
      </c>
      <c r="M8" s="307">
        <f>2.4%*G30</f>
        <v>2.4E-2</v>
      </c>
      <c r="O8" s="58">
        <v>1.6</v>
      </c>
      <c r="Q8" s="14">
        <v>61049</v>
      </c>
      <c r="R8" s="299">
        <f>M14</f>
        <v>0.36</v>
      </c>
      <c r="S8" s="14">
        <v>25</v>
      </c>
    </row>
    <row r="9" spans="2:22">
      <c r="I9" s="50"/>
      <c r="J9" s="305"/>
      <c r="L9" s="297" t="s">
        <v>575</v>
      </c>
      <c r="M9" s="308">
        <f>30.5%*G30</f>
        <v>0.30499999999999999</v>
      </c>
      <c r="N9" s="67">
        <f>M9/2</f>
        <v>0.1525</v>
      </c>
      <c r="O9" s="58">
        <f>O8*M9</f>
        <v>0.48799999999999999</v>
      </c>
      <c r="Q9" s="14">
        <v>61016</v>
      </c>
      <c r="R9" s="299">
        <f>M3</f>
        <v>5.7899999999999993E-2</v>
      </c>
      <c r="S9" s="14">
        <v>25</v>
      </c>
    </row>
    <row r="10" spans="2:22">
      <c r="H10" s="297" t="s">
        <v>576</v>
      </c>
      <c r="I10" s="300">
        <f>41%*G30</f>
        <v>0.41</v>
      </c>
      <c r="J10" s="301"/>
      <c r="L10" s="297" t="s">
        <v>577</v>
      </c>
      <c r="M10" s="309">
        <f>4.75%*G30</f>
        <v>4.7500000000000001E-2</v>
      </c>
      <c r="N10" s="67"/>
      <c r="Q10" s="14">
        <v>61069</v>
      </c>
      <c r="R10" s="299">
        <f>M9</f>
        <v>0.30499999999999999</v>
      </c>
      <c r="S10" s="14">
        <v>25</v>
      </c>
    </row>
    <row r="11" spans="2:22">
      <c r="I11" s="50"/>
      <c r="J11" s="305"/>
      <c r="L11" s="297" t="s">
        <v>578</v>
      </c>
      <c r="M11" s="310">
        <v>0.04</v>
      </c>
      <c r="N11" s="67"/>
      <c r="Q11" s="14">
        <v>61070</v>
      </c>
      <c r="R11" s="299">
        <f>M9</f>
        <v>0.30499999999999999</v>
      </c>
      <c r="S11" s="14">
        <v>25</v>
      </c>
    </row>
    <row r="12" spans="2:22">
      <c r="B12" s="297" t="s">
        <v>579</v>
      </c>
      <c r="C12" s="311">
        <v>1</v>
      </c>
      <c r="D12" s="312"/>
      <c r="I12" s="50"/>
      <c r="J12" s="305"/>
      <c r="L12" s="297" t="s">
        <v>580</v>
      </c>
      <c r="M12" s="309"/>
      <c r="N12" s="67"/>
      <c r="Q12" s="14">
        <v>61079</v>
      </c>
      <c r="R12" s="299">
        <f>I23</f>
        <v>0.18600000000000003</v>
      </c>
      <c r="S12" s="14">
        <v>25</v>
      </c>
    </row>
    <row r="13" spans="2:22">
      <c r="I13" s="50"/>
      <c r="J13" s="305"/>
      <c r="L13" s="313" t="s">
        <v>581</v>
      </c>
      <c r="M13" s="309">
        <f>38%*G30</f>
        <v>0.38</v>
      </c>
      <c r="N13" s="67">
        <f>M13/2</f>
        <v>0.19</v>
      </c>
      <c r="Q13" s="14">
        <v>200903</v>
      </c>
      <c r="R13" s="299">
        <f>N41</f>
        <v>0.46</v>
      </c>
      <c r="S13" s="14">
        <v>25</v>
      </c>
    </row>
    <row r="14" spans="2:22">
      <c r="I14" s="50"/>
      <c r="J14" s="305"/>
      <c r="L14" s="313" t="s">
        <v>582</v>
      </c>
      <c r="M14" s="309">
        <f>36%*G30</f>
        <v>0.36</v>
      </c>
      <c r="N14" s="67">
        <f>M14/2</f>
        <v>0.18</v>
      </c>
      <c r="Q14" s="14">
        <v>203175</v>
      </c>
      <c r="R14" s="299">
        <f>I23</f>
        <v>0.18600000000000003</v>
      </c>
      <c r="S14" s="14">
        <v>25</v>
      </c>
    </row>
    <row r="15" spans="2:22">
      <c r="I15" s="50"/>
      <c r="J15" s="305"/>
      <c r="L15" s="313" t="s">
        <v>583</v>
      </c>
      <c r="M15" s="309"/>
      <c r="N15" s="67"/>
      <c r="Q15" s="14">
        <v>61086</v>
      </c>
      <c r="R15" s="299">
        <f>M24</f>
        <v>0.105</v>
      </c>
      <c r="S15" s="14">
        <v>25</v>
      </c>
    </row>
    <row r="16" spans="2:22">
      <c r="I16" s="50"/>
      <c r="J16" s="305"/>
      <c r="M16" s="303"/>
      <c r="N16" s="67"/>
      <c r="Q16" s="14">
        <v>159</v>
      </c>
      <c r="R16" s="299">
        <f>N41</f>
        <v>0.46</v>
      </c>
      <c r="S16" s="14">
        <v>18</v>
      </c>
    </row>
    <row r="17" spans="2:19">
      <c r="I17" s="50"/>
      <c r="J17" s="305"/>
      <c r="L17" s="297" t="s">
        <v>578</v>
      </c>
      <c r="M17" s="306"/>
      <c r="N17" s="67"/>
      <c r="Q17" s="14">
        <v>61072</v>
      </c>
      <c r="R17" s="299">
        <f>I18</f>
        <v>0.14000000000000001</v>
      </c>
      <c r="S17" s="14">
        <v>25</v>
      </c>
    </row>
    <row r="18" spans="2:19">
      <c r="H18" s="297" t="s">
        <v>28</v>
      </c>
      <c r="I18" s="314">
        <v>0.14000000000000001</v>
      </c>
      <c r="J18" s="301">
        <f>I18/2</f>
        <v>7.0000000000000007E-2</v>
      </c>
      <c r="K18" s="302"/>
      <c r="M18" s="303"/>
      <c r="N18" s="67"/>
      <c r="Q18" s="14">
        <v>61050</v>
      </c>
      <c r="R18" s="299">
        <f>M9</f>
        <v>0.30499999999999999</v>
      </c>
      <c r="S18" s="14">
        <v>25</v>
      </c>
    </row>
    <row r="19" spans="2:19">
      <c r="H19" s="48"/>
      <c r="I19" s="304"/>
      <c r="J19" s="305"/>
      <c r="L19" s="297" t="s">
        <v>584</v>
      </c>
      <c r="M19" s="306">
        <f>12%*G30</f>
        <v>0.12</v>
      </c>
      <c r="N19" s="67"/>
      <c r="Q19" s="14">
        <v>61014</v>
      </c>
      <c r="R19" s="299">
        <f>M3</f>
        <v>5.7899999999999993E-2</v>
      </c>
      <c r="S19" s="14">
        <v>25</v>
      </c>
    </row>
    <row r="20" spans="2:19">
      <c r="I20" s="50"/>
      <c r="J20" s="305"/>
      <c r="M20" s="303"/>
      <c r="N20" s="67"/>
      <c r="Q20" s="14">
        <v>61078</v>
      </c>
      <c r="R20" s="299">
        <f>I23</f>
        <v>0.18600000000000003</v>
      </c>
      <c r="S20" s="14">
        <v>25</v>
      </c>
    </row>
    <row r="21" spans="2:19">
      <c r="E21" s="297" t="s">
        <v>585</v>
      </c>
      <c r="F21" s="301">
        <f>46%*G30</f>
        <v>0.46</v>
      </c>
      <c r="G21" s="302"/>
      <c r="H21" s="313" t="s">
        <v>586</v>
      </c>
      <c r="I21" s="300">
        <f>13%*G30</f>
        <v>0.13</v>
      </c>
      <c r="J21" s="315"/>
      <c r="M21" s="303"/>
      <c r="N21" s="67"/>
      <c r="Q21" s="14" t="s">
        <v>116</v>
      </c>
      <c r="R21" s="299">
        <f>I23</f>
        <v>0.18600000000000003</v>
      </c>
      <c r="S21" s="14">
        <v>25</v>
      </c>
    </row>
    <row r="22" spans="2:19">
      <c r="I22" s="50"/>
      <c r="J22" s="305"/>
      <c r="L22" s="297" t="s">
        <v>578</v>
      </c>
      <c r="M22" s="316">
        <f>0.058*G30</f>
        <v>5.8000000000000003E-2</v>
      </c>
      <c r="N22" s="67"/>
      <c r="Q22" s="14" t="s">
        <v>114</v>
      </c>
      <c r="R22" s="299">
        <f>I18</f>
        <v>0.14000000000000001</v>
      </c>
      <c r="S22" s="14">
        <v>25</v>
      </c>
    </row>
    <row r="23" spans="2:19">
      <c r="H23" s="297" t="s">
        <v>441</v>
      </c>
      <c r="I23" s="300">
        <f>18.6%*G30</f>
        <v>0.18600000000000003</v>
      </c>
      <c r="J23" s="301">
        <f>I23/2</f>
        <v>9.3000000000000013E-2</v>
      </c>
      <c r="K23" s="302"/>
      <c r="L23" s="297" t="s">
        <v>587</v>
      </c>
      <c r="M23" s="317"/>
      <c r="N23" s="67"/>
      <c r="Q23" s="14" t="s">
        <v>122</v>
      </c>
      <c r="R23" s="299">
        <f>M24</f>
        <v>0.105</v>
      </c>
      <c r="S23" s="14">
        <v>25</v>
      </c>
    </row>
    <row r="24" spans="2:19">
      <c r="L24" s="297" t="s">
        <v>588</v>
      </c>
      <c r="M24" s="308">
        <f>10.5%*G30</f>
        <v>0.105</v>
      </c>
      <c r="N24" s="67">
        <f>M24/2</f>
        <v>5.2499999999999998E-2</v>
      </c>
      <c r="Q24" s="14" t="s">
        <v>106</v>
      </c>
      <c r="R24" s="299">
        <f>M9</f>
        <v>0.30499999999999999</v>
      </c>
      <c r="S24" s="14">
        <v>25</v>
      </c>
    </row>
    <row r="25" spans="2:19">
      <c r="N25" s="67"/>
      <c r="Q25" s="14">
        <v>203169</v>
      </c>
      <c r="R25" s="299">
        <f>N32</f>
        <v>0.3</v>
      </c>
      <c r="S25" s="14">
        <v>25</v>
      </c>
    </row>
    <row r="26" spans="2:19">
      <c r="L26" s="313" t="s">
        <v>589</v>
      </c>
      <c r="M26" s="308">
        <f>32%*G30</f>
        <v>0.32</v>
      </c>
      <c r="N26" s="67"/>
      <c r="Q26" s="14">
        <v>61077</v>
      </c>
      <c r="R26" s="299">
        <f>I23</f>
        <v>0.18600000000000003</v>
      </c>
      <c r="S26" s="14">
        <v>25</v>
      </c>
    </row>
    <row r="27" spans="2:19">
      <c r="B27" s="187"/>
      <c r="H27" s="318"/>
      <c r="I27" s="318"/>
      <c r="Q27" s="14">
        <v>61064</v>
      </c>
      <c r="R27" s="299">
        <f>M9</f>
        <v>0.30499999999999999</v>
      </c>
      <c r="S27" s="14">
        <v>25</v>
      </c>
    </row>
    <row r="28" spans="2:19">
      <c r="Q28" s="14">
        <v>868</v>
      </c>
      <c r="R28" s="299">
        <f>N42</f>
        <v>9.5000000000000001E-2</v>
      </c>
      <c r="S28" s="14">
        <v>18</v>
      </c>
    </row>
    <row r="29" spans="2:19">
      <c r="Q29" s="14">
        <v>1894</v>
      </c>
      <c r="R29" s="299">
        <f>N32</f>
        <v>0.3</v>
      </c>
      <c r="S29" s="14">
        <v>18</v>
      </c>
    </row>
    <row r="30" spans="2:19">
      <c r="E30" s="48" t="s">
        <v>590</v>
      </c>
      <c r="G30" s="319">
        <v>1</v>
      </c>
      <c r="K30" s="67">
        <v>0.41</v>
      </c>
      <c r="L30" s="23" t="s">
        <v>591</v>
      </c>
      <c r="M30" s="320" t="s">
        <v>592</v>
      </c>
      <c r="N30" s="295">
        <f>K30*$G$30</f>
        <v>0.41</v>
      </c>
      <c r="Q30" s="14" t="s">
        <v>100</v>
      </c>
      <c r="R30" s="299">
        <f>N30</f>
        <v>0.41</v>
      </c>
      <c r="S30" s="14">
        <v>25</v>
      </c>
    </row>
    <row r="31" spans="2:19">
      <c r="K31" s="67">
        <v>0.38</v>
      </c>
      <c r="L31" s="23" t="s">
        <v>591</v>
      </c>
      <c r="M31" s="320" t="s">
        <v>593</v>
      </c>
      <c r="N31" s="295">
        <f>K31*$G$30</f>
        <v>0.38</v>
      </c>
      <c r="Q31" s="14">
        <v>61048</v>
      </c>
      <c r="R31" s="299">
        <f>N31</f>
        <v>0.38</v>
      </c>
      <c r="S31" s="14">
        <v>25</v>
      </c>
    </row>
    <row r="32" spans="2:19">
      <c r="K32" s="67">
        <v>0.3</v>
      </c>
      <c r="L32" s="23" t="s">
        <v>591</v>
      </c>
      <c r="M32" s="320" t="s">
        <v>466</v>
      </c>
      <c r="N32" s="295">
        <f>K32*$G$30</f>
        <v>0.3</v>
      </c>
      <c r="Q32" s="14" t="s">
        <v>102</v>
      </c>
      <c r="R32" s="299">
        <f>N32</f>
        <v>0.3</v>
      </c>
      <c r="S32" s="14">
        <v>25</v>
      </c>
    </row>
    <row r="33" spans="4:19">
      <c r="G33" s="67"/>
      <c r="I33" s="321"/>
      <c r="K33" s="67">
        <v>0.18</v>
      </c>
      <c r="L33" s="23" t="s">
        <v>591</v>
      </c>
      <c r="M33" s="320" t="s">
        <v>594</v>
      </c>
      <c r="N33" s="295">
        <f>K33*$G$30</f>
        <v>0.18</v>
      </c>
      <c r="Q33" s="14">
        <v>61061</v>
      </c>
      <c r="R33" s="299">
        <f>N41</f>
        <v>0.46</v>
      </c>
      <c r="S33" s="14">
        <v>25</v>
      </c>
    </row>
    <row r="34" spans="4:19">
      <c r="G34" s="67"/>
      <c r="I34" s="321"/>
      <c r="K34" s="67">
        <v>0.03</v>
      </c>
      <c r="L34" s="23" t="s">
        <v>591</v>
      </c>
      <c r="M34" s="320" t="s">
        <v>200</v>
      </c>
      <c r="N34" s="295">
        <f>K34*$G$30</f>
        <v>0.03</v>
      </c>
      <c r="Q34" s="14">
        <v>61082</v>
      </c>
      <c r="R34" s="299">
        <f>N38</f>
        <v>0.19</v>
      </c>
      <c r="S34" s="14">
        <v>25</v>
      </c>
    </row>
    <row r="35" spans="4:19">
      <c r="D35" s="50" t="s">
        <v>146</v>
      </c>
      <c r="E35" s="304">
        <v>0.1240303988459535</v>
      </c>
      <c r="F35" s="304" t="s">
        <v>595</v>
      </c>
      <c r="G35" s="67"/>
      <c r="I35" s="321"/>
      <c r="K35" s="67">
        <v>0.14000000000000001</v>
      </c>
      <c r="L35" s="23" t="s">
        <v>591</v>
      </c>
      <c r="M35" s="320" t="s">
        <v>596</v>
      </c>
      <c r="N35" s="295">
        <f>K35</f>
        <v>0.14000000000000001</v>
      </c>
      <c r="Q35" s="14" t="s">
        <v>118</v>
      </c>
      <c r="R35" s="299">
        <f>N40</f>
        <v>0.11</v>
      </c>
      <c r="S35" s="14">
        <v>25</v>
      </c>
    </row>
    <row r="36" spans="4:19">
      <c r="D36" s="50" t="s">
        <v>30</v>
      </c>
      <c r="E36" s="304">
        <v>0.1864378245076263</v>
      </c>
      <c r="F36" s="304" t="s">
        <v>595</v>
      </c>
      <c r="G36" s="67"/>
      <c r="I36" s="321"/>
      <c r="K36" s="67">
        <v>0.115</v>
      </c>
      <c r="L36" s="23" t="s">
        <v>591</v>
      </c>
      <c r="M36" s="320" t="s">
        <v>597</v>
      </c>
      <c r="N36" s="295">
        <f t="shared" ref="N36:N42" si="0">K36*$G$30</f>
        <v>0.115</v>
      </c>
      <c r="Q36" s="14" t="s">
        <v>110</v>
      </c>
      <c r="R36" s="299">
        <f>N35</f>
        <v>0.14000000000000001</v>
      </c>
      <c r="S36" s="14">
        <v>25</v>
      </c>
    </row>
    <row r="37" spans="4:19">
      <c r="D37" s="322" t="s">
        <v>598</v>
      </c>
      <c r="E37" s="304">
        <v>0.10654158171671391</v>
      </c>
      <c r="F37" s="304" t="s">
        <v>595</v>
      </c>
      <c r="G37" s="67"/>
      <c r="I37" s="321"/>
      <c r="K37" s="67">
        <v>8.7555955032000019E-2</v>
      </c>
      <c r="L37" s="23" t="s">
        <v>591</v>
      </c>
      <c r="M37" s="320" t="s">
        <v>599</v>
      </c>
      <c r="N37" s="295">
        <f t="shared" si="0"/>
        <v>8.7555955032000019E-2</v>
      </c>
      <c r="Q37" s="14">
        <v>61010</v>
      </c>
      <c r="R37" s="299">
        <f>N46</f>
        <v>0.105</v>
      </c>
      <c r="S37" s="14">
        <v>25</v>
      </c>
    </row>
    <row r="38" spans="4:19">
      <c r="D38" s="323"/>
      <c r="E38" s="304"/>
      <c r="F38" s="304"/>
      <c r="G38" s="67"/>
      <c r="I38" s="321"/>
      <c r="K38" s="67">
        <v>0.19</v>
      </c>
      <c r="L38" s="23" t="s">
        <v>591</v>
      </c>
      <c r="M38" s="320" t="s">
        <v>600</v>
      </c>
      <c r="N38" s="295">
        <f t="shared" si="0"/>
        <v>0.19</v>
      </c>
      <c r="Q38" s="14">
        <v>904</v>
      </c>
      <c r="R38" s="299">
        <f>N46</f>
        <v>0.105</v>
      </c>
      <c r="S38" s="14">
        <v>18</v>
      </c>
    </row>
    <row r="39" spans="4:19">
      <c r="D39" s="323"/>
      <c r="E39" s="304"/>
      <c r="F39" s="304"/>
      <c r="K39" s="67">
        <v>0.1483392456</v>
      </c>
      <c r="L39" s="23" t="s">
        <v>591</v>
      </c>
      <c r="M39" s="320" t="s">
        <v>601</v>
      </c>
      <c r="N39" s="295">
        <f t="shared" si="0"/>
        <v>0.1483392456</v>
      </c>
      <c r="Q39" s="14">
        <v>61121</v>
      </c>
      <c r="R39" s="299">
        <f>N48</f>
        <v>0.1300104</v>
      </c>
      <c r="S39" s="14">
        <v>25</v>
      </c>
    </row>
    <row r="40" spans="4:19">
      <c r="D40" s="323" t="s">
        <v>602</v>
      </c>
      <c r="E40" s="304">
        <v>0.1022960738076996</v>
      </c>
      <c r="F40" s="304"/>
      <c r="K40" s="67">
        <v>0.11</v>
      </c>
      <c r="L40" s="23" t="s">
        <v>591</v>
      </c>
      <c r="M40" s="320" t="s">
        <v>603</v>
      </c>
      <c r="N40" s="295">
        <f t="shared" si="0"/>
        <v>0.11</v>
      </c>
      <c r="Q40" s="14" t="s">
        <v>95</v>
      </c>
      <c r="R40" s="299">
        <f>N42</f>
        <v>9.5000000000000001E-2</v>
      </c>
      <c r="S40" s="14">
        <v>25</v>
      </c>
    </row>
    <row r="41" spans="4:19">
      <c r="D41" s="323" t="s">
        <v>604</v>
      </c>
      <c r="E41" s="304">
        <v>9.1124469034977548E-2</v>
      </c>
      <c r="F41" s="304" t="s">
        <v>595</v>
      </c>
      <c r="K41" s="67">
        <v>0.46</v>
      </c>
      <c r="L41" s="23" t="s">
        <v>591</v>
      </c>
      <c r="M41" s="320" t="s">
        <v>605</v>
      </c>
      <c r="N41" s="295">
        <f t="shared" si="0"/>
        <v>0.46</v>
      </c>
      <c r="Q41" s="14">
        <v>200902</v>
      </c>
      <c r="R41" s="299">
        <f>N38</f>
        <v>0.19</v>
      </c>
      <c r="S41" s="14">
        <v>18</v>
      </c>
    </row>
    <row r="42" spans="4:19">
      <c r="D42" s="50"/>
      <c r="E42" s="304"/>
      <c r="F42" s="304"/>
      <c r="K42" s="67">
        <v>9.5000000000000001E-2</v>
      </c>
      <c r="L42" s="23" t="s">
        <v>591</v>
      </c>
      <c r="M42" s="320" t="s">
        <v>604</v>
      </c>
      <c r="N42" s="295">
        <f t="shared" si="0"/>
        <v>9.5000000000000001E-2</v>
      </c>
      <c r="Q42" s="14">
        <v>61041</v>
      </c>
      <c r="R42" s="299">
        <f>M14</f>
        <v>0.36</v>
      </c>
      <c r="S42" s="14">
        <v>25</v>
      </c>
    </row>
    <row r="43" spans="4:19">
      <c r="D43" s="323" t="s">
        <v>438</v>
      </c>
      <c r="E43" s="304">
        <v>0.40980957584972882</v>
      </c>
      <c r="F43" s="304" t="s">
        <v>595</v>
      </c>
      <c r="K43" s="67">
        <v>3.6353615999999998E-2</v>
      </c>
      <c r="L43" s="23" t="s">
        <v>591</v>
      </c>
      <c r="M43" s="320" t="s">
        <v>606</v>
      </c>
      <c r="N43" s="295">
        <f>K43*$G$30*(1-H3)</f>
        <v>3.5081239439999995E-2</v>
      </c>
      <c r="Q43" s="14">
        <v>165</v>
      </c>
      <c r="R43" s="299">
        <f>N32</f>
        <v>0.3</v>
      </c>
      <c r="S43" s="14">
        <v>10</v>
      </c>
    </row>
    <row r="44" spans="4:19">
      <c r="D44" s="324" t="s">
        <v>431</v>
      </c>
      <c r="E44" s="304">
        <v>0.29376289859512011</v>
      </c>
      <c r="F44" s="304" t="s">
        <v>595</v>
      </c>
      <c r="K44" s="67">
        <v>4.3128864000000003E-2</v>
      </c>
      <c r="L44" s="23" t="s">
        <v>591</v>
      </c>
      <c r="M44" s="320" t="s">
        <v>607</v>
      </c>
      <c r="N44" s="295">
        <f>K44*$G$30*(1-H3)</f>
        <v>4.1619353759999998E-2</v>
      </c>
      <c r="Q44" s="14">
        <v>203033</v>
      </c>
      <c r="R44" s="299">
        <f>N41</f>
        <v>0.46</v>
      </c>
      <c r="S44" s="14">
        <v>23</v>
      </c>
    </row>
    <row r="45" spans="4:19">
      <c r="K45" s="67">
        <v>1.2677783999999999E-2</v>
      </c>
      <c r="L45" s="23" t="s">
        <v>591</v>
      </c>
      <c r="M45" s="320" t="s">
        <v>608</v>
      </c>
      <c r="N45" s="295">
        <f>K45*$G$30</f>
        <v>1.2677783999999999E-2</v>
      </c>
      <c r="Q45" s="14">
        <v>64</v>
      </c>
      <c r="R45" s="299">
        <f>N40</f>
        <v>0.11</v>
      </c>
      <c r="S45" s="14">
        <v>5</v>
      </c>
    </row>
    <row r="46" spans="4:19">
      <c r="K46" s="67">
        <v>0.105</v>
      </c>
      <c r="L46" s="23" t="s">
        <v>591</v>
      </c>
      <c r="M46" s="320" t="s">
        <v>609</v>
      </c>
      <c r="N46" s="295">
        <f>K46*$G$30</f>
        <v>0.105</v>
      </c>
      <c r="Q46" s="14">
        <v>200064</v>
      </c>
      <c r="R46" s="299">
        <f>N40</f>
        <v>0.11</v>
      </c>
      <c r="S46" s="14">
        <v>5</v>
      </c>
    </row>
    <row r="47" spans="4:19">
      <c r="K47" s="67">
        <v>1</v>
      </c>
      <c r="L47" s="23" t="s">
        <v>591</v>
      </c>
      <c r="M47" s="320" t="s">
        <v>610</v>
      </c>
      <c r="N47" s="295">
        <f>K47*$G$30</f>
        <v>1</v>
      </c>
      <c r="Q47" s="14">
        <v>1081</v>
      </c>
      <c r="R47" s="299">
        <f>M9</f>
        <v>0.30499999999999999</v>
      </c>
      <c r="S47" s="14">
        <v>20</v>
      </c>
    </row>
    <row r="48" spans="4:19">
      <c r="K48" s="67">
        <v>0.1300104</v>
      </c>
      <c r="L48" s="23" t="s">
        <v>591</v>
      </c>
      <c r="M48" s="320" t="s">
        <v>611</v>
      </c>
      <c r="N48" s="295">
        <f>K48*$G$30</f>
        <v>0.1300104</v>
      </c>
      <c r="Q48" s="14">
        <v>160</v>
      </c>
      <c r="R48" s="299">
        <f>N35</f>
        <v>0.14000000000000001</v>
      </c>
      <c r="S48" s="14">
        <v>18</v>
      </c>
    </row>
    <row r="49" spans="17:19">
      <c r="Q49" s="14">
        <v>203174</v>
      </c>
      <c r="R49" s="299">
        <f>N40</f>
        <v>0.11</v>
      </c>
      <c r="S49" s="14">
        <v>25</v>
      </c>
    </row>
    <row r="50" spans="17:19">
      <c r="Q50" s="14">
        <v>203171</v>
      </c>
      <c r="R50" s="299">
        <f>N35</f>
        <v>0.14000000000000001</v>
      </c>
      <c r="S50" s="14">
        <v>25</v>
      </c>
    </row>
    <row r="51" spans="17:19">
      <c r="Q51" s="14">
        <v>61061</v>
      </c>
      <c r="R51" s="299">
        <f>F21</f>
        <v>0.46</v>
      </c>
      <c r="S51" s="14">
        <v>25</v>
      </c>
    </row>
    <row r="52" spans="17:19">
      <c r="Q52" s="14">
        <v>61052</v>
      </c>
      <c r="R52" s="300">
        <f>F21</f>
        <v>0.46</v>
      </c>
      <c r="S52" s="14">
        <v>800</v>
      </c>
    </row>
    <row r="53" spans="17:19">
      <c r="Q53" s="22">
        <v>61018</v>
      </c>
      <c r="R53" s="314">
        <f>N46+0.005</f>
        <v>0.11</v>
      </c>
      <c r="S53" s="22">
        <v>550</v>
      </c>
    </row>
    <row r="54" spans="17:19">
      <c r="Q54" s="22" t="s">
        <v>99</v>
      </c>
      <c r="R54" s="314">
        <f>N42</f>
        <v>9.5000000000000001E-2</v>
      </c>
      <c r="S54" s="22">
        <v>25</v>
      </c>
    </row>
    <row r="55" spans="17:19">
      <c r="Q55" s="325">
        <v>200083</v>
      </c>
      <c r="R55" s="326">
        <f>N30</f>
        <v>0.41</v>
      </c>
      <c r="S55" s="14">
        <v>600</v>
      </c>
    </row>
    <row r="56" spans="17:19">
      <c r="Q56" s="327">
        <v>200089</v>
      </c>
      <c r="R56" s="326">
        <f>I10</f>
        <v>0.41</v>
      </c>
      <c r="S56" s="14">
        <v>600</v>
      </c>
    </row>
    <row r="57" spans="17:19">
      <c r="Q57" s="14">
        <v>1081</v>
      </c>
      <c r="R57" s="300">
        <f>M9</f>
        <v>0.30499999999999999</v>
      </c>
      <c r="S57" s="14">
        <v>20</v>
      </c>
    </row>
    <row r="58" spans="17:19">
      <c r="Q58" s="14">
        <v>201894</v>
      </c>
      <c r="R58" s="300">
        <f>N32</f>
        <v>0.3</v>
      </c>
      <c r="S58" s="14">
        <v>18</v>
      </c>
    </row>
    <row r="59" spans="17:19">
      <c r="Q59" s="14">
        <v>201895</v>
      </c>
      <c r="R59" s="300">
        <f>N32</f>
        <v>0.3</v>
      </c>
      <c r="S59" s="14">
        <v>18</v>
      </c>
    </row>
    <row r="60" spans="17:19">
      <c r="Q60" s="14">
        <v>1888</v>
      </c>
      <c r="R60" s="148">
        <f>M13</f>
        <v>0.38</v>
      </c>
      <c r="S60" s="14">
        <v>18</v>
      </c>
    </row>
    <row r="61" spans="17:19">
      <c r="Q61" s="14">
        <v>2233</v>
      </c>
      <c r="R61" s="299">
        <f>M3</f>
        <v>5.7899999999999993E-2</v>
      </c>
      <c r="S61" s="14">
        <v>18</v>
      </c>
    </row>
    <row r="62" spans="17:19">
      <c r="Q62" s="14">
        <v>61073</v>
      </c>
      <c r="R62" s="300">
        <f>N35</f>
        <v>0.14000000000000001</v>
      </c>
      <c r="S62" s="14">
        <v>800</v>
      </c>
    </row>
    <row r="63" spans="17:19">
      <c r="Q63" s="14">
        <v>895</v>
      </c>
      <c r="R63" s="300">
        <f>I18</f>
        <v>0.14000000000000001</v>
      </c>
      <c r="S63" s="14">
        <v>18</v>
      </c>
    </row>
    <row r="64" spans="17:19">
      <c r="Q64" s="22">
        <v>200095</v>
      </c>
      <c r="R64" s="314">
        <f>N35+0.005</f>
        <v>0.14500000000000002</v>
      </c>
      <c r="S64" s="22">
        <v>18</v>
      </c>
    </row>
    <row r="65" spans="17:19">
      <c r="Q65" s="14">
        <v>2235</v>
      </c>
      <c r="R65" s="300">
        <f>I18</f>
        <v>0.14000000000000001</v>
      </c>
      <c r="S65" s="14">
        <v>20</v>
      </c>
    </row>
    <row r="66" spans="17:19">
      <c r="Q66" s="14">
        <v>1083</v>
      </c>
      <c r="R66" s="300">
        <f>I18</f>
        <v>0.14000000000000001</v>
      </c>
      <c r="S66" s="14">
        <v>20</v>
      </c>
    </row>
    <row r="67" spans="17:19">
      <c r="Q67" s="14">
        <v>1887</v>
      </c>
      <c r="R67" s="300">
        <f>N41</f>
        <v>0.46</v>
      </c>
      <c r="S67" s="14">
        <v>18</v>
      </c>
    </row>
    <row r="68" spans="17:19">
      <c r="Q68" s="14" t="s">
        <v>108</v>
      </c>
      <c r="R68" s="300">
        <f>N41</f>
        <v>0.46</v>
      </c>
      <c r="S68" s="14">
        <v>25</v>
      </c>
    </row>
    <row r="69" spans="17:19">
      <c r="Q69" s="14">
        <v>203172</v>
      </c>
      <c r="R69" s="300">
        <f>N46</f>
        <v>0.105</v>
      </c>
      <c r="S69" s="14">
        <v>25</v>
      </c>
    </row>
    <row r="70" spans="17:19">
      <c r="Q70" s="14">
        <v>203173</v>
      </c>
      <c r="R70" s="300">
        <f>N42</f>
        <v>9.5000000000000001E-2</v>
      </c>
      <c r="S70" s="14">
        <v>25</v>
      </c>
    </row>
    <row r="71" spans="17:19">
      <c r="Q71" s="14">
        <v>203846</v>
      </c>
      <c r="R71" s="300">
        <f>N31</f>
        <v>0.38</v>
      </c>
      <c r="S71" s="14">
        <v>25</v>
      </c>
    </row>
    <row r="72" spans="17:19">
      <c r="Q72" s="14">
        <v>65</v>
      </c>
      <c r="R72" s="300">
        <f>N32</f>
        <v>0.3</v>
      </c>
      <c r="S72" s="14">
        <v>5</v>
      </c>
    </row>
    <row r="73" spans="17:19">
      <c r="Q73" s="14">
        <v>902</v>
      </c>
      <c r="R73" s="315">
        <f>N38</f>
        <v>0.19</v>
      </c>
      <c r="S73" s="23">
        <v>20</v>
      </c>
    </row>
    <row r="74" spans="17:19">
      <c r="Q74" s="14">
        <v>834</v>
      </c>
      <c r="R74" s="315">
        <f>N38</f>
        <v>0.19</v>
      </c>
      <c r="S74" s="23">
        <v>18</v>
      </c>
    </row>
    <row r="75" spans="17:19">
      <c r="Q75" s="14">
        <v>200159</v>
      </c>
      <c r="R75" s="315">
        <f>N41</f>
        <v>0.46</v>
      </c>
      <c r="S75" s="23">
        <v>18</v>
      </c>
    </row>
    <row r="76" spans="17:19">
      <c r="Q76" s="14" t="s">
        <v>612</v>
      </c>
      <c r="R76" s="328">
        <f>M9</f>
        <v>0.30499999999999999</v>
      </c>
      <c r="S76" s="23">
        <v>25</v>
      </c>
    </row>
    <row r="77" spans="17:19">
      <c r="Q77" s="14" t="s">
        <v>453</v>
      </c>
      <c r="R77" s="315">
        <f>I18</f>
        <v>0.14000000000000001</v>
      </c>
      <c r="S77" s="23">
        <v>25</v>
      </c>
    </row>
    <row r="78" spans="17:19">
      <c r="Q78" s="14" t="s">
        <v>451</v>
      </c>
      <c r="R78" s="328">
        <f>M24</f>
        <v>0.105</v>
      </c>
      <c r="S78" s="23">
        <v>25</v>
      </c>
    </row>
    <row r="79" spans="17:19">
      <c r="Q79" s="14" t="s">
        <v>613</v>
      </c>
      <c r="R79" s="315">
        <f>I23</f>
        <v>0.18600000000000003</v>
      </c>
      <c r="S79" s="23">
        <v>25</v>
      </c>
    </row>
    <row r="80" spans="17:19">
      <c r="Q80" s="14" t="s">
        <v>97</v>
      </c>
      <c r="R80" s="328">
        <f>M3</f>
        <v>5.7899999999999993E-2</v>
      </c>
      <c r="S80" s="23">
        <v>25</v>
      </c>
    </row>
    <row r="81" spans="17:19">
      <c r="Q81" s="14" t="s">
        <v>454</v>
      </c>
      <c r="R81" s="315">
        <f>F21</f>
        <v>0.46</v>
      </c>
      <c r="S81" s="23">
        <v>25</v>
      </c>
    </row>
    <row r="82" spans="17:19">
      <c r="Q82" s="14">
        <v>2236</v>
      </c>
      <c r="R82" s="328">
        <f>M9</f>
        <v>0.30499999999999999</v>
      </c>
      <c r="S82" s="23">
        <v>20</v>
      </c>
    </row>
    <row r="83" spans="17:19">
      <c r="Q83" s="14">
        <v>61075</v>
      </c>
      <c r="R83" s="315">
        <f>N35</f>
        <v>0.14000000000000001</v>
      </c>
      <c r="S83" s="23">
        <v>800</v>
      </c>
    </row>
    <row r="84" spans="17:19">
      <c r="Q84" s="14">
        <v>203035</v>
      </c>
      <c r="R84" s="328">
        <f>M3</f>
        <v>5.7899999999999993E-2</v>
      </c>
      <c r="S84" s="23">
        <v>23</v>
      </c>
    </row>
    <row r="85" spans="17:19">
      <c r="Q85" s="14">
        <v>161</v>
      </c>
      <c r="R85" s="315">
        <f>N38</f>
        <v>0.19</v>
      </c>
      <c r="S85" s="23">
        <v>20</v>
      </c>
    </row>
    <row r="86" spans="17:19">
      <c r="Q86" s="14" t="s">
        <v>104</v>
      </c>
      <c r="R86" s="328">
        <f>M9</f>
        <v>0.30499999999999999</v>
      </c>
      <c r="S86" s="23">
        <v>25</v>
      </c>
    </row>
    <row r="87" spans="17:19">
      <c r="Q87" s="14" t="s">
        <v>112</v>
      </c>
      <c r="R87" s="315">
        <f>I18</f>
        <v>0.14000000000000001</v>
      </c>
      <c r="S87" s="23">
        <v>25</v>
      </c>
    </row>
    <row r="88" spans="17:19">
      <c r="Q88" s="14" t="s">
        <v>120</v>
      </c>
      <c r="R88" s="328">
        <f>M24</f>
        <v>0.105</v>
      </c>
      <c r="S88" s="23">
        <v>25</v>
      </c>
    </row>
    <row r="89" spans="17:19">
      <c r="Q89" s="14" t="s">
        <v>96</v>
      </c>
      <c r="R89" s="328">
        <f>M3</f>
        <v>5.7899999999999993E-2</v>
      </c>
      <c r="S89" s="23">
        <v>25</v>
      </c>
    </row>
    <row r="90" spans="17:19">
      <c r="Q90" s="14">
        <v>203194</v>
      </c>
      <c r="R90" s="328">
        <f>M3</f>
        <v>5.7899999999999993E-2</v>
      </c>
      <c r="S90" s="23">
        <v>25</v>
      </c>
    </row>
    <row r="91" spans="17:19">
      <c r="Q91" s="14">
        <v>1412</v>
      </c>
      <c r="R91" s="328">
        <f>N40</f>
        <v>0.11</v>
      </c>
      <c r="S91" s="23">
        <v>18</v>
      </c>
    </row>
    <row r="92" spans="17:19">
      <c r="Q92" s="14">
        <v>203087</v>
      </c>
      <c r="R92" s="328">
        <f>M9</f>
        <v>0.30499999999999999</v>
      </c>
      <c r="S92" s="23">
        <v>25</v>
      </c>
    </row>
    <row r="93" spans="17:19">
      <c r="Q93" s="14">
        <v>420172</v>
      </c>
      <c r="R93" s="328">
        <f>N32-M10</f>
        <v>0.2525</v>
      </c>
      <c r="S93" s="23">
        <v>5</v>
      </c>
    </row>
    <row r="94" spans="17:19">
      <c r="Q94" s="14">
        <v>1446</v>
      </c>
      <c r="R94" s="315">
        <f>N32</f>
        <v>0.3</v>
      </c>
      <c r="S94" s="23">
        <v>10</v>
      </c>
    </row>
    <row r="95" spans="17:19">
      <c r="Q95" s="14">
        <v>200904</v>
      </c>
      <c r="R95" s="315">
        <f>N35</f>
        <v>0.14000000000000001</v>
      </c>
      <c r="S95" s="23">
        <v>18</v>
      </c>
    </row>
    <row r="96" spans="17:19">
      <c r="Q96" s="14">
        <v>203148</v>
      </c>
      <c r="R96" s="300">
        <f>N40</f>
        <v>0.11</v>
      </c>
      <c r="S96" s="14">
        <v>25</v>
      </c>
    </row>
    <row r="97" spans="17:19">
      <c r="Q97" s="50">
        <v>61062</v>
      </c>
      <c r="R97" s="67">
        <f>F21</f>
        <v>0.46</v>
      </c>
      <c r="S97" s="58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A5A5"/>
  </sheetPr>
  <dimension ref="A1:R29"/>
  <sheetViews>
    <sheetView workbookViewId="0"/>
  </sheetViews>
  <sheetFormatPr defaultRowHeight="14.4"/>
  <cols>
    <col min="1" max="1" width="16.77734375" customWidth="1"/>
    <col min="2" max="2" width="11.21875" customWidth="1"/>
    <col min="3" max="3" width="10.33203125" customWidth="1"/>
    <col min="4" max="4" width="6.21875" customWidth="1"/>
    <col min="11" max="11" width="9.77734375" customWidth="1"/>
    <col min="17" max="17" width="19.21875" customWidth="1"/>
  </cols>
  <sheetData>
    <row r="1" spans="1:18">
      <c r="B1" s="50" t="s">
        <v>614</v>
      </c>
      <c r="C1" s="50" t="s">
        <v>615</v>
      </c>
      <c r="D1" s="50" t="s">
        <v>457</v>
      </c>
    </row>
    <row r="2" spans="1:18">
      <c r="A2" t="s">
        <v>616</v>
      </c>
      <c r="B2">
        <v>8</v>
      </c>
      <c r="C2">
        <v>48</v>
      </c>
      <c r="D2">
        <v>384</v>
      </c>
    </row>
    <row r="3" spans="1:18">
      <c r="A3" t="s">
        <v>617</v>
      </c>
      <c r="B3">
        <v>2</v>
      </c>
      <c r="C3">
        <v>288</v>
      </c>
      <c r="D3">
        <v>576</v>
      </c>
    </row>
    <row r="4" spans="1:18">
      <c r="A4" t="s">
        <v>618</v>
      </c>
      <c r="B4">
        <v>1</v>
      </c>
      <c r="C4">
        <v>144</v>
      </c>
      <c r="D4">
        <v>144</v>
      </c>
    </row>
    <row r="5" spans="1:18">
      <c r="A5" t="s">
        <v>619</v>
      </c>
      <c r="B5">
        <v>1</v>
      </c>
      <c r="C5">
        <v>105</v>
      </c>
      <c r="D5">
        <v>105</v>
      </c>
    </row>
    <row r="6" spans="1:18">
      <c r="A6" t="s">
        <v>620</v>
      </c>
      <c r="B6">
        <v>6</v>
      </c>
      <c r="C6">
        <v>100</v>
      </c>
      <c r="D6">
        <v>800</v>
      </c>
    </row>
    <row r="7" spans="1:18">
      <c r="A7" t="s">
        <v>621</v>
      </c>
      <c r="B7">
        <v>2</v>
      </c>
    </row>
    <row r="8" spans="1:18">
      <c r="A8" t="s">
        <v>377</v>
      </c>
      <c r="B8">
        <v>20</v>
      </c>
      <c r="C8">
        <v>50</v>
      </c>
      <c r="D8">
        <v>1200</v>
      </c>
      <c r="F8" t="s">
        <v>622</v>
      </c>
    </row>
    <row r="10" spans="1:18">
      <c r="A10" t="s">
        <v>420</v>
      </c>
      <c r="B10">
        <f>SUM(B2:B8)</f>
        <v>40</v>
      </c>
    </row>
    <row r="12" spans="1:18">
      <c r="B12" t="s">
        <v>623</v>
      </c>
    </row>
    <row r="16" spans="1:18">
      <c r="Q16" t="s">
        <v>624</v>
      </c>
      <c r="R16">
        <v>1</v>
      </c>
    </row>
    <row r="17" spans="2:18">
      <c r="Q17" t="s">
        <v>625</v>
      </c>
      <c r="R17">
        <v>7</v>
      </c>
    </row>
    <row r="18" spans="2:18">
      <c r="Q18" t="s">
        <v>626</v>
      </c>
      <c r="R18">
        <v>1</v>
      </c>
    </row>
    <row r="19" spans="2:18" ht="43.5" customHeight="1">
      <c r="B19" s="14"/>
      <c r="C19" s="329" t="s">
        <v>627</v>
      </c>
      <c r="D19" s="329" t="s">
        <v>628</v>
      </c>
      <c r="E19" s="329" t="s">
        <v>624</v>
      </c>
      <c r="F19" s="329" t="s">
        <v>629</v>
      </c>
      <c r="G19" s="329" t="s">
        <v>630</v>
      </c>
      <c r="H19" s="329" t="s">
        <v>631</v>
      </c>
      <c r="I19" s="329" t="s">
        <v>632</v>
      </c>
      <c r="J19" s="329" t="s">
        <v>633</v>
      </c>
      <c r="K19" s="329" t="s">
        <v>634</v>
      </c>
      <c r="L19" s="330" t="s">
        <v>625</v>
      </c>
      <c r="M19" s="331" t="s">
        <v>635</v>
      </c>
      <c r="N19" s="332" t="s">
        <v>457</v>
      </c>
      <c r="Q19" t="s">
        <v>636</v>
      </c>
      <c r="R19">
        <v>1</v>
      </c>
    </row>
    <row r="20" spans="2:18">
      <c r="B20" s="14" t="s">
        <v>637</v>
      </c>
      <c r="C20" s="14">
        <v>1</v>
      </c>
      <c r="D20" s="14">
        <v>1</v>
      </c>
      <c r="E20" s="14">
        <v>1</v>
      </c>
      <c r="F20" s="14">
        <v>1</v>
      </c>
      <c r="G20" s="14">
        <v>2</v>
      </c>
      <c r="H20" s="14">
        <v>3</v>
      </c>
      <c r="I20" s="14"/>
      <c r="J20" s="14">
        <v>1</v>
      </c>
      <c r="K20" s="14">
        <v>2</v>
      </c>
      <c r="L20" s="333">
        <v>10</v>
      </c>
      <c r="M20" s="14"/>
      <c r="N20" s="334">
        <f t="shared" ref="N20:N27" si="0">SUM(C20:M20)</f>
        <v>22</v>
      </c>
      <c r="Q20" t="s">
        <v>630</v>
      </c>
      <c r="R20">
        <v>1</v>
      </c>
    </row>
    <row r="21" spans="2:18">
      <c r="B21" s="14" t="s">
        <v>638</v>
      </c>
      <c r="C21" s="14">
        <v>1</v>
      </c>
      <c r="D21" s="14">
        <v>1</v>
      </c>
      <c r="E21" s="14">
        <v>1</v>
      </c>
      <c r="F21" s="14">
        <v>1</v>
      </c>
      <c r="G21" s="14"/>
      <c r="H21" s="14"/>
      <c r="I21" s="14">
        <v>2</v>
      </c>
      <c r="J21" s="335">
        <v>1</v>
      </c>
      <c r="K21" s="14"/>
      <c r="L21" s="333">
        <v>10</v>
      </c>
      <c r="M21" s="14"/>
      <c r="N21" s="334">
        <f t="shared" si="0"/>
        <v>17</v>
      </c>
    </row>
    <row r="22" spans="2:18">
      <c r="B22" s="14" t="s">
        <v>639</v>
      </c>
      <c r="C22" s="14">
        <v>2</v>
      </c>
      <c r="D22" s="14">
        <v>1</v>
      </c>
      <c r="E22" s="14">
        <v>1</v>
      </c>
      <c r="F22" s="14"/>
      <c r="G22" s="14">
        <v>1</v>
      </c>
      <c r="H22" s="14"/>
      <c r="I22" s="14"/>
      <c r="J22" s="14"/>
      <c r="K22" s="14"/>
      <c r="L22" s="333">
        <v>7</v>
      </c>
      <c r="M22" s="14">
        <v>1</v>
      </c>
      <c r="N22" s="334">
        <f t="shared" si="0"/>
        <v>13</v>
      </c>
    </row>
    <row r="23" spans="2:18">
      <c r="B23" s="14" t="s">
        <v>640</v>
      </c>
      <c r="C23" s="14">
        <v>1</v>
      </c>
      <c r="D23" s="14">
        <v>1</v>
      </c>
      <c r="E23" s="14">
        <v>1</v>
      </c>
      <c r="F23" s="14"/>
      <c r="G23" s="14">
        <v>1</v>
      </c>
      <c r="H23" s="14"/>
      <c r="I23" s="14"/>
      <c r="J23" s="14"/>
      <c r="K23" s="14"/>
      <c r="L23" s="333">
        <v>4</v>
      </c>
      <c r="M23" s="14">
        <v>1</v>
      </c>
      <c r="N23" s="334">
        <f t="shared" si="0"/>
        <v>9</v>
      </c>
    </row>
    <row r="24" spans="2:18">
      <c r="B24" s="14" t="s">
        <v>641</v>
      </c>
      <c r="C24" s="14">
        <v>1</v>
      </c>
      <c r="D24" s="14">
        <v>1</v>
      </c>
      <c r="E24" s="14">
        <v>1</v>
      </c>
      <c r="F24" s="14">
        <v>1</v>
      </c>
      <c r="G24" s="14"/>
      <c r="H24" s="14"/>
      <c r="I24" s="14"/>
      <c r="J24" s="14"/>
      <c r="K24" s="14"/>
      <c r="L24" s="333">
        <v>6</v>
      </c>
      <c r="M24" s="14"/>
      <c r="N24" s="334">
        <f t="shared" si="0"/>
        <v>10</v>
      </c>
    </row>
    <row r="25" spans="2:18">
      <c r="B25" s="14" t="s">
        <v>642</v>
      </c>
      <c r="C25" s="14">
        <v>1</v>
      </c>
      <c r="D25" s="14">
        <v>1</v>
      </c>
      <c r="E25" s="14">
        <v>1</v>
      </c>
      <c r="F25" s="14"/>
      <c r="G25" s="14"/>
      <c r="H25" s="14"/>
      <c r="I25" s="14"/>
      <c r="J25" s="14"/>
      <c r="K25" s="14"/>
      <c r="L25" s="333">
        <v>7</v>
      </c>
      <c r="M25" s="14">
        <v>3</v>
      </c>
      <c r="N25" s="334">
        <f t="shared" si="0"/>
        <v>13</v>
      </c>
    </row>
    <row r="26" spans="2:18">
      <c r="B26" s="14" t="s">
        <v>643</v>
      </c>
      <c r="C26" s="14">
        <v>1</v>
      </c>
      <c r="D26" s="14">
        <v>1</v>
      </c>
      <c r="E26" s="14">
        <v>1</v>
      </c>
      <c r="F26" s="14"/>
      <c r="G26" s="14">
        <v>1</v>
      </c>
      <c r="H26" s="14"/>
      <c r="I26" s="14"/>
      <c r="J26" s="14"/>
      <c r="K26" s="14"/>
      <c r="L26" s="333">
        <v>12</v>
      </c>
      <c r="M26" s="14">
        <v>2</v>
      </c>
      <c r="N26" s="334">
        <f t="shared" si="0"/>
        <v>18</v>
      </c>
    </row>
    <row r="27" spans="2:18">
      <c r="B27" s="14" t="s">
        <v>644</v>
      </c>
      <c r="C27" s="14">
        <v>2</v>
      </c>
      <c r="D27" s="14">
        <v>1</v>
      </c>
      <c r="E27" s="14"/>
      <c r="F27" s="14"/>
      <c r="G27" s="14">
        <v>1</v>
      </c>
      <c r="H27" s="14"/>
      <c r="I27" s="14">
        <v>1</v>
      </c>
      <c r="J27" s="14"/>
      <c r="K27" s="14"/>
      <c r="L27" s="333">
        <v>1</v>
      </c>
      <c r="M27" s="14"/>
      <c r="N27" s="334">
        <f t="shared" si="0"/>
        <v>6</v>
      </c>
    </row>
    <row r="28" spans="2:18">
      <c r="N28" s="58"/>
    </row>
    <row r="29" spans="2:18" ht="17.55" customHeight="1">
      <c r="I29" s="14" t="s">
        <v>645</v>
      </c>
      <c r="J29" s="40"/>
      <c r="K29" t="s">
        <v>646</v>
      </c>
      <c r="L29" s="336">
        <f>SUM(L20:L26)/N29</f>
        <v>0.51851851851851849</v>
      </c>
      <c r="M29" s="14" t="s">
        <v>420</v>
      </c>
      <c r="N29" s="337">
        <f>SUM(N20:N27)</f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5A5A5"/>
  </sheetPr>
  <dimension ref="A1:N129"/>
  <sheetViews>
    <sheetView workbookViewId="0"/>
  </sheetViews>
  <sheetFormatPr defaultRowHeight="14.4"/>
  <cols>
    <col min="1" max="1" width="10.109375" customWidth="1"/>
    <col min="2" max="2" width="41.5546875" customWidth="1"/>
    <col min="3" max="3" width="12.109375" customWidth="1"/>
    <col min="5" max="5" width="12.109375" customWidth="1"/>
    <col min="7" max="7" width="12.109375" customWidth="1"/>
  </cols>
  <sheetData>
    <row r="1" spans="1:14" ht="37.5" customHeight="1">
      <c r="A1" s="338" t="s">
        <v>444</v>
      </c>
      <c r="B1" s="338" t="s">
        <v>444</v>
      </c>
      <c r="C1" s="339" t="s">
        <v>647</v>
      </c>
      <c r="D1" s="339" t="s">
        <v>648</v>
      </c>
      <c r="E1" s="340" t="s">
        <v>16</v>
      </c>
      <c r="F1" s="341" t="s">
        <v>649</v>
      </c>
      <c r="G1" s="342" t="s">
        <v>650</v>
      </c>
      <c r="I1" t="s">
        <v>4</v>
      </c>
      <c r="J1" t="s">
        <v>5</v>
      </c>
      <c r="K1" t="s">
        <v>510</v>
      </c>
      <c r="L1" t="s">
        <v>511</v>
      </c>
      <c r="M1" t="s">
        <v>512</v>
      </c>
      <c r="N1" t="s">
        <v>513</v>
      </c>
    </row>
    <row r="2" spans="1:14" ht="15" customHeight="1">
      <c r="A2" s="343">
        <v>64</v>
      </c>
      <c r="B2" s="344" t="s">
        <v>22</v>
      </c>
      <c r="C2" s="345" t="str">
        <f>_xlfn.XLOOKUP(A3,'06_Resource_Plan'!$C$3:$C$136,'06_Resource_Plan'!$F$3:$F$136,"No info")</f>
        <v>No info</v>
      </c>
      <c r="D2" s="346" t="str">
        <f ca="1">_xlfn.XLOOKUP(A3,'03_BulkPack_Order'!$A$2:$A$67,'03_BulkPack_Order'!$H$2:$H$67,"No info")</f>
        <v>No info</v>
      </c>
      <c r="E2" s="347">
        <f ca="1">MAX(C2:D2)</f>
        <v>0</v>
      </c>
      <c r="F2" s="348">
        <f ca="1">IFERROR(VLOOKUP(A3,'01_Cages_Plan'!$C$26:$E$151,3,0),"Missing info")</f>
        <v>0</v>
      </c>
      <c r="G2" s="349">
        <v>10</v>
      </c>
      <c r="I2" t="str">
        <f ca="1">IFERROR(_xludf.XLOOKUP(A2,'00_SKU_Master'!$B$2:$B$378,'00_SKU_Master'!$E$2:$E$378,""),"")</f>
        <v/>
      </c>
      <c r="J2">
        <f ca="1">IFERROR(_xludf.XLOOKUP(A2,'00_SKU_Master'!$B$2:$B$378,'00_SKU_Master'!$F$2:$F$378,0),0)</f>
        <v>0</v>
      </c>
      <c r="K2">
        <f ca="1">IFERROR(_xludf.XLOOKUP(I2,'00_Yield_Rates'!$B$2:$B$33,'00_Yield_Rates'!$E$2:$E$33,0)/100,0)</f>
        <v>0</v>
      </c>
      <c r="L2">
        <f t="shared" ref="L2:L33" ca="1" si="0">IF(AND(ISNUMBER(E2),ISNUMBER(J2)),E2*J2,0)</f>
        <v>0</v>
      </c>
      <c r="M2">
        <f t="shared" ref="M2:M33" ca="1" si="1">IF(AND(ISNUMBER(L2),K2&gt;0),L2/K2,0)</f>
        <v>0</v>
      </c>
      <c r="N2">
        <f t="shared" ref="N2:N33" ca="1" si="2">IF(M2&gt;0,ROUNDUP(M2/680,1),0)</f>
        <v>0</v>
      </c>
    </row>
    <row r="3" spans="1:14" ht="15" customHeight="1">
      <c r="A3" s="343">
        <v>65</v>
      </c>
      <c r="B3" s="350" t="s">
        <v>651</v>
      </c>
      <c r="C3" s="345" t="str">
        <f>_xlfn.XLOOKUP(A4,'06_Resource_Plan'!$C$3:$C$136,'06_Resource_Plan'!$F$3:$F$136,"No info")</f>
        <v>No info</v>
      </c>
      <c r="D3" s="346" t="str">
        <f ca="1">_xlfn.XLOOKUP(A4,'03_BulkPack_Order'!$A$2:$A$67,'03_BulkPack_Order'!$H$2:$H$67,"No info")</f>
        <v>No info</v>
      </c>
      <c r="E3" s="347">
        <f t="shared" ref="E3:E66" ca="1" si="3">MAX(C3:D3)</f>
        <v>0</v>
      </c>
      <c r="F3" s="348" t="str">
        <f>IFERROR(VLOOKUP(A4,'01_Cages_Plan'!$C$26:$E$151,3,0),"Missing info")</f>
        <v>Missing info</v>
      </c>
      <c r="G3" s="349">
        <v>10</v>
      </c>
      <c r="I3" t="str">
        <f ca="1">IFERROR(_xludf.XLOOKUP(A3,'00_SKU_Master'!$B$2:$B$378,'00_SKU_Master'!$E$2:$E$378,""),"")</f>
        <v/>
      </c>
      <c r="J3">
        <f ca="1">IFERROR(_xludf.XLOOKUP(A3,'00_SKU_Master'!$B$2:$B$378,'00_SKU_Master'!$F$2:$F$378,0),0)</f>
        <v>0</v>
      </c>
      <c r="K3">
        <f ca="1">IFERROR(_xludf.XLOOKUP(I3,'00_Yield_Rates'!$B$2:$B$33,'00_Yield_Rates'!$E$2:$E$33,0)/100,0)</f>
        <v>0</v>
      </c>
      <c r="L3">
        <f t="shared" ca="1" si="0"/>
        <v>0</v>
      </c>
      <c r="M3">
        <f t="shared" ca="1" si="1"/>
        <v>0</v>
      </c>
      <c r="N3">
        <f t="shared" ca="1" si="2"/>
        <v>0</v>
      </c>
    </row>
    <row r="4" spans="1:14" ht="15" customHeight="1">
      <c r="A4" s="343">
        <v>71</v>
      </c>
      <c r="B4" s="350" t="s">
        <v>652</v>
      </c>
      <c r="C4" s="345" t="str">
        <f>_xlfn.XLOOKUP(A5,'06_Resource_Plan'!$C$3:$C$136,'06_Resource_Plan'!$F$3:$F$136,"No info")</f>
        <v>No info</v>
      </c>
      <c r="D4" s="346" t="str">
        <f ca="1">_xlfn.XLOOKUP(A5,'03_BulkPack_Order'!$A$2:$A$67,'03_BulkPack_Order'!$H$2:$H$67,"No info")</f>
        <v>No info</v>
      </c>
      <c r="E4" s="347">
        <f t="shared" ca="1" si="3"/>
        <v>0</v>
      </c>
      <c r="F4" s="348" t="str">
        <f>IFERROR(VLOOKUP(A5,'01_Cages_Plan'!$C$26:$E$151,3,0),"Missing info")</f>
        <v>Missing info</v>
      </c>
      <c r="G4" s="349">
        <v>7</v>
      </c>
      <c r="I4" t="str">
        <f ca="1">IFERROR(_xludf.XLOOKUP(A4,'00_SKU_Master'!$B$2:$B$378,'00_SKU_Master'!$E$2:$E$378,""),"")</f>
        <v/>
      </c>
      <c r="J4">
        <f ca="1">IFERROR(_xludf.XLOOKUP(A4,'00_SKU_Master'!$B$2:$B$378,'00_SKU_Master'!$F$2:$F$378,0),0)</f>
        <v>0</v>
      </c>
      <c r="K4">
        <f ca="1">IFERROR(_xludf.XLOOKUP(I4,'00_Yield_Rates'!$B$2:$B$33,'00_Yield_Rates'!$E$2:$E$33,0)/100,0)</f>
        <v>0</v>
      </c>
      <c r="L4">
        <f t="shared" ca="1" si="0"/>
        <v>0</v>
      </c>
      <c r="M4">
        <f t="shared" ca="1" si="1"/>
        <v>0</v>
      </c>
      <c r="N4">
        <f t="shared" ca="1" si="2"/>
        <v>0</v>
      </c>
    </row>
    <row r="5" spans="1:14" ht="15" customHeight="1">
      <c r="A5" s="343">
        <v>100</v>
      </c>
      <c r="B5" s="351" t="s">
        <v>653</v>
      </c>
      <c r="C5" s="345" t="str">
        <f>_xlfn.XLOOKUP(A6,'06_Resource_Plan'!$C$3:$C$136,'06_Resource_Plan'!$F$3:$F$136,"No info")</f>
        <v>No info</v>
      </c>
      <c r="D5" s="346">
        <f ca="1">_xlfn.XLOOKUP(A6,'03_BulkPack_Order'!$A$2:$A$67,'03_BulkPack_Order'!$H$2:$H$67,"No info")</f>
        <v>480</v>
      </c>
      <c r="E5" s="347">
        <f t="shared" ca="1" si="3"/>
        <v>480</v>
      </c>
      <c r="F5" s="348">
        <f ca="1">IFERROR(VLOOKUP(A6,'01_Cages_Plan'!$C$26:$E$151,3,0),"Missing info")</f>
        <v>0</v>
      </c>
      <c r="G5" s="349">
        <v>8</v>
      </c>
      <c r="I5" t="str">
        <f ca="1">IFERROR(_xludf.XLOOKUP(A5,'00_SKU_Master'!$B$2:$B$378,'00_SKU_Master'!$E$2:$E$378,""),"")</f>
        <v/>
      </c>
      <c r="J5">
        <f ca="1">IFERROR(_xludf.XLOOKUP(A5,'00_SKU_Master'!$B$2:$B$378,'00_SKU_Master'!$F$2:$F$378,0),0)</f>
        <v>0</v>
      </c>
      <c r="K5">
        <f ca="1">IFERROR(_xludf.XLOOKUP(I5,'00_Yield_Rates'!$B$2:$B$33,'00_Yield_Rates'!$E$2:$E$33,0)/100,0)</f>
        <v>0</v>
      </c>
      <c r="L5">
        <f t="shared" ca="1" si="0"/>
        <v>0</v>
      </c>
      <c r="M5">
        <f t="shared" ca="1" si="1"/>
        <v>0</v>
      </c>
      <c r="N5">
        <f t="shared" ca="1" si="2"/>
        <v>0</v>
      </c>
    </row>
    <row r="6" spans="1:14" ht="15" customHeight="1">
      <c r="A6" s="343">
        <v>159</v>
      </c>
      <c r="B6" s="352" t="s">
        <v>654</v>
      </c>
      <c r="C6" s="345" t="str">
        <f>_xlfn.XLOOKUP(A7,'06_Resource_Plan'!$C$3:$C$136,'06_Resource_Plan'!$F$3:$F$136,"No info")</f>
        <v>No info</v>
      </c>
      <c r="D6" s="346">
        <f ca="1">_xlfn.XLOOKUP(A7,'03_BulkPack_Order'!$A$2:$A$67,'03_BulkPack_Order'!$H$2:$H$67,"No info")</f>
        <v>0</v>
      </c>
      <c r="E6" s="347">
        <f t="shared" ca="1" si="3"/>
        <v>0</v>
      </c>
      <c r="F6" s="348">
        <f ca="1">IFERROR(VLOOKUP(A7,'01_Cages_Plan'!$C$26:$E$151,3,0),"Missing info")</f>
        <v>0</v>
      </c>
      <c r="G6" s="349">
        <v>8</v>
      </c>
      <c r="I6" t="str">
        <f ca="1">IFERROR(_xludf.XLOOKUP(A6,'00_SKU_Master'!$B$2:$B$378,'00_SKU_Master'!$E$2:$E$378,""),"")</f>
        <v/>
      </c>
      <c r="J6">
        <f ca="1">IFERROR(_xludf.XLOOKUP(A6,'00_SKU_Master'!$B$2:$B$378,'00_SKU_Master'!$F$2:$F$378,0),0)</f>
        <v>0</v>
      </c>
      <c r="K6">
        <f ca="1">IFERROR(_xludf.XLOOKUP(I6,'00_Yield_Rates'!$B$2:$B$33,'00_Yield_Rates'!$E$2:$E$33,0)/100,0)</f>
        <v>0</v>
      </c>
      <c r="L6">
        <f t="shared" ca="1" si="0"/>
        <v>0</v>
      </c>
      <c r="M6">
        <f t="shared" ca="1" si="1"/>
        <v>0</v>
      </c>
      <c r="N6">
        <f t="shared" ca="1" si="2"/>
        <v>0</v>
      </c>
    </row>
    <row r="7" spans="1:14" ht="15" customHeight="1">
      <c r="A7" s="343">
        <v>160</v>
      </c>
      <c r="B7" s="353" t="s">
        <v>29</v>
      </c>
      <c r="C7" s="345" t="str">
        <f>_xlfn.XLOOKUP(A8,'06_Resource_Plan'!$C$3:$C$136,'06_Resource_Plan'!$F$3:$F$136,"No info")</f>
        <v>No info</v>
      </c>
      <c r="D7" s="346">
        <f ca="1">_xlfn.XLOOKUP(A8,'03_BulkPack_Order'!$A$2:$A$67,'03_BulkPack_Order'!$H$2:$H$67,"No info")</f>
        <v>0</v>
      </c>
      <c r="E7" s="347">
        <f t="shared" ca="1" si="3"/>
        <v>0</v>
      </c>
      <c r="F7" s="348">
        <f ca="1">IFERROR(VLOOKUP(A8,'01_Cages_Plan'!$C$26:$E$151,3,0),"Missing info")</f>
        <v>0</v>
      </c>
      <c r="G7" s="349">
        <v>8</v>
      </c>
      <c r="I7" t="str">
        <f ca="1">IFERROR(_xludf.XLOOKUP(A7,'00_SKU_Master'!$B$2:$B$378,'00_SKU_Master'!$E$2:$E$378,""),"")</f>
        <v/>
      </c>
      <c r="J7">
        <f ca="1">IFERROR(_xludf.XLOOKUP(A7,'00_SKU_Master'!$B$2:$B$378,'00_SKU_Master'!$F$2:$F$378,0),0)</f>
        <v>0</v>
      </c>
      <c r="K7">
        <f ca="1">IFERROR(_xludf.XLOOKUP(I7,'00_Yield_Rates'!$B$2:$B$33,'00_Yield_Rates'!$E$2:$E$33,0)/100,0)</f>
        <v>0</v>
      </c>
      <c r="L7">
        <f t="shared" ca="1" si="0"/>
        <v>0</v>
      </c>
      <c r="M7">
        <f t="shared" ca="1" si="1"/>
        <v>0</v>
      </c>
      <c r="N7">
        <f t="shared" ca="1" si="2"/>
        <v>0</v>
      </c>
    </row>
    <row r="8" spans="1:14" ht="15" customHeight="1">
      <c r="A8" s="335">
        <v>161</v>
      </c>
      <c r="B8" s="350" t="s">
        <v>655</v>
      </c>
      <c r="C8" s="345" t="str">
        <f>_xlfn.XLOOKUP(A9,'06_Resource_Plan'!$C$3:$C$136,'06_Resource_Plan'!$F$3:$F$136,"No info")</f>
        <v>No info</v>
      </c>
      <c r="D8" s="346">
        <f ca="1">_xlfn.XLOOKUP(A9,'03_BulkPack_Order'!$A$2:$A$67,'03_BulkPack_Order'!$H$2:$H$67,"No info")</f>
        <v>0</v>
      </c>
      <c r="E8" s="347">
        <f t="shared" ca="1" si="3"/>
        <v>0</v>
      </c>
      <c r="F8" s="348">
        <f ca="1">IFERROR(VLOOKUP(A9,'01_Cages_Plan'!$C$26:$E$151,3,0),"Missing info")</f>
        <v>0</v>
      </c>
      <c r="G8" s="349">
        <v>8</v>
      </c>
      <c r="I8" t="str">
        <f ca="1">IFERROR(_xludf.XLOOKUP(A8,'00_SKU_Master'!$B$2:$B$378,'00_SKU_Master'!$E$2:$E$378,""),"")</f>
        <v/>
      </c>
      <c r="J8">
        <f ca="1">IFERROR(_xludf.XLOOKUP(A8,'00_SKU_Master'!$B$2:$B$378,'00_SKU_Master'!$F$2:$F$378,0),0)</f>
        <v>0</v>
      </c>
      <c r="K8">
        <f ca="1">IFERROR(_xludf.XLOOKUP(I8,'00_Yield_Rates'!$B$2:$B$33,'00_Yield_Rates'!$E$2:$E$33,0)/100,0)</f>
        <v>0</v>
      </c>
      <c r="L8">
        <f t="shared" ca="1" si="0"/>
        <v>0</v>
      </c>
      <c r="M8">
        <f t="shared" ca="1" si="1"/>
        <v>0</v>
      </c>
      <c r="N8">
        <f t="shared" ca="1" si="2"/>
        <v>0</v>
      </c>
    </row>
    <row r="9" spans="1:14" ht="15" customHeight="1">
      <c r="A9" s="343">
        <v>165</v>
      </c>
      <c r="B9" s="354" t="s">
        <v>656</v>
      </c>
      <c r="C9" s="345" t="str">
        <f>_xlfn.XLOOKUP(A10,'06_Resource_Plan'!$C$3:$C$136,'06_Resource_Plan'!$F$3:$F$136,"No info")</f>
        <v>No info</v>
      </c>
      <c r="D9" s="346">
        <f ca="1">_xlfn.XLOOKUP(A10,'03_BulkPack_Order'!$A$2:$A$67,'03_BulkPack_Order'!$H$2:$H$67,"No info")</f>
        <v>0</v>
      </c>
      <c r="E9" s="347">
        <f t="shared" ca="1" si="3"/>
        <v>0</v>
      </c>
      <c r="F9" s="348">
        <f ca="1">IFERROR(VLOOKUP(A10,'01_Cages_Plan'!$C$26:$E$151,3,0),"Missing info")</f>
        <v>0</v>
      </c>
      <c r="G9" s="349"/>
      <c r="I9" t="str">
        <f ca="1">IFERROR(_xludf.XLOOKUP(A9,'00_SKU_Master'!$B$2:$B$378,'00_SKU_Master'!$E$2:$E$378,""),"")</f>
        <v/>
      </c>
      <c r="J9">
        <f ca="1">IFERROR(_xludf.XLOOKUP(A9,'00_SKU_Master'!$B$2:$B$378,'00_SKU_Master'!$F$2:$F$378,0),0)</f>
        <v>0</v>
      </c>
      <c r="K9">
        <f ca="1">IFERROR(_xludf.XLOOKUP(I9,'00_Yield_Rates'!$B$2:$B$33,'00_Yield_Rates'!$E$2:$E$33,0)/100,0)</f>
        <v>0</v>
      </c>
      <c r="L9">
        <f t="shared" ca="1" si="0"/>
        <v>0</v>
      </c>
      <c r="M9">
        <f t="shared" ca="1" si="1"/>
        <v>0</v>
      </c>
      <c r="N9">
        <f t="shared" ca="1" si="2"/>
        <v>0</v>
      </c>
    </row>
    <row r="10" spans="1:14" ht="15" customHeight="1">
      <c r="A10" s="335">
        <v>834</v>
      </c>
      <c r="B10" s="350" t="s">
        <v>657</v>
      </c>
      <c r="C10" s="345" t="str">
        <f>_xlfn.XLOOKUP(A11,'06_Resource_Plan'!$C$3:$C$136,'06_Resource_Plan'!$F$3:$F$136,"No info")</f>
        <v>No info</v>
      </c>
      <c r="D10" s="346">
        <f ca="1">_xlfn.XLOOKUP(A11,'03_BulkPack_Order'!$A$2:$A$67,'03_BulkPack_Order'!$H$2:$H$67,"No info")</f>
        <v>0</v>
      </c>
      <c r="E10" s="347">
        <f t="shared" ca="1" si="3"/>
        <v>0</v>
      </c>
      <c r="F10" s="348">
        <f ca="1">IFERROR(VLOOKUP(A11,'01_Cages_Plan'!$C$26:$E$151,3,0),"Missing info")</f>
        <v>0</v>
      </c>
      <c r="G10" s="349">
        <v>10</v>
      </c>
      <c r="H10" s="50"/>
      <c r="I10" t="str">
        <f ca="1">IFERROR(_xludf.XLOOKUP(A10,'00_SKU_Master'!$B$2:$B$378,'00_SKU_Master'!$E$2:$E$378,""),"")</f>
        <v/>
      </c>
      <c r="J10">
        <f ca="1">IFERROR(_xludf.XLOOKUP(A10,'00_SKU_Master'!$B$2:$B$378,'00_SKU_Master'!$F$2:$F$378,0),0)</f>
        <v>0</v>
      </c>
      <c r="K10">
        <f ca="1">IFERROR(_xludf.XLOOKUP(I10,'00_Yield_Rates'!$B$2:$B$33,'00_Yield_Rates'!$E$2:$E$33,0)/100,0)</f>
        <v>0</v>
      </c>
      <c r="L10">
        <f t="shared" ca="1" si="0"/>
        <v>0</v>
      </c>
      <c r="M10">
        <f t="shared" ca="1" si="1"/>
        <v>0</v>
      </c>
      <c r="N10">
        <f t="shared" ca="1" si="2"/>
        <v>0</v>
      </c>
    </row>
    <row r="11" spans="1:14" ht="15" customHeight="1">
      <c r="A11" s="343">
        <v>868</v>
      </c>
      <c r="B11" s="350" t="s">
        <v>658</v>
      </c>
      <c r="C11" s="345" t="str">
        <f>_xlfn.XLOOKUP(A12,'06_Resource_Plan'!$C$3:$C$136,'06_Resource_Plan'!$F$3:$F$136,"No info")</f>
        <v>No info</v>
      </c>
      <c r="D11" s="346">
        <f ca="1">_xlfn.XLOOKUP(A12,'03_BulkPack_Order'!$A$2:$A$67,'03_BulkPack_Order'!$H$2:$H$67,"No info")</f>
        <v>0</v>
      </c>
      <c r="E11" s="347">
        <f t="shared" ca="1" si="3"/>
        <v>0</v>
      </c>
      <c r="F11" s="348">
        <f ca="1">IFERROR(VLOOKUP(A12,'01_Cages_Plan'!$C$26:$E$151,3,0),"Missing info")</f>
        <v>0</v>
      </c>
      <c r="G11" s="349">
        <v>9</v>
      </c>
      <c r="I11" t="str">
        <f ca="1">IFERROR(_xludf.XLOOKUP(A11,'00_SKU_Master'!$B$2:$B$378,'00_SKU_Master'!$E$2:$E$378,""),"")</f>
        <v/>
      </c>
      <c r="J11">
        <f ca="1">IFERROR(_xludf.XLOOKUP(A11,'00_SKU_Master'!$B$2:$B$378,'00_SKU_Master'!$F$2:$F$378,0),0)</f>
        <v>0</v>
      </c>
      <c r="K11">
        <f ca="1">IFERROR(_xludf.XLOOKUP(I11,'00_Yield_Rates'!$B$2:$B$33,'00_Yield_Rates'!$E$2:$E$33,0)/100,0)</f>
        <v>0</v>
      </c>
      <c r="L11">
        <f t="shared" ca="1" si="0"/>
        <v>0</v>
      </c>
      <c r="M11">
        <f t="shared" ca="1" si="1"/>
        <v>0</v>
      </c>
      <c r="N11">
        <f t="shared" ca="1" si="2"/>
        <v>0</v>
      </c>
    </row>
    <row r="12" spans="1:14" ht="15" customHeight="1">
      <c r="A12" s="343">
        <v>895</v>
      </c>
      <c r="B12" s="352" t="s">
        <v>659</v>
      </c>
      <c r="C12" s="345" t="str">
        <f>_xlfn.XLOOKUP(A13,'06_Resource_Plan'!$C$3:$C$136,'06_Resource_Plan'!$F$3:$F$136,"No info")</f>
        <v>No info</v>
      </c>
      <c r="D12" s="346" t="str">
        <f ca="1">_xlfn.XLOOKUP(A13,'03_BulkPack_Order'!$A$2:$A$67,'03_BulkPack_Order'!$H$2:$H$67,"No info")</f>
        <v>No info</v>
      </c>
      <c r="E12" s="347">
        <f t="shared" ca="1" si="3"/>
        <v>0</v>
      </c>
      <c r="F12" s="348" t="str">
        <f>IFERROR(VLOOKUP(A13,'01_Cages_Plan'!$C$26:$E$151,3,0),"Missing info")</f>
        <v>Missing info</v>
      </c>
      <c r="G12" s="349">
        <v>9</v>
      </c>
      <c r="I12" t="str">
        <f ca="1">IFERROR(_xludf.XLOOKUP(A12,'00_SKU_Master'!$B$2:$B$378,'00_SKU_Master'!$E$2:$E$378,""),"")</f>
        <v/>
      </c>
      <c r="J12">
        <f ca="1">IFERROR(_xludf.XLOOKUP(A12,'00_SKU_Master'!$B$2:$B$378,'00_SKU_Master'!$F$2:$F$378,0),0)</f>
        <v>0</v>
      </c>
      <c r="K12">
        <f ca="1">IFERROR(_xludf.XLOOKUP(I12,'00_Yield_Rates'!$B$2:$B$33,'00_Yield_Rates'!$E$2:$E$33,0)/100,0)</f>
        <v>0</v>
      </c>
      <c r="L12">
        <f t="shared" ca="1" si="0"/>
        <v>0</v>
      </c>
      <c r="M12">
        <f t="shared" ca="1" si="1"/>
        <v>0</v>
      </c>
      <c r="N12">
        <f t="shared" ca="1" si="2"/>
        <v>0</v>
      </c>
    </row>
    <row r="13" spans="1:14" ht="15" customHeight="1">
      <c r="A13" s="335">
        <v>900</v>
      </c>
      <c r="B13" s="350" t="s">
        <v>660</v>
      </c>
      <c r="C13" s="345" t="str">
        <f>_xlfn.XLOOKUP(A14,'06_Resource_Plan'!$C$3:$C$136,'06_Resource_Plan'!$F$3:$F$136,"No info")</f>
        <v>No info</v>
      </c>
      <c r="D13" s="346" t="str">
        <f ca="1">_xlfn.XLOOKUP(A14,'03_BulkPack_Order'!$A$2:$A$67,'03_BulkPack_Order'!$H$2:$H$67,"No info")</f>
        <v>No info</v>
      </c>
      <c r="E13" s="347">
        <f t="shared" ca="1" si="3"/>
        <v>0</v>
      </c>
      <c r="F13" s="348">
        <f ca="1">IFERROR(VLOOKUP(A14,'01_Cages_Plan'!$C$26:$E$151,3,0),"Missing info")</f>
        <v>0</v>
      </c>
      <c r="G13" s="349">
        <v>10</v>
      </c>
      <c r="I13" t="str">
        <f ca="1">IFERROR(_xludf.XLOOKUP(A13,'00_SKU_Master'!$B$2:$B$378,'00_SKU_Master'!$E$2:$E$378,""),"")</f>
        <v/>
      </c>
      <c r="J13">
        <f ca="1">IFERROR(_xludf.XLOOKUP(A13,'00_SKU_Master'!$B$2:$B$378,'00_SKU_Master'!$F$2:$F$378,0),0)</f>
        <v>0</v>
      </c>
      <c r="K13">
        <f ca="1">IFERROR(_xludf.XLOOKUP(I13,'00_Yield_Rates'!$B$2:$B$33,'00_Yield_Rates'!$E$2:$E$33,0)/100,0)</f>
        <v>0</v>
      </c>
      <c r="L13">
        <f t="shared" ca="1" si="0"/>
        <v>0</v>
      </c>
      <c r="M13">
        <f t="shared" ca="1" si="1"/>
        <v>0</v>
      </c>
      <c r="N13">
        <f t="shared" ca="1" si="2"/>
        <v>0</v>
      </c>
    </row>
    <row r="14" spans="1:14" ht="15" customHeight="1">
      <c r="A14" s="335">
        <v>902</v>
      </c>
      <c r="B14" s="350" t="s">
        <v>657</v>
      </c>
      <c r="C14" s="345" t="str">
        <f>_xlfn.XLOOKUP(A15,'06_Resource_Plan'!$C$3:$C$136,'06_Resource_Plan'!$F$3:$F$136,"No info")</f>
        <v>No info</v>
      </c>
      <c r="D14" s="346" t="str">
        <f ca="1">_xlfn.XLOOKUP(A15,'03_BulkPack_Order'!$A$2:$A$67,'03_BulkPack_Order'!$H$2:$H$67,"No info")</f>
        <v>No info</v>
      </c>
      <c r="E14" s="347">
        <f t="shared" ca="1" si="3"/>
        <v>0</v>
      </c>
      <c r="F14" s="348" t="str">
        <f>IFERROR(VLOOKUP(A15,'01_Cages_Plan'!$C$26:$E$151,3,0),"Missing info")</f>
        <v>Missing info</v>
      </c>
      <c r="G14" s="349">
        <v>10</v>
      </c>
      <c r="I14" t="str">
        <f ca="1">IFERROR(_xludf.XLOOKUP(A14,'00_SKU_Master'!$B$2:$B$378,'00_SKU_Master'!$E$2:$E$378,""),"")</f>
        <v/>
      </c>
      <c r="J14">
        <f ca="1">IFERROR(_xludf.XLOOKUP(A14,'00_SKU_Master'!$B$2:$B$378,'00_SKU_Master'!$F$2:$F$378,0),0)</f>
        <v>0</v>
      </c>
      <c r="K14">
        <f ca="1">IFERROR(_xludf.XLOOKUP(I14,'00_Yield_Rates'!$B$2:$B$33,'00_Yield_Rates'!$E$2:$E$33,0)/100,0)</f>
        <v>0</v>
      </c>
      <c r="L14">
        <f t="shared" ca="1" si="0"/>
        <v>0</v>
      </c>
      <c r="M14">
        <f t="shared" ca="1" si="1"/>
        <v>0</v>
      </c>
      <c r="N14">
        <f t="shared" ca="1" si="2"/>
        <v>0</v>
      </c>
    </row>
    <row r="15" spans="1:14" ht="15" customHeight="1">
      <c r="A15" s="335">
        <v>903</v>
      </c>
      <c r="B15" s="350" t="s">
        <v>661</v>
      </c>
      <c r="C15" s="345" t="str">
        <f>_xlfn.XLOOKUP(A16,'06_Resource_Plan'!$C$3:$C$136,'06_Resource_Plan'!$F$3:$F$136,"No info")</f>
        <v>No info</v>
      </c>
      <c r="D15" s="346">
        <f ca="1">_xlfn.XLOOKUP(A16,'03_BulkPack_Order'!$A$2:$A$67,'03_BulkPack_Order'!$H$2:$H$67,"No info")</f>
        <v>0</v>
      </c>
      <c r="E15" s="347">
        <f t="shared" ca="1" si="3"/>
        <v>0</v>
      </c>
      <c r="F15" s="348">
        <f>IFERROR(VLOOKUP(A16,'01_Cages_Plan'!$C$26:$E$151,3,0),"Missing info")</f>
        <v>7</v>
      </c>
      <c r="G15" s="349">
        <v>10</v>
      </c>
      <c r="I15" t="str">
        <f ca="1">IFERROR(_xludf.XLOOKUP(A15,'00_SKU_Master'!$B$2:$B$378,'00_SKU_Master'!$E$2:$E$378,""),"")</f>
        <v/>
      </c>
      <c r="J15">
        <f ca="1">IFERROR(_xludf.XLOOKUP(A15,'00_SKU_Master'!$B$2:$B$378,'00_SKU_Master'!$F$2:$F$378,0),0)</f>
        <v>0</v>
      </c>
      <c r="K15">
        <f ca="1">IFERROR(_xludf.XLOOKUP(I15,'00_Yield_Rates'!$B$2:$B$33,'00_Yield_Rates'!$E$2:$E$33,0)/100,0)</f>
        <v>0</v>
      </c>
      <c r="L15">
        <f t="shared" ca="1" si="0"/>
        <v>0</v>
      </c>
      <c r="M15">
        <f t="shared" ca="1" si="1"/>
        <v>0</v>
      </c>
      <c r="N15">
        <f t="shared" ca="1" si="2"/>
        <v>0</v>
      </c>
    </row>
    <row r="16" spans="1:14" ht="15" customHeight="1">
      <c r="A16" s="343">
        <v>904</v>
      </c>
      <c r="B16" s="353"/>
      <c r="C16" s="345">
        <f>_xlfn.XLOOKUP(A17,'06_Resource_Plan'!$C$3:$C$136,'06_Resource_Plan'!$F$3:$F$136,"No info")</f>
        <v>0</v>
      </c>
      <c r="D16" s="346">
        <f>_xlfn.XLOOKUP(A17,'03_BulkPack_Order'!$A$2:$A$67,'03_BulkPack_Order'!$H$2:$H$67,"No info")</f>
        <v>7</v>
      </c>
      <c r="E16" s="347">
        <f t="shared" si="3"/>
        <v>7</v>
      </c>
      <c r="F16" s="348">
        <f>IFERROR(VLOOKUP(A17,'01_Cages_Plan'!$C$26:$E$151,3,0),"Missing info")</f>
        <v>0</v>
      </c>
      <c r="G16" s="349">
        <v>10</v>
      </c>
      <c r="I16" t="str">
        <f ca="1">IFERROR(_xludf.XLOOKUP(A16,'00_SKU_Master'!$B$2:$B$378,'00_SKU_Master'!$E$2:$E$378,""),"")</f>
        <v/>
      </c>
      <c r="J16">
        <f ca="1">IFERROR(_xludf.XLOOKUP(A16,'00_SKU_Master'!$B$2:$B$378,'00_SKU_Master'!$F$2:$F$378,0),0)</f>
        <v>0</v>
      </c>
      <c r="K16">
        <f ca="1">IFERROR(_xludf.XLOOKUP(I16,'00_Yield_Rates'!$B$2:$B$33,'00_Yield_Rates'!$E$2:$E$33,0)/100,0)</f>
        <v>0</v>
      </c>
      <c r="L16">
        <f t="shared" ca="1" si="0"/>
        <v>0</v>
      </c>
      <c r="M16">
        <f t="shared" ca="1" si="1"/>
        <v>0</v>
      </c>
      <c r="N16">
        <f t="shared" ca="1" si="2"/>
        <v>0</v>
      </c>
    </row>
    <row r="17" spans="1:14" ht="15" customHeight="1">
      <c r="A17" s="343">
        <v>61018</v>
      </c>
      <c r="B17" s="352" t="s">
        <v>662</v>
      </c>
      <c r="C17" s="345">
        <f>_xlfn.XLOOKUP(A18,'06_Resource_Plan'!$C$3:$C$136,'06_Resource_Plan'!$F$3:$F$136,"No info")</f>
        <v>0</v>
      </c>
      <c r="D17" s="346">
        <f>_xlfn.XLOOKUP(A18,'03_BulkPack_Order'!$A$2:$A$67,'03_BulkPack_Order'!$H$2:$H$67,"No info")</f>
        <v>0</v>
      </c>
      <c r="E17" s="347">
        <f t="shared" si="3"/>
        <v>0</v>
      </c>
      <c r="F17" s="348">
        <f ca="1">IFERROR(VLOOKUP(A18,'01_Cages_Plan'!$C$26:$E$151,3,0),"Missing info")</f>
        <v>0</v>
      </c>
      <c r="G17" s="349">
        <v>8</v>
      </c>
      <c r="I17" t="str">
        <f ca="1">IFERROR(_xludf.XLOOKUP(A17,'00_SKU_Master'!$B$2:$B$378,'00_SKU_Master'!$E$2:$E$378,""),"")</f>
        <v/>
      </c>
      <c r="J17">
        <f ca="1">IFERROR(_xludf.XLOOKUP(A17,'00_SKU_Master'!$B$2:$B$378,'00_SKU_Master'!$F$2:$F$378,0),0)</f>
        <v>0</v>
      </c>
      <c r="K17">
        <f ca="1">IFERROR(_xludf.XLOOKUP(I17,'00_Yield_Rates'!$B$2:$B$33,'00_Yield_Rates'!$E$2:$E$33,0)/100,0)</f>
        <v>0</v>
      </c>
      <c r="L17">
        <f t="shared" ca="1" si="0"/>
        <v>0</v>
      </c>
      <c r="M17">
        <f t="shared" ca="1" si="1"/>
        <v>0</v>
      </c>
      <c r="N17">
        <f t="shared" ca="1" si="2"/>
        <v>0</v>
      </c>
    </row>
    <row r="18" spans="1:14" ht="15" customHeight="1">
      <c r="A18" s="343" t="s">
        <v>99</v>
      </c>
      <c r="B18" s="352" t="s">
        <v>663</v>
      </c>
      <c r="C18" s="345" t="str">
        <f>_xlfn.XLOOKUP(A19,'06_Resource_Plan'!$C$3:$C$136,'06_Resource_Plan'!$F$3:$F$136,"No info")</f>
        <v>No info</v>
      </c>
      <c r="D18" s="346" t="str">
        <f ca="1">_xlfn.XLOOKUP(A19,'03_BulkPack_Order'!$A$2:$A$67,'03_BulkPack_Order'!$H$2:$H$67,"No info")</f>
        <v>No info</v>
      </c>
      <c r="E18" s="347">
        <f t="shared" ca="1" si="3"/>
        <v>0</v>
      </c>
      <c r="F18" s="348">
        <f ca="1">IFERROR(VLOOKUP(A19,'01_Cages_Plan'!$C$26:$E$151,3,0),"Missing info")</f>
        <v>0</v>
      </c>
      <c r="G18" s="349"/>
      <c r="I18" t="str">
        <f ca="1">IFERROR(_xludf.XLOOKUP(A18,'00_SKU_Master'!$B$2:$B$378,'00_SKU_Master'!$E$2:$E$378,""),"")</f>
        <v/>
      </c>
      <c r="J18">
        <f ca="1">IFERROR(_xludf.XLOOKUP(A18,'00_SKU_Master'!$B$2:$B$378,'00_SKU_Master'!$F$2:$F$378,0),0)</f>
        <v>0</v>
      </c>
      <c r="K18">
        <f ca="1">IFERROR(_xludf.XLOOKUP(I18,'00_Yield_Rates'!$B$2:$B$33,'00_Yield_Rates'!$E$2:$E$33,0)/100,0)</f>
        <v>0</v>
      </c>
      <c r="L18">
        <f t="shared" ca="1" si="0"/>
        <v>0</v>
      </c>
      <c r="M18">
        <f t="shared" ca="1" si="1"/>
        <v>0</v>
      </c>
      <c r="N18">
        <f t="shared" ca="1" si="2"/>
        <v>0</v>
      </c>
    </row>
    <row r="19" spans="1:14" ht="15" customHeight="1">
      <c r="A19" s="343">
        <v>1081</v>
      </c>
      <c r="B19" s="352" t="s">
        <v>664</v>
      </c>
      <c r="C19" s="345" t="str">
        <f>_xlfn.XLOOKUP(A20,'06_Resource_Plan'!$C$3:$C$136,'06_Resource_Plan'!$F$3:$F$136,"No info")</f>
        <v>No info</v>
      </c>
      <c r="D19" s="346" t="str">
        <f ca="1">_xlfn.XLOOKUP(A20,'03_BulkPack_Order'!$A$2:$A$67,'03_BulkPack_Order'!$H$2:$H$67,"No info")</f>
        <v>No info</v>
      </c>
      <c r="E19" s="347">
        <f t="shared" ca="1" si="3"/>
        <v>0</v>
      </c>
      <c r="F19" s="348">
        <f>IFERROR(VLOOKUP(A20,'01_Cages_Plan'!$C$26:$E$151,3,0),"Missing info")</f>
        <v>0</v>
      </c>
      <c r="G19" s="349"/>
      <c r="I19" t="str">
        <f ca="1">IFERROR(_xludf.XLOOKUP(A19,'00_SKU_Master'!$B$2:$B$378,'00_SKU_Master'!$E$2:$E$378,""),"")</f>
        <v/>
      </c>
      <c r="J19">
        <f ca="1">IFERROR(_xludf.XLOOKUP(A19,'00_SKU_Master'!$B$2:$B$378,'00_SKU_Master'!$F$2:$F$378,0),0)</f>
        <v>0</v>
      </c>
      <c r="K19">
        <f ca="1">IFERROR(_xludf.XLOOKUP(I19,'00_Yield_Rates'!$B$2:$B$33,'00_Yield_Rates'!$E$2:$E$33,0)/100,0)</f>
        <v>0</v>
      </c>
      <c r="L19">
        <f t="shared" ca="1" si="0"/>
        <v>0</v>
      </c>
      <c r="M19">
        <f t="shared" ca="1" si="1"/>
        <v>0</v>
      </c>
      <c r="N19">
        <f t="shared" ca="1" si="2"/>
        <v>0</v>
      </c>
    </row>
    <row r="20" spans="1:14" ht="15" customHeight="1">
      <c r="A20" s="343">
        <v>1083</v>
      </c>
      <c r="B20" s="352" t="s">
        <v>665</v>
      </c>
      <c r="C20" s="345">
        <f>_xlfn.XLOOKUP(A21,'06_Resource_Plan'!$C$3:$C$136,'06_Resource_Plan'!$F$3:$F$136,"No info")</f>
        <v>0</v>
      </c>
      <c r="D20" s="346">
        <f>_xlfn.XLOOKUP(A21,'03_BulkPack_Order'!$A$2:$A$67,'03_BulkPack_Order'!$H$2:$H$67,"No info")</f>
        <v>0</v>
      </c>
      <c r="E20" s="347">
        <f t="shared" si="3"/>
        <v>0</v>
      </c>
      <c r="F20" s="348" t="str">
        <f>IFERROR(VLOOKUP(A21,'01_Cages_Plan'!$C$26:$E$151,3,0),"Missing info")</f>
        <v>Missing info</v>
      </c>
      <c r="G20" s="349"/>
      <c r="I20" t="str">
        <f ca="1">IFERROR(_xludf.XLOOKUP(A20,'00_SKU_Master'!$B$2:$B$378,'00_SKU_Master'!$E$2:$E$378,""),"")</f>
        <v/>
      </c>
      <c r="J20">
        <f ca="1">IFERROR(_xludf.XLOOKUP(A20,'00_SKU_Master'!$B$2:$B$378,'00_SKU_Master'!$F$2:$F$378,0),0)</f>
        <v>0</v>
      </c>
      <c r="K20">
        <f ca="1">IFERROR(_xludf.XLOOKUP(I20,'00_Yield_Rates'!$B$2:$B$33,'00_Yield_Rates'!$E$2:$E$33,0)/100,0)</f>
        <v>0</v>
      </c>
      <c r="L20">
        <f t="shared" ca="1" si="0"/>
        <v>0</v>
      </c>
      <c r="M20">
        <f t="shared" ca="1" si="1"/>
        <v>0</v>
      </c>
      <c r="N20">
        <f t="shared" ca="1" si="2"/>
        <v>0</v>
      </c>
    </row>
    <row r="21" spans="1:14" ht="15" customHeight="1">
      <c r="A21" s="335"/>
      <c r="B21" s="350" t="s">
        <v>666</v>
      </c>
      <c r="C21" s="345" t="str">
        <f>_xlfn.XLOOKUP(A22,'06_Resource_Plan'!$C$3:$C$136,'06_Resource_Plan'!$F$3:$F$136,"No info")</f>
        <v>No info</v>
      </c>
      <c r="D21" s="346" t="str">
        <f ca="1">_xlfn.XLOOKUP(A22,'03_BulkPack_Order'!$A$2:$A$67,'03_BulkPack_Order'!$H$2:$H$67,"No info")</f>
        <v>No info</v>
      </c>
      <c r="E21" s="347">
        <f t="shared" ca="1" si="3"/>
        <v>0</v>
      </c>
      <c r="F21" s="348" t="str">
        <f>IFERROR(VLOOKUP(A22,'01_Cages_Plan'!$C$26:$E$151,3,0),"Missing info")</f>
        <v>Missing info</v>
      </c>
      <c r="G21" s="349">
        <v>8</v>
      </c>
      <c r="I21" t="str">
        <f ca="1">IFERROR(_xludf.XLOOKUP(A21,'00_SKU_Master'!$B$2:$B$378,'00_SKU_Master'!$E$2:$E$378,""),"")</f>
        <v/>
      </c>
      <c r="J21">
        <f ca="1">IFERROR(_xludf.XLOOKUP(A21,'00_SKU_Master'!$B$2:$B$378,'00_SKU_Master'!$F$2:$F$378,0),0)</f>
        <v>0</v>
      </c>
      <c r="K21">
        <f ca="1">IFERROR(_xludf.XLOOKUP(I21,'00_Yield_Rates'!$B$2:$B$33,'00_Yield_Rates'!$E$2:$E$33,0)/100,0)</f>
        <v>0</v>
      </c>
      <c r="L21">
        <f t="shared" ca="1" si="0"/>
        <v>0</v>
      </c>
      <c r="M21">
        <f t="shared" ca="1" si="1"/>
        <v>0</v>
      </c>
      <c r="N21">
        <f t="shared" ca="1" si="2"/>
        <v>0</v>
      </c>
    </row>
    <row r="22" spans="1:14" ht="15" customHeight="1">
      <c r="A22" s="335">
        <v>1446</v>
      </c>
      <c r="B22" s="350" t="s">
        <v>667</v>
      </c>
      <c r="C22" s="345" t="str">
        <f>_xlfn.XLOOKUP(A23,'06_Resource_Plan'!$C$3:$C$136,'06_Resource_Plan'!$F$3:$F$136,"No info")</f>
        <v>No info</v>
      </c>
      <c r="D22" s="346" t="str">
        <f ca="1">_xlfn.XLOOKUP(A23,'03_BulkPack_Order'!$A$2:$A$67,'03_BulkPack_Order'!$H$2:$H$67,"No info")</f>
        <v>No info</v>
      </c>
      <c r="E22" s="347">
        <f t="shared" ca="1" si="3"/>
        <v>0</v>
      </c>
      <c r="F22" s="348">
        <f ca="1">IFERROR(VLOOKUP(A23,'01_Cages_Plan'!$C$26:$E$151,3,0),"Missing info")</f>
        <v>0</v>
      </c>
      <c r="G22" s="349"/>
      <c r="I22" t="str">
        <f ca="1">IFERROR(_xludf.XLOOKUP(A22,'00_SKU_Master'!$B$2:$B$378,'00_SKU_Master'!$E$2:$E$378,""),"")</f>
        <v/>
      </c>
      <c r="J22">
        <f ca="1">IFERROR(_xludf.XLOOKUP(A22,'00_SKU_Master'!$B$2:$B$378,'00_SKU_Master'!$F$2:$F$378,0),0)</f>
        <v>0</v>
      </c>
      <c r="K22">
        <f ca="1">IFERROR(_xludf.XLOOKUP(I22,'00_Yield_Rates'!$B$2:$B$33,'00_Yield_Rates'!$E$2:$E$33,0)/100,0)</f>
        <v>0</v>
      </c>
      <c r="L22">
        <f t="shared" ca="1" si="0"/>
        <v>0</v>
      </c>
      <c r="M22">
        <f t="shared" ca="1" si="1"/>
        <v>0</v>
      </c>
      <c r="N22">
        <f t="shared" ca="1" si="2"/>
        <v>0</v>
      </c>
    </row>
    <row r="23" spans="1:14" ht="15" customHeight="1">
      <c r="A23" s="343">
        <v>1887</v>
      </c>
      <c r="B23" s="352" t="s">
        <v>668</v>
      </c>
      <c r="C23" s="345" t="str">
        <f>_xlfn.XLOOKUP(A24,'06_Resource_Plan'!$C$3:$C$136,'06_Resource_Plan'!$F$3:$F$136,"No info")</f>
        <v>No info</v>
      </c>
      <c r="D23" s="346">
        <f ca="1">_xlfn.XLOOKUP(A24,'03_BulkPack_Order'!$A$2:$A$67,'03_BulkPack_Order'!$H$2:$H$67,"No info")</f>
        <v>0</v>
      </c>
      <c r="E23" s="347">
        <f t="shared" ca="1" si="3"/>
        <v>0</v>
      </c>
      <c r="F23" s="348" t="str">
        <f>IFERROR(VLOOKUP(A24,'01_Cages_Plan'!$C$26:$E$151,3,0),"Missing info")</f>
        <v>Missing info</v>
      </c>
      <c r="G23" s="349">
        <v>12</v>
      </c>
      <c r="I23" t="str">
        <f ca="1">IFERROR(_xludf.XLOOKUP(A23,'00_SKU_Master'!$B$2:$B$378,'00_SKU_Master'!$E$2:$E$378,""),"")</f>
        <v/>
      </c>
      <c r="J23">
        <f ca="1">IFERROR(_xludf.XLOOKUP(A23,'00_SKU_Master'!$B$2:$B$378,'00_SKU_Master'!$F$2:$F$378,0),0)</f>
        <v>0</v>
      </c>
      <c r="K23">
        <f ca="1">IFERROR(_xludf.XLOOKUP(I23,'00_Yield_Rates'!$B$2:$B$33,'00_Yield_Rates'!$E$2:$E$33,0)/100,0)</f>
        <v>0</v>
      </c>
      <c r="L23">
        <f t="shared" ca="1" si="0"/>
        <v>0</v>
      </c>
      <c r="M23">
        <f t="shared" ca="1" si="1"/>
        <v>0</v>
      </c>
      <c r="N23">
        <f t="shared" ca="1" si="2"/>
        <v>0</v>
      </c>
    </row>
    <row r="24" spans="1:14" ht="15" customHeight="1">
      <c r="A24" s="343">
        <v>40021</v>
      </c>
      <c r="B24" s="352"/>
      <c r="C24" s="345" t="str">
        <f>_xlfn.XLOOKUP(A25,'06_Resource_Plan'!$C$3:$C$136,'06_Resource_Plan'!$F$3:$F$136,"No info")</f>
        <v>No info</v>
      </c>
      <c r="D24" s="346">
        <f ca="1">_xlfn.XLOOKUP(A25,'03_BulkPack_Order'!$A$2:$A$67,'03_BulkPack_Order'!$H$2:$H$67,"No info")</f>
        <v>0</v>
      </c>
      <c r="E24" s="347">
        <f t="shared" ca="1" si="3"/>
        <v>0</v>
      </c>
      <c r="F24" s="348">
        <f ca="1">IFERROR(VLOOKUP(A25,'01_Cages_Plan'!$C$26:$E$151,3,0),"Missing info")</f>
        <v>0</v>
      </c>
      <c r="G24" s="349">
        <v>12</v>
      </c>
      <c r="I24" t="str">
        <f ca="1">IFERROR(_xludf.XLOOKUP(A24,'00_SKU_Master'!$B$2:$B$378,'00_SKU_Master'!$E$2:$E$378,""),"")</f>
        <v/>
      </c>
      <c r="J24">
        <f ca="1">IFERROR(_xludf.XLOOKUP(A24,'00_SKU_Master'!$B$2:$B$378,'00_SKU_Master'!$F$2:$F$378,0),0)</f>
        <v>0</v>
      </c>
      <c r="K24">
        <f ca="1">IFERROR(_xludf.XLOOKUP(I24,'00_Yield_Rates'!$B$2:$B$33,'00_Yield_Rates'!$E$2:$E$33,0)/100,0)</f>
        <v>0</v>
      </c>
      <c r="L24">
        <f t="shared" ca="1" si="0"/>
        <v>0</v>
      </c>
      <c r="M24">
        <f t="shared" ca="1" si="1"/>
        <v>0</v>
      </c>
      <c r="N24">
        <f t="shared" ca="1" si="2"/>
        <v>0</v>
      </c>
    </row>
    <row r="25" spans="1:14" ht="15" customHeight="1">
      <c r="A25" s="343">
        <v>2233</v>
      </c>
      <c r="B25" s="352" t="s">
        <v>669</v>
      </c>
      <c r="C25" s="345" t="str">
        <f>_xlfn.XLOOKUP(A26,'06_Resource_Plan'!$C$3:$C$136,'06_Resource_Plan'!$F$3:$F$136,"No info")</f>
        <v>No info</v>
      </c>
      <c r="D25" s="346">
        <f ca="1">_xlfn.XLOOKUP(A26,'03_BulkPack_Order'!$A$2:$A$67,'03_BulkPack_Order'!$H$2:$H$67,"No info")</f>
        <v>0</v>
      </c>
      <c r="E25" s="347">
        <f t="shared" ca="1" si="3"/>
        <v>0</v>
      </c>
      <c r="F25" s="348">
        <f ca="1">IFERROR(VLOOKUP(A26,'01_Cages_Plan'!$C$26:$E$151,3,0),"Missing info")</f>
        <v>0</v>
      </c>
      <c r="G25" s="349">
        <v>12</v>
      </c>
      <c r="I25" t="str">
        <f ca="1">IFERROR(_xludf.XLOOKUP(A25,'00_SKU_Master'!$B$2:$B$378,'00_SKU_Master'!$E$2:$E$378,""),"")</f>
        <v/>
      </c>
      <c r="J25">
        <f ca="1">IFERROR(_xludf.XLOOKUP(A25,'00_SKU_Master'!$B$2:$B$378,'00_SKU_Master'!$F$2:$F$378,0),0)</f>
        <v>0</v>
      </c>
      <c r="K25">
        <f ca="1">IFERROR(_xludf.XLOOKUP(I25,'00_Yield_Rates'!$B$2:$B$33,'00_Yield_Rates'!$E$2:$E$33,0)/100,0)</f>
        <v>0</v>
      </c>
      <c r="L25">
        <f t="shared" ca="1" si="0"/>
        <v>0</v>
      </c>
      <c r="M25">
        <f t="shared" ca="1" si="1"/>
        <v>0</v>
      </c>
      <c r="N25">
        <f t="shared" ca="1" si="2"/>
        <v>0</v>
      </c>
    </row>
    <row r="26" spans="1:14" ht="15" customHeight="1">
      <c r="A26" s="343">
        <v>1894</v>
      </c>
      <c r="B26" s="352" t="s">
        <v>670</v>
      </c>
      <c r="C26" s="345" t="str">
        <f>_xlfn.XLOOKUP(A27,'06_Resource_Plan'!$C$3:$C$136,'06_Resource_Plan'!$F$3:$F$136,"No info")</f>
        <v>No info</v>
      </c>
      <c r="D26" s="346">
        <f ca="1">_xlfn.XLOOKUP(A27,'03_BulkPack_Order'!$A$2:$A$67,'03_BulkPack_Order'!$H$2:$H$67,"No info")</f>
        <v>0</v>
      </c>
      <c r="E26" s="347">
        <f t="shared" ca="1" si="3"/>
        <v>0</v>
      </c>
      <c r="F26" s="348">
        <f ca="1">IFERROR(VLOOKUP(A27,'01_Cages_Plan'!$C$26:$E$151,3,0),"Missing info")</f>
        <v>0</v>
      </c>
      <c r="G26" s="349">
        <v>9</v>
      </c>
      <c r="I26" t="str">
        <f ca="1">IFERROR(_xludf.XLOOKUP(A26,'00_SKU_Master'!$B$2:$B$378,'00_SKU_Master'!$E$2:$E$378,""),"")</f>
        <v/>
      </c>
      <c r="J26">
        <f ca="1">IFERROR(_xludf.XLOOKUP(A26,'00_SKU_Master'!$B$2:$B$378,'00_SKU_Master'!$F$2:$F$378,0),0)</f>
        <v>0</v>
      </c>
      <c r="K26">
        <f ca="1">IFERROR(_xludf.XLOOKUP(I26,'00_Yield_Rates'!$B$2:$B$33,'00_Yield_Rates'!$E$2:$E$33,0)/100,0)</f>
        <v>0</v>
      </c>
      <c r="L26">
        <f t="shared" ca="1" si="0"/>
        <v>0</v>
      </c>
      <c r="M26">
        <f t="shared" ca="1" si="1"/>
        <v>0</v>
      </c>
      <c r="N26">
        <f t="shared" ca="1" si="2"/>
        <v>0</v>
      </c>
    </row>
    <row r="27" spans="1:14" ht="15" customHeight="1">
      <c r="A27" s="343">
        <v>2235</v>
      </c>
      <c r="B27" s="352" t="s">
        <v>671</v>
      </c>
      <c r="C27" s="345" t="str">
        <f>_xlfn.XLOOKUP(A28,'06_Resource_Plan'!$C$3:$C$136,'06_Resource_Plan'!$F$3:$F$136,"No info")</f>
        <v>No info</v>
      </c>
      <c r="D27" s="346">
        <f ca="1">_xlfn.XLOOKUP(A28,'03_BulkPack_Order'!$A$2:$A$67,'03_BulkPack_Order'!$H$2:$H$67,"No info")</f>
        <v>0</v>
      </c>
      <c r="E27" s="347">
        <f t="shared" ca="1" si="3"/>
        <v>0</v>
      </c>
      <c r="F27" s="348">
        <f ca="1">IFERROR(VLOOKUP(A28,'01_Cages_Plan'!$C$26:$E$151,3,0),"Missing info")</f>
        <v>0</v>
      </c>
      <c r="G27" s="349">
        <v>12</v>
      </c>
      <c r="I27" t="str">
        <f ca="1">IFERROR(_xludf.XLOOKUP(A27,'00_SKU_Master'!$B$2:$B$378,'00_SKU_Master'!$E$2:$E$378,""),"")</f>
        <v/>
      </c>
      <c r="J27">
        <f ca="1">IFERROR(_xludf.XLOOKUP(A27,'00_SKU_Master'!$B$2:$B$378,'00_SKU_Master'!$F$2:$F$378,0),0)</f>
        <v>0</v>
      </c>
      <c r="K27">
        <f ca="1">IFERROR(_xludf.XLOOKUP(I27,'00_Yield_Rates'!$B$2:$B$33,'00_Yield_Rates'!$E$2:$E$33,0)/100,0)</f>
        <v>0</v>
      </c>
      <c r="L27">
        <f t="shared" ca="1" si="0"/>
        <v>0</v>
      </c>
      <c r="M27">
        <f t="shared" ca="1" si="1"/>
        <v>0</v>
      </c>
      <c r="N27">
        <f t="shared" ca="1" si="2"/>
        <v>0</v>
      </c>
    </row>
    <row r="28" spans="1:14" ht="15" customHeight="1">
      <c r="A28" s="343">
        <v>2236</v>
      </c>
      <c r="B28" s="352" t="s">
        <v>672</v>
      </c>
      <c r="C28" s="345" t="str">
        <f>_xlfn.XLOOKUP(A29,'06_Resource_Plan'!$C$3:$C$136,'06_Resource_Plan'!$F$3:$F$136,"No info")</f>
        <v>No info</v>
      </c>
      <c r="D28" s="346" t="str">
        <f ca="1">_xlfn.XLOOKUP(A29,'03_BulkPack_Order'!$A$2:$A$67,'03_BulkPack_Order'!$H$2:$H$67,"No info")</f>
        <v>No info</v>
      </c>
      <c r="E28" s="347">
        <f t="shared" ca="1" si="3"/>
        <v>0</v>
      </c>
      <c r="F28" s="348" t="str">
        <f>IFERROR(VLOOKUP(A29,'01_Cages_Plan'!$C$26:$E$151,3,0),"Missing info")</f>
        <v>Missing info</v>
      </c>
      <c r="G28" s="349">
        <v>12</v>
      </c>
      <c r="I28" t="str">
        <f ca="1">IFERROR(_xludf.XLOOKUP(A28,'00_SKU_Master'!$B$2:$B$378,'00_SKU_Master'!$E$2:$E$378,""),"")</f>
        <v/>
      </c>
      <c r="J28">
        <f ca="1">IFERROR(_xludf.XLOOKUP(A28,'00_SKU_Master'!$B$2:$B$378,'00_SKU_Master'!$F$2:$F$378,0),0)</f>
        <v>0</v>
      </c>
      <c r="K28">
        <f ca="1">IFERROR(_xludf.XLOOKUP(I28,'00_Yield_Rates'!$B$2:$B$33,'00_Yield_Rates'!$E$2:$E$33,0)/100,0)</f>
        <v>0</v>
      </c>
      <c r="L28">
        <f t="shared" ca="1" si="0"/>
        <v>0</v>
      </c>
      <c r="M28">
        <f t="shared" ca="1" si="1"/>
        <v>0</v>
      </c>
      <c r="N28">
        <f t="shared" ca="1" si="2"/>
        <v>0</v>
      </c>
    </row>
    <row r="29" spans="1:14" ht="15" customHeight="1">
      <c r="A29" s="355">
        <v>7232</v>
      </c>
      <c r="B29" s="356" t="s">
        <v>673</v>
      </c>
      <c r="C29" s="357" t="str">
        <f>IFERROR(VLOOKUP(A30,'05_Daily_Orders'!$B$3:$G$295,6,0)*VLOOKUP(A30,Tray_Pack,7,0)*5,"")</f>
        <v/>
      </c>
      <c r="D29" s="346" t="str">
        <f ca="1">_xlfn.XLOOKUP(A30,'03_BulkPack_Order'!$A$2:$A$67,'03_BulkPack_Order'!$H$2:$H$67,"No info")</f>
        <v>No info</v>
      </c>
      <c r="E29" s="347">
        <f t="shared" ca="1" si="3"/>
        <v>0</v>
      </c>
      <c r="F29" s="348" t="str">
        <f>IFERROR(VLOOKUP(A30,'01_Cages_Plan'!$C$26:$E$151,3,0),"Missing info")</f>
        <v>Missing info</v>
      </c>
      <c r="G29" s="349"/>
      <c r="I29" t="str">
        <f ca="1">IFERROR(_xludf.XLOOKUP(A29,'00_SKU_Master'!$B$2:$B$378,'00_SKU_Master'!$E$2:$E$378,""),"")</f>
        <v/>
      </c>
      <c r="J29">
        <f ca="1">IFERROR(_xludf.XLOOKUP(A29,'00_SKU_Master'!$B$2:$B$378,'00_SKU_Master'!$F$2:$F$378,0),0)</f>
        <v>0</v>
      </c>
      <c r="K29">
        <f ca="1">IFERROR(_xludf.XLOOKUP(I29,'00_Yield_Rates'!$B$2:$B$33,'00_Yield_Rates'!$E$2:$E$33,0)/100,0)</f>
        <v>0</v>
      </c>
      <c r="L29">
        <f t="shared" ca="1" si="0"/>
        <v>0</v>
      </c>
      <c r="M29">
        <f t="shared" ca="1" si="1"/>
        <v>0</v>
      </c>
      <c r="N29">
        <f t="shared" ca="1" si="2"/>
        <v>0</v>
      </c>
    </row>
    <row r="30" spans="1:14" ht="15" customHeight="1">
      <c r="A30" s="355">
        <v>7233</v>
      </c>
      <c r="B30" s="356" t="s">
        <v>674</v>
      </c>
      <c r="C30" s="357" t="str">
        <f>IFERROR(VLOOKUP(A31,'05_Daily_Orders'!$B$3:$G$295,6,0)*VLOOKUP(A31,Tray_Pack,7,0)*4,"")</f>
        <v/>
      </c>
      <c r="D30" s="346" t="str">
        <f ca="1">_xlfn.XLOOKUP(A31,'03_BulkPack_Order'!$A$2:$A$67,'03_BulkPack_Order'!$H$2:$H$67,"No info")</f>
        <v>No info</v>
      </c>
      <c r="E30" s="347">
        <f t="shared" ca="1" si="3"/>
        <v>0</v>
      </c>
      <c r="F30" s="348" t="str">
        <f>IFERROR(VLOOKUP(A31,'01_Cages_Plan'!$C$26:$E$151,3,0),"Missing info")</f>
        <v>Missing info</v>
      </c>
      <c r="G30" s="349"/>
      <c r="H30" s="102"/>
      <c r="I30" t="str">
        <f ca="1">IFERROR(_xludf.XLOOKUP(A30,'00_SKU_Master'!$B$2:$B$378,'00_SKU_Master'!$E$2:$E$378,""),"")</f>
        <v/>
      </c>
      <c r="J30">
        <f ca="1">IFERROR(_xludf.XLOOKUP(A30,'00_SKU_Master'!$B$2:$B$378,'00_SKU_Master'!$F$2:$F$378,0),0)</f>
        <v>0</v>
      </c>
      <c r="K30">
        <f ca="1">IFERROR(_xludf.XLOOKUP(I30,'00_Yield_Rates'!$B$2:$B$33,'00_Yield_Rates'!$E$2:$E$33,0)/100,0)</f>
        <v>0</v>
      </c>
      <c r="L30">
        <f t="shared" ca="1" si="0"/>
        <v>0</v>
      </c>
      <c r="M30">
        <f t="shared" ca="1" si="1"/>
        <v>0</v>
      </c>
      <c r="N30">
        <f t="shared" ca="1" si="2"/>
        <v>0</v>
      </c>
    </row>
    <row r="31" spans="1:14" ht="15" customHeight="1">
      <c r="A31" s="355">
        <v>7243</v>
      </c>
      <c r="B31" s="356" t="s">
        <v>675</v>
      </c>
      <c r="C31" s="357" t="str">
        <f>IFERROR(VLOOKUP(A32,'05_Daily_Orders'!$B$3:$G$295,6,0)*VLOOKUP(A32,Tray_Pack,7,0)*10,"")</f>
        <v/>
      </c>
      <c r="D31" s="346" t="str">
        <f ca="1">_xlfn.XLOOKUP(A32,'03_BulkPack_Order'!$A$2:$A$67,'03_BulkPack_Order'!$H$2:$H$67,"No info")</f>
        <v>No info</v>
      </c>
      <c r="E31" s="347">
        <f t="shared" ca="1" si="3"/>
        <v>0</v>
      </c>
      <c r="F31" s="348" t="str">
        <f>IFERROR(VLOOKUP(A32,'01_Cages_Plan'!$C$26:$E$151,3,0),"Missing info")</f>
        <v>Missing info</v>
      </c>
      <c r="G31" s="349"/>
      <c r="I31" t="str">
        <f ca="1">IFERROR(_xludf.XLOOKUP(A31,'00_SKU_Master'!$B$2:$B$378,'00_SKU_Master'!$E$2:$E$378,""),"")</f>
        <v/>
      </c>
      <c r="J31">
        <f ca="1">IFERROR(_xludf.XLOOKUP(A31,'00_SKU_Master'!$B$2:$B$378,'00_SKU_Master'!$F$2:$F$378,0),0)</f>
        <v>0</v>
      </c>
      <c r="K31">
        <f ca="1">IFERROR(_xludf.XLOOKUP(I31,'00_Yield_Rates'!$B$2:$B$33,'00_Yield_Rates'!$E$2:$E$33,0)/100,0)</f>
        <v>0</v>
      </c>
      <c r="L31">
        <f t="shared" ca="1" si="0"/>
        <v>0</v>
      </c>
      <c r="M31">
        <f t="shared" ca="1" si="1"/>
        <v>0</v>
      </c>
      <c r="N31">
        <f t="shared" ca="1" si="2"/>
        <v>0</v>
      </c>
    </row>
    <row r="32" spans="1:14" ht="15" customHeight="1">
      <c r="A32" s="358">
        <v>7314</v>
      </c>
      <c r="B32" s="359" t="s">
        <v>676</v>
      </c>
      <c r="C32" s="360" t="str">
        <f>IFERROR(VLOOKUP(A33,'05_Daily_Orders'!$B$3:$G$295,6,0)*VLOOKUP(A33,Tray_Pack,7,0),"")</f>
        <v/>
      </c>
      <c r="D32" s="346" t="str">
        <f ca="1">_xlfn.XLOOKUP(A33,'03_BulkPack_Order'!$A$2:$A$67,'03_BulkPack_Order'!$H$2:$H$67,"No info")</f>
        <v>No info</v>
      </c>
      <c r="E32" s="347">
        <f t="shared" ca="1" si="3"/>
        <v>0</v>
      </c>
      <c r="F32" s="348" t="str">
        <f>IFERROR(VLOOKUP(A33,'01_Cages_Plan'!$C$26:$E$151,3,0),"Missing info")</f>
        <v>Missing info</v>
      </c>
      <c r="G32" s="349"/>
      <c r="I32" t="str">
        <f ca="1">IFERROR(_xludf.XLOOKUP(A32,'00_SKU_Master'!$B$2:$B$378,'00_SKU_Master'!$E$2:$E$378,""),"")</f>
        <v/>
      </c>
      <c r="J32">
        <f ca="1">IFERROR(_xludf.XLOOKUP(A32,'00_SKU_Master'!$B$2:$B$378,'00_SKU_Master'!$F$2:$F$378,0),0)</f>
        <v>0</v>
      </c>
      <c r="K32">
        <f ca="1">IFERROR(_xludf.XLOOKUP(I32,'00_Yield_Rates'!$B$2:$B$33,'00_Yield_Rates'!$E$2:$E$33,0)/100,0)</f>
        <v>0</v>
      </c>
      <c r="L32">
        <f t="shared" ca="1" si="0"/>
        <v>0</v>
      </c>
      <c r="M32">
        <f t="shared" ca="1" si="1"/>
        <v>0</v>
      </c>
      <c r="N32">
        <f t="shared" ca="1" si="2"/>
        <v>0</v>
      </c>
    </row>
    <row r="33" spans="1:14" ht="15" customHeight="1">
      <c r="A33" s="335">
        <v>7811</v>
      </c>
      <c r="B33" s="350"/>
      <c r="C33" s="345" t="str">
        <f>_xlfn.XLOOKUP(A34,'06_Resource_Plan'!$C$3:$C$136,'06_Resource_Plan'!$F$3:$F$136,"No info")</f>
        <v>No info</v>
      </c>
      <c r="D33" s="346" t="str">
        <f ca="1">_xlfn.XLOOKUP(A34,'03_BulkPack_Order'!$A$2:$A$67,'03_BulkPack_Order'!$H$2:$H$67,"No info")</f>
        <v>No info</v>
      </c>
      <c r="E33" s="347">
        <f t="shared" ca="1" si="3"/>
        <v>0</v>
      </c>
      <c r="F33" s="348" t="str">
        <f>IFERROR(VLOOKUP(A34,'01_Cages_Plan'!$C$26:$E$151,3,0),"Missing info")</f>
        <v>Missing info</v>
      </c>
      <c r="G33" s="349"/>
      <c r="I33" t="str">
        <f ca="1">IFERROR(_xludf.XLOOKUP(A33,'00_SKU_Master'!$B$2:$B$378,'00_SKU_Master'!$E$2:$E$378,""),"")</f>
        <v/>
      </c>
      <c r="J33">
        <f ca="1">IFERROR(_xludf.XLOOKUP(A33,'00_SKU_Master'!$B$2:$B$378,'00_SKU_Master'!$F$2:$F$378,0),0)</f>
        <v>0</v>
      </c>
      <c r="K33">
        <f ca="1">IFERROR(_xludf.XLOOKUP(I33,'00_Yield_Rates'!$B$2:$B$33,'00_Yield_Rates'!$E$2:$E$33,0)/100,0)</f>
        <v>0</v>
      </c>
      <c r="L33">
        <f t="shared" ca="1" si="0"/>
        <v>0</v>
      </c>
      <c r="M33">
        <f t="shared" ca="1" si="1"/>
        <v>0</v>
      </c>
      <c r="N33">
        <f t="shared" ca="1" si="2"/>
        <v>0</v>
      </c>
    </row>
    <row r="34" spans="1:14" ht="15" customHeight="1">
      <c r="A34" s="335">
        <v>7812</v>
      </c>
      <c r="B34" s="350"/>
      <c r="C34" s="345" t="str">
        <f>_xlfn.XLOOKUP(A35,'06_Resource_Plan'!$C$3:$C$136,'06_Resource_Plan'!$F$3:$F$136,"No info")</f>
        <v>No info</v>
      </c>
      <c r="D34" s="346" t="str">
        <f ca="1">_xlfn.XLOOKUP(A35,'03_BulkPack_Order'!$A$2:$A$67,'03_BulkPack_Order'!$H$2:$H$67,"No info")</f>
        <v>No info</v>
      </c>
      <c r="E34" s="347">
        <f t="shared" ca="1" si="3"/>
        <v>0</v>
      </c>
      <c r="F34" s="348" t="str">
        <f>IFERROR(VLOOKUP(A35,'01_Cages_Plan'!$C$26:$E$151,3,0),"Missing info")</f>
        <v>Missing info</v>
      </c>
      <c r="G34" s="349"/>
      <c r="I34" t="str">
        <f ca="1">IFERROR(_xludf.XLOOKUP(A34,'00_SKU_Master'!$B$2:$B$378,'00_SKU_Master'!$E$2:$E$378,""),"")</f>
        <v/>
      </c>
      <c r="J34">
        <f ca="1">IFERROR(_xludf.XLOOKUP(A34,'00_SKU_Master'!$B$2:$B$378,'00_SKU_Master'!$F$2:$F$378,0),0)</f>
        <v>0</v>
      </c>
      <c r="K34">
        <f ca="1">IFERROR(_xludf.XLOOKUP(I34,'00_Yield_Rates'!$B$2:$B$33,'00_Yield_Rates'!$E$2:$E$33,0)/100,0)</f>
        <v>0</v>
      </c>
      <c r="L34">
        <f t="shared" ref="L34:L65" ca="1" si="4">IF(AND(ISNUMBER(E34),ISNUMBER(J34)),E34*J34,0)</f>
        <v>0</v>
      </c>
      <c r="M34">
        <f t="shared" ref="M34:M65" ca="1" si="5">IF(AND(ISNUMBER(L34),K34&gt;0),L34/K34,0)</f>
        <v>0</v>
      </c>
      <c r="N34">
        <f t="shared" ref="N34:N65" ca="1" si="6">IF(M34&gt;0,ROUNDUP(M34/680,1),0)</f>
        <v>0</v>
      </c>
    </row>
    <row r="35" spans="1:14" ht="15" customHeight="1">
      <c r="A35" s="335">
        <v>7813</v>
      </c>
      <c r="B35" s="350"/>
      <c r="C35" s="345" t="str">
        <f>_xlfn.XLOOKUP(A36,'06_Resource_Plan'!$C$3:$C$136,'06_Resource_Plan'!$F$3:$F$136,"No info")</f>
        <v>No info</v>
      </c>
      <c r="D35" s="346" t="str">
        <f ca="1">_xlfn.XLOOKUP(A36,'03_BulkPack_Order'!$A$2:$A$67,'03_BulkPack_Order'!$H$2:$H$67,"No info")</f>
        <v>No info</v>
      </c>
      <c r="E35" s="347">
        <f t="shared" ca="1" si="3"/>
        <v>0</v>
      </c>
      <c r="F35" s="348" t="str">
        <f>IFERROR(VLOOKUP(A36,'01_Cages_Plan'!$C$26:$E$151,3,0),"Missing info")</f>
        <v>Missing info</v>
      </c>
      <c r="G35" s="349"/>
      <c r="I35" t="str">
        <f ca="1">IFERROR(_xludf.XLOOKUP(A35,'00_SKU_Master'!$B$2:$B$378,'00_SKU_Master'!$E$2:$E$378,""),"")</f>
        <v/>
      </c>
      <c r="J35">
        <f ca="1">IFERROR(_xludf.XLOOKUP(A35,'00_SKU_Master'!$B$2:$B$378,'00_SKU_Master'!$F$2:$F$378,0),0)</f>
        <v>0</v>
      </c>
      <c r="K35">
        <f ca="1">IFERROR(_xludf.XLOOKUP(I35,'00_Yield_Rates'!$B$2:$B$33,'00_Yield_Rates'!$E$2:$E$33,0)/100,0)</f>
        <v>0</v>
      </c>
      <c r="L35">
        <f t="shared" ca="1" si="4"/>
        <v>0</v>
      </c>
      <c r="M35">
        <f t="shared" ca="1" si="5"/>
        <v>0</v>
      </c>
      <c r="N35">
        <f t="shared" ca="1" si="6"/>
        <v>0</v>
      </c>
    </row>
    <row r="36" spans="1:14" ht="15" customHeight="1">
      <c r="A36" s="355">
        <v>7814</v>
      </c>
      <c r="B36" s="356" t="s">
        <v>677</v>
      </c>
      <c r="C36" s="357" t="str">
        <f>IFERROR(VLOOKUP(A37,'05_Daily_Orders'!$B$3:$G$295,6,0)*VLOOKUP(A37,Tray_Pack,7,0)*4,"")</f>
        <v/>
      </c>
      <c r="D36" s="346" t="str">
        <f ca="1">_xlfn.XLOOKUP(A37,'03_BulkPack_Order'!$A$2:$A$67,'03_BulkPack_Order'!$H$2:$H$67,"No info")</f>
        <v>No info</v>
      </c>
      <c r="E36" s="347">
        <f t="shared" ca="1" si="3"/>
        <v>0</v>
      </c>
      <c r="F36" s="348" t="str">
        <f>IFERROR(VLOOKUP(A37,'01_Cages_Plan'!$C$26:$E$151,3,0),"Missing info")</f>
        <v>Missing info</v>
      </c>
      <c r="G36" s="349"/>
      <c r="I36" t="str">
        <f ca="1">IFERROR(_xludf.XLOOKUP(A36,'00_SKU_Master'!$B$2:$B$378,'00_SKU_Master'!$E$2:$E$378,""),"")</f>
        <v/>
      </c>
      <c r="J36">
        <f ca="1">IFERROR(_xludf.XLOOKUP(A36,'00_SKU_Master'!$B$2:$B$378,'00_SKU_Master'!$F$2:$F$378,0),0)</f>
        <v>0</v>
      </c>
      <c r="K36">
        <f ca="1">IFERROR(_xludf.XLOOKUP(I36,'00_Yield_Rates'!$B$2:$B$33,'00_Yield_Rates'!$E$2:$E$33,0)/100,0)</f>
        <v>0</v>
      </c>
      <c r="L36">
        <f t="shared" ca="1" si="4"/>
        <v>0</v>
      </c>
      <c r="M36">
        <f t="shared" ca="1" si="5"/>
        <v>0</v>
      </c>
      <c r="N36">
        <f t="shared" ca="1" si="6"/>
        <v>0</v>
      </c>
    </row>
    <row r="37" spans="1:14" ht="15" customHeight="1">
      <c r="A37" s="335">
        <v>40838</v>
      </c>
      <c r="B37" s="350" t="s">
        <v>678</v>
      </c>
      <c r="C37" s="345" t="str">
        <f>_xlfn.XLOOKUP(A38,'06_Resource_Plan'!$C$3:$C$136,'06_Resource_Plan'!$F$3:$F$136,"No info")</f>
        <v>No info</v>
      </c>
      <c r="D37" s="346" t="str">
        <f ca="1">_xlfn.XLOOKUP(A38,'03_BulkPack_Order'!$A$2:$A$67,'03_BulkPack_Order'!$H$2:$H$67,"No info")</f>
        <v>No info</v>
      </c>
      <c r="E37" s="347">
        <f t="shared" ca="1" si="3"/>
        <v>0</v>
      </c>
      <c r="F37" s="348">
        <f ca="1">IFERROR(VLOOKUP(A38,'01_Cages_Plan'!$C$26:$E$151,3,0),"Missing info")</f>
        <v>0</v>
      </c>
      <c r="G37" s="349">
        <v>365</v>
      </c>
      <c r="I37" t="str">
        <f ca="1">IFERROR(_xludf.XLOOKUP(A37,'00_SKU_Master'!$B$2:$B$378,'00_SKU_Master'!$E$2:$E$378,""),"")</f>
        <v/>
      </c>
      <c r="J37">
        <f ca="1">IFERROR(_xludf.XLOOKUP(A37,'00_SKU_Master'!$B$2:$B$378,'00_SKU_Master'!$F$2:$F$378,0),0)</f>
        <v>0</v>
      </c>
      <c r="K37">
        <f ca="1">IFERROR(_xludf.XLOOKUP(I37,'00_Yield_Rates'!$B$2:$B$33,'00_Yield_Rates'!$E$2:$E$33,0)/100,0)</f>
        <v>0</v>
      </c>
      <c r="L37">
        <f t="shared" ca="1" si="4"/>
        <v>0</v>
      </c>
      <c r="M37">
        <f t="shared" ca="1" si="5"/>
        <v>0</v>
      </c>
      <c r="N37">
        <f t="shared" ca="1" si="6"/>
        <v>0</v>
      </c>
    </row>
    <row r="38" spans="1:14" ht="15" customHeight="1">
      <c r="A38" s="361">
        <v>61010</v>
      </c>
      <c r="B38" s="362" t="s">
        <v>679</v>
      </c>
      <c r="C38" s="363">
        <f>_xlfn.XLOOKUP(A39,'06_Resource_Plan'!$C$3:$C$136,'06_Resource_Plan'!$F$3:$F$136,"No info")</f>
        <v>0</v>
      </c>
      <c r="D38" s="346" t="str">
        <f ca="1">_xlfn.XLOOKUP(A39,'03_BulkPack_Order'!$A$2:$A$67,'03_BulkPack_Order'!$H$2:$H$67,"No info")</f>
        <v>No info</v>
      </c>
      <c r="E38" s="347">
        <f t="shared" ca="1" si="3"/>
        <v>0</v>
      </c>
      <c r="F38" s="364">
        <f ca="1">IFERROR(VLOOKUP(A39,'01_Cages_Plan'!$C$26:$E$151,3,0),"Missing info")</f>
        <v>0</v>
      </c>
      <c r="G38" s="349"/>
      <c r="I38" t="str">
        <f ca="1">IFERROR(_xludf.XLOOKUP(A38,'00_SKU_Master'!$B$2:$B$378,'00_SKU_Master'!$E$2:$E$378,""),"")</f>
        <v/>
      </c>
      <c r="J38">
        <f ca="1">IFERROR(_xludf.XLOOKUP(A38,'00_SKU_Master'!$B$2:$B$378,'00_SKU_Master'!$F$2:$F$378,0),0)</f>
        <v>0</v>
      </c>
      <c r="K38">
        <f ca="1">IFERROR(_xludf.XLOOKUP(I38,'00_Yield_Rates'!$B$2:$B$33,'00_Yield_Rates'!$E$2:$E$33,0)/100,0)</f>
        <v>0</v>
      </c>
      <c r="L38">
        <f t="shared" ca="1" si="4"/>
        <v>0</v>
      </c>
      <c r="M38">
        <f t="shared" ca="1" si="5"/>
        <v>0</v>
      </c>
      <c r="N38">
        <f t="shared" ca="1" si="6"/>
        <v>0</v>
      </c>
    </row>
    <row r="39" spans="1:14" ht="15" customHeight="1">
      <c r="A39" s="343">
        <v>61014</v>
      </c>
      <c r="B39" s="352" t="s">
        <v>680</v>
      </c>
      <c r="C39" s="345" t="str">
        <f>_xlfn.XLOOKUP(A40,'06_Resource_Plan'!$C$3:$C$136,'06_Resource_Plan'!$F$3:$F$136,"No info")</f>
        <v>No info</v>
      </c>
      <c r="D39" s="346" t="str">
        <f ca="1">_xlfn.XLOOKUP(A40,'03_BulkPack_Order'!$A$2:$A$67,'03_BulkPack_Order'!$H$2:$H$67,"No info")</f>
        <v>No info</v>
      </c>
      <c r="E39" s="347">
        <f t="shared" ca="1" si="3"/>
        <v>0</v>
      </c>
      <c r="F39" s="348">
        <f ca="1">IFERROR(VLOOKUP(A40,'01_Cages_Plan'!$C$26:$E$151,3,0),"Missing info")</f>
        <v>0</v>
      </c>
      <c r="G39" s="349"/>
      <c r="I39" t="str">
        <f ca="1">IFERROR(_xludf.XLOOKUP(A39,'00_SKU_Master'!$B$2:$B$378,'00_SKU_Master'!$E$2:$E$378,""),"")</f>
        <v/>
      </c>
      <c r="J39">
        <f ca="1">IFERROR(_xludf.XLOOKUP(A39,'00_SKU_Master'!$B$2:$B$378,'00_SKU_Master'!$F$2:$F$378,0),0)</f>
        <v>0</v>
      </c>
      <c r="K39">
        <f ca="1">IFERROR(_xludf.XLOOKUP(I39,'00_Yield_Rates'!$B$2:$B$33,'00_Yield_Rates'!$E$2:$E$33,0)/100,0)</f>
        <v>0</v>
      </c>
      <c r="L39">
        <f t="shared" ca="1" si="4"/>
        <v>0</v>
      </c>
      <c r="M39">
        <f t="shared" ca="1" si="5"/>
        <v>0</v>
      </c>
      <c r="N39">
        <f t="shared" ca="1" si="6"/>
        <v>0</v>
      </c>
    </row>
    <row r="40" spans="1:14" ht="15" customHeight="1">
      <c r="A40" s="343">
        <v>61016</v>
      </c>
      <c r="B40" s="352" t="s">
        <v>681</v>
      </c>
      <c r="C40" s="345">
        <f>_xlfn.XLOOKUP(A41,'06_Resource_Plan'!$C$3:$C$136,'06_Resource_Plan'!$F$3:$F$136,"No info")</f>
        <v>0</v>
      </c>
      <c r="D40" s="346" t="str">
        <f ca="1">_xlfn.XLOOKUP(A41,'03_BulkPack_Order'!$A$2:$A$67,'03_BulkPack_Order'!$H$2:$H$67,"No info")</f>
        <v>No info</v>
      </c>
      <c r="E40" s="347">
        <f t="shared" ca="1" si="3"/>
        <v>0</v>
      </c>
      <c r="F40" s="348">
        <f ca="1">IFERROR(VLOOKUP(A41,'01_Cages_Plan'!$C$26:$E$151,3,0),"Missing info")</f>
        <v>0</v>
      </c>
      <c r="G40" s="349"/>
      <c r="I40" t="str">
        <f ca="1">IFERROR(_xludf.XLOOKUP(A40,'00_SKU_Master'!$B$2:$B$378,'00_SKU_Master'!$E$2:$E$378,""),"")</f>
        <v/>
      </c>
      <c r="J40">
        <f ca="1">IFERROR(_xludf.XLOOKUP(A40,'00_SKU_Master'!$B$2:$B$378,'00_SKU_Master'!$F$2:$F$378,0),0)</f>
        <v>0</v>
      </c>
      <c r="K40">
        <f ca="1">IFERROR(_xludf.XLOOKUP(I40,'00_Yield_Rates'!$B$2:$B$33,'00_Yield_Rates'!$E$2:$E$33,0)/100,0)</f>
        <v>0</v>
      </c>
      <c r="L40">
        <f t="shared" ca="1" si="4"/>
        <v>0</v>
      </c>
      <c r="M40">
        <f t="shared" ca="1" si="5"/>
        <v>0</v>
      </c>
      <c r="N40">
        <f t="shared" ca="1" si="6"/>
        <v>0</v>
      </c>
    </row>
    <row r="41" spans="1:14" ht="15" customHeight="1">
      <c r="A41" s="361" t="s">
        <v>100</v>
      </c>
      <c r="B41" s="362" t="s">
        <v>682</v>
      </c>
      <c r="C41" s="363" t="str">
        <f>_xlfn.XLOOKUP(A42,'06_Resource_Plan'!$C$3:$C$136,'06_Resource_Plan'!$F$3:$F$136,"No info")</f>
        <v>No info</v>
      </c>
      <c r="D41" s="346" t="str">
        <f ca="1">_xlfn.XLOOKUP(A42,'03_BulkPack_Order'!$A$2:$A$67,'03_BulkPack_Order'!$H$2:$H$67,"No info")</f>
        <v>No info</v>
      </c>
      <c r="E41" s="347">
        <f t="shared" ca="1" si="3"/>
        <v>0</v>
      </c>
      <c r="F41" s="364">
        <f ca="1">IFERROR(VLOOKUP(A42,'01_Cages_Plan'!$C$26:$E$151,3,0),"Missing info")</f>
        <v>0</v>
      </c>
      <c r="G41" s="349"/>
      <c r="I41" t="str">
        <f ca="1">IFERROR(_xludf.XLOOKUP(A41,'00_SKU_Master'!$B$2:$B$378,'00_SKU_Master'!$E$2:$E$378,""),"")</f>
        <v/>
      </c>
      <c r="J41">
        <f ca="1">IFERROR(_xludf.XLOOKUP(A41,'00_SKU_Master'!$B$2:$B$378,'00_SKU_Master'!$F$2:$F$378,0),0)</f>
        <v>0</v>
      </c>
      <c r="K41">
        <f ca="1">IFERROR(_xludf.XLOOKUP(I41,'00_Yield_Rates'!$B$2:$B$33,'00_Yield_Rates'!$E$2:$E$33,0)/100,0)</f>
        <v>0</v>
      </c>
      <c r="L41">
        <f t="shared" ca="1" si="4"/>
        <v>0</v>
      </c>
      <c r="M41">
        <f t="shared" ca="1" si="5"/>
        <v>0</v>
      </c>
      <c r="N41">
        <f t="shared" ca="1" si="6"/>
        <v>0</v>
      </c>
    </row>
    <row r="42" spans="1:14" ht="15" customHeight="1">
      <c r="A42" s="343">
        <v>61042</v>
      </c>
      <c r="B42" s="352" t="s">
        <v>683</v>
      </c>
      <c r="C42" s="345" t="str">
        <f>_xlfn.XLOOKUP(A43,'06_Resource_Plan'!$C$3:$C$136,'06_Resource_Plan'!$F$3:$F$136,"No info")</f>
        <v>No info</v>
      </c>
      <c r="D42" s="346" t="str">
        <f ca="1">_xlfn.XLOOKUP(A43,'03_BulkPack_Order'!$A$2:$A$67,'03_BulkPack_Order'!$H$2:$H$67,"No info")</f>
        <v>No info</v>
      </c>
      <c r="E42" s="347">
        <f t="shared" ca="1" si="3"/>
        <v>0</v>
      </c>
      <c r="F42" s="348">
        <f ca="1">IFERROR(VLOOKUP(A43,'01_Cages_Plan'!$C$26:$E$151,3,0),"Missing info")</f>
        <v>-127</v>
      </c>
      <c r="G42" s="349"/>
      <c r="I42" t="str">
        <f ca="1">IFERROR(_xludf.XLOOKUP(A42,'00_SKU_Master'!$B$2:$B$378,'00_SKU_Master'!$E$2:$E$378,""),"")</f>
        <v/>
      </c>
      <c r="J42">
        <f ca="1">IFERROR(_xludf.XLOOKUP(A42,'00_SKU_Master'!$B$2:$B$378,'00_SKU_Master'!$F$2:$F$378,0),0)</f>
        <v>0</v>
      </c>
      <c r="K42">
        <f ca="1">IFERROR(_xludf.XLOOKUP(I42,'00_Yield_Rates'!$B$2:$B$33,'00_Yield_Rates'!$E$2:$E$33,0)/100,0)</f>
        <v>0</v>
      </c>
      <c r="L42">
        <f t="shared" ca="1" si="4"/>
        <v>0</v>
      </c>
      <c r="M42">
        <f t="shared" ca="1" si="5"/>
        <v>0</v>
      </c>
      <c r="N42">
        <f t="shared" ca="1" si="6"/>
        <v>0</v>
      </c>
    </row>
    <row r="43" spans="1:14" ht="15" customHeight="1">
      <c r="A43" s="361">
        <v>61048</v>
      </c>
      <c r="B43" s="362" t="s">
        <v>684</v>
      </c>
      <c r="C43" s="363">
        <f>_xlfn.XLOOKUP(A44,'06_Resource_Plan'!$C$3:$C$136,'06_Resource_Plan'!$F$3:$F$136,"No info")</f>
        <v>-127</v>
      </c>
      <c r="D43" s="346" t="str">
        <f ca="1">_xlfn.XLOOKUP(A44,'03_BulkPack_Order'!$A$2:$A$67,'03_BulkPack_Order'!$H$2:$H$67,"No info")</f>
        <v>No info</v>
      </c>
      <c r="E43" s="347">
        <f t="shared" ca="1" si="3"/>
        <v>-127</v>
      </c>
      <c r="F43" s="364">
        <f ca="1">IFERROR(VLOOKUP(A44,'01_Cages_Plan'!$C$26:$E$151,3,0),"Missing info")</f>
        <v>0</v>
      </c>
      <c r="G43" s="349"/>
      <c r="I43" t="str">
        <f ca="1">IFERROR(_xludf.XLOOKUP(A43,'00_SKU_Master'!$B$2:$B$378,'00_SKU_Master'!$E$2:$E$378,""),"")</f>
        <v/>
      </c>
      <c r="J43">
        <f ca="1">IFERROR(_xludf.XLOOKUP(A43,'00_SKU_Master'!$B$2:$B$378,'00_SKU_Master'!$F$2:$F$378,0),0)</f>
        <v>0</v>
      </c>
      <c r="K43">
        <f ca="1">IFERROR(_xludf.XLOOKUP(I43,'00_Yield_Rates'!$B$2:$B$33,'00_Yield_Rates'!$E$2:$E$33,0)/100,0)</f>
        <v>0</v>
      </c>
      <c r="L43">
        <f t="shared" ca="1" si="4"/>
        <v>0</v>
      </c>
      <c r="M43">
        <f t="shared" ca="1" si="5"/>
        <v>0</v>
      </c>
      <c r="N43">
        <f t="shared" ca="1" si="6"/>
        <v>0</v>
      </c>
    </row>
    <row r="44" spans="1:14" ht="15" customHeight="1">
      <c r="A44" s="361" t="s">
        <v>101</v>
      </c>
      <c r="B44" s="362" t="s">
        <v>684</v>
      </c>
      <c r="C44" s="363" t="str">
        <f>_xlfn.XLOOKUP(A45,'06_Resource_Plan'!$C$3:$C$136,'06_Resource_Plan'!$F$3:$F$136,"No info")</f>
        <v>No info</v>
      </c>
      <c r="D44" s="346" t="str">
        <f ca="1">_xlfn.XLOOKUP(A45,'03_BulkPack_Order'!$A$2:$A$67,'03_BulkPack_Order'!$H$2:$H$67,"No info")</f>
        <v>No info</v>
      </c>
      <c r="E44" s="347">
        <f t="shared" ca="1" si="3"/>
        <v>0</v>
      </c>
      <c r="F44" s="364">
        <f ca="1">IFERROR(VLOOKUP(A45,'01_Cages_Plan'!$C$26:$E$151,3,0),"Missing info")</f>
        <v>0</v>
      </c>
      <c r="G44" s="349"/>
      <c r="I44" t="str">
        <f ca="1">IFERROR(_xludf.XLOOKUP(A44,'00_SKU_Master'!$B$2:$B$378,'00_SKU_Master'!$E$2:$E$378,""),"")</f>
        <v/>
      </c>
      <c r="J44">
        <f ca="1">IFERROR(_xludf.XLOOKUP(A44,'00_SKU_Master'!$B$2:$B$378,'00_SKU_Master'!$F$2:$F$378,0),0)</f>
        <v>0</v>
      </c>
      <c r="K44">
        <f ca="1">IFERROR(_xludf.XLOOKUP(I44,'00_Yield_Rates'!$B$2:$B$33,'00_Yield_Rates'!$E$2:$E$33,0)/100,0)</f>
        <v>0</v>
      </c>
      <c r="L44">
        <f t="shared" ca="1" si="4"/>
        <v>0</v>
      </c>
      <c r="M44">
        <f t="shared" ca="1" si="5"/>
        <v>0</v>
      </c>
      <c r="N44">
        <f t="shared" ca="1" si="6"/>
        <v>0</v>
      </c>
    </row>
    <row r="45" spans="1:14" ht="15" customHeight="1">
      <c r="A45" s="343">
        <v>61049</v>
      </c>
      <c r="B45" s="352" t="s">
        <v>685</v>
      </c>
      <c r="C45" s="363">
        <f>_xlfn.XLOOKUP(A46,'06_Resource_Plan'!$C$3:$C$136,'06_Resource_Plan'!$F$3:$F$136,"No info")</f>
        <v>0</v>
      </c>
      <c r="D45" s="346" t="str">
        <f ca="1">_xlfn.XLOOKUP(A46,'03_BulkPack_Order'!$A$2:$A$67,'03_BulkPack_Order'!$H$2:$H$67,"No info")</f>
        <v>No info</v>
      </c>
      <c r="E45" s="347">
        <f t="shared" ca="1" si="3"/>
        <v>0</v>
      </c>
      <c r="F45" s="348">
        <f ca="1">IFERROR(VLOOKUP(A46,'01_Cages_Plan'!$C$26:$E$151,3,0),"Missing info")</f>
        <v>0</v>
      </c>
      <c r="G45" s="349"/>
      <c r="I45" t="str">
        <f ca="1">IFERROR(_xludf.XLOOKUP(A45,'00_SKU_Master'!$B$2:$B$378,'00_SKU_Master'!$E$2:$E$378,""),"")</f>
        <v/>
      </c>
      <c r="J45">
        <f ca="1">IFERROR(_xludf.XLOOKUP(A45,'00_SKU_Master'!$B$2:$B$378,'00_SKU_Master'!$F$2:$F$378,0),0)</f>
        <v>0</v>
      </c>
      <c r="K45">
        <f ca="1">IFERROR(_xludf.XLOOKUP(I45,'00_Yield_Rates'!$B$2:$B$33,'00_Yield_Rates'!$E$2:$E$33,0)/100,0)</f>
        <v>0</v>
      </c>
      <c r="L45">
        <f t="shared" ca="1" si="4"/>
        <v>0</v>
      </c>
      <c r="M45">
        <f t="shared" ca="1" si="5"/>
        <v>0</v>
      </c>
      <c r="N45">
        <f t="shared" ca="1" si="6"/>
        <v>0</v>
      </c>
    </row>
    <row r="46" spans="1:14" ht="15" customHeight="1">
      <c r="A46" s="343">
        <v>61050</v>
      </c>
      <c r="B46" s="352" t="s">
        <v>686</v>
      </c>
      <c r="C46" s="345" t="str">
        <f>_xlfn.XLOOKUP(A47,'06_Resource_Plan'!$C$3:$C$136,'06_Resource_Plan'!$F$3:$F$136,"No info")</f>
        <v>No info</v>
      </c>
      <c r="D46" s="346" t="str">
        <f ca="1">_xlfn.XLOOKUP(A47,'03_BulkPack_Order'!$A$2:$A$67,'03_BulkPack_Order'!$H$2:$H$67,"No info")</f>
        <v>No info</v>
      </c>
      <c r="E46" s="347">
        <f t="shared" ca="1" si="3"/>
        <v>0</v>
      </c>
      <c r="F46" s="348">
        <f ca="1">IFERROR(VLOOKUP(A47,'01_Cages_Plan'!$C$26:$E$151,3,0),"Missing info")</f>
        <v>0</v>
      </c>
      <c r="G46" s="349"/>
      <c r="I46" t="str">
        <f ca="1">IFERROR(_xludf.XLOOKUP(A46,'00_SKU_Master'!$B$2:$B$378,'00_SKU_Master'!$E$2:$E$378,""),"")</f>
        <v/>
      </c>
      <c r="J46">
        <f ca="1">IFERROR(_xludf.XLOOKUP(A46,'00_SKU_Master'!$B$2:$B$378,'00_SKU_Master'!$F$2:$F$378,0),0)</f>
        <v>0</v>
      </c>
      <c r="K46">
        <f ca="1">IFERROR(_xludf.XLOOKUP(I46,'00_Yield_Rates'!$B$2:$B$33,'00_Yield_Rates'!$E$2:$E$33,0)/100,0)</f>
        <v>0</v>
      </c>
      <c r="L46">
        <f t="shared" ca="1" si="4"/>
        <v>0</v>
      </c>
      <c r="M46">
        <f t="shared" ca="1" si="5"/>
        <v>0</v>
      </c>
      <c r="N46">
        <f t="shared" ca="1" si="6"/>
        <v>0</v>
      </c>
    </row>
    <row r="47" spans="1:14" ht="25.05" customHeight="1">
      <c r="A47" s="343">
        <v>61051</v>
      </c>
      <c r="B47" s="352" t="s">
        <v>687</v>
      </c>
      <c r="C47" s="345">
        <f>_xlfn.XLOOKUP(A48,'06_Resource_Plan'!$C$3:$C$136,'06_Resource_Plan'!$F$3:$F$136,"No info")</f>
        <v>0</v>
      </c>
      <c r="D47" s="346" t="str">
        <f ca="1">_xlfn.XLOOKUP(A48,'03_BulkPack_Order'!$A$2:$A$67,'03_BulkPack_Order'!$H$2:$H$67,"No info")</f>
        <v>No info</v>
      </c>
      <c r="E47" s="347">
        <f t="shared" ca="1" si="3"/>
        <v>0</v>
      </c>
      <c r="F47" s="348" t="str">
        <f>IFERROR(VLOOKUP(A48,'01_Cages_Plan'!$C$26:$E$151,3,0),"Missing info")</f>
        <v>Missing info</v>
      </c>
      <c r="G47" s="349"/>
      <c r="I47" t="str">
        <f ca="1">IFERROR(_xludf.XLOOKUP(A47,'00_SKU_Master'!$B$2:$B$378,'00_SKU_Master'!$E$2:$E$378,""),"")</f>
        <v/>
      </c>
      <c r="J47">
        <f ca="1">IFERROR(_xludf.XLOOKUP(A47,'00_SKU_Master'!$B$2:$B$378,'00_SKU_Master'!$F$2:$F$378,0),0)</f>
        <v>0</v>
      </c>
      <c r="K47">
        <f ca="1">IFERROR(_xludf.XLOOKUP(I47,'00_Yield_Rates'!$B$2:$B$33,'00_Yield_Rates'!$E$2:$E$33,0)/100,0)</f>
        <v>0</v>
      </c>
      <c r="L47">
        <f t="shared" ca="1" si="4"/>
        <v>0</v>
      </c>
      <c r="M47">
        <f t="shared" ca="1" si="5"/>
        <v>0</v>
      </c>
      <c r="N47">
        <f t="shared" ca="1" si="6"/>
        <v>0</v>
      </c>
    </row>
    <row r="48" spans="1:14" ht="15" customHeight="1">
      <c r="A48" s="343">
        <v>61054</v>
      </c>
      <c r="B48" s="352"/>
      <c r="C48" s="345">
        <f>_xlfn.XLOOKUP(A49,'06_Resource_Plan'!$C$3:$C$136,'06_Resource_Plan'!$F$3:$F$136,"No info")</f>
        <v>0</v>
      </c>
      <c r="D48" s="346" t="str">
        <f ca="1">_xlfn.XLOOKUP(A49,'03_BulkPack_Order'!$A$2:$A$67,'03_BulkPack_Order'!$H$2:$H$67,"No info")</f>
        <v>No info</v>
      </c>
      <c r="E48" s="347">
        <f t="shared" ca="1" si="3"/>
        <v>0</v>
      </c>
      <c r="F48" s="348">
        <f>IFERROR(VLOOKUP(A49,'01_Cages_Plan'!$C$26:$E$151,3,0),"Missing info")</f>
        <v>4</v>
      </c>
      <c r="G48" s="349"/>
      <c r="I48" t="str">
        <f ca="1">IFERROR(_xludf.XLOOKUP(A48,'00_SKU_Master'!$B$2:$B$378,'00_SKU_Master'!$E$2:$E$378,""),"")</f>
        <v/>
      </c>
      <c r="J48">
        <f ca="1">IFERROR(_xludf.XLOOKUP(A48,'00_SKU_Master'!$B$2:$B$378,'00_SKU_Master'!$F$2:$F$378,0),0)</f>
        <v>0</v>
      </c>
      <c r="K48">
        <f ca="1">IFERROR(_xludf.XLOOKUP(I48,'00_Yield_Rates'!$B$2:$B$33,'00_Yield_Rates'!$E$2:$E$33,0)/100,0)</f>
        <v>0</v>
      </c>
      <c r="L48">
        <f t="shared" ca="1" si="4"/>
        <v>0</v>
      </c>
      <c r="M48">
        <f t="shared" ca="1" si="5"/>
        <v>0</v>
      </c>
      <c r="N48">
        <f t="shared" ca="1" si="6"/>
        <v>0</v>
      </c>
    </row>
    <row r="49" spans="1:14" ht="15" customHeight="1">
      <c r="A49" s="361">
        <v>61061</v>
      </c>
      <c r="B49" s="362" t="s">
        <v>688</v>
      </c>
      <c r="C49" s="363">
        <f>_xlfn.XLOOKUP(A50,'06_Resource_Plan'!$C$3:$C$136,'06_Resource_Plan'!$F$3:$F$136,"No info")</f>
        <v>0</v>
      </c>
      <c r="D49" s="346">
        <f>_xlfn.XLOOKUP(A50,'03_BulkPack_Order'!$A$2:$A$67,'03_BulkPack_Order'!$H$2:$H$67,"No info")</f>
        <v>4</v>
      </c>
      <c r="E49" s="347">
        <f t="shared" si="3"/>
        <v>4</v>
      </c>
      <c r="F49" s="364">
        <f ca="1">IFERROR(VLOOKUP(A50,'01_Cages_Plan'!$C$26:$E$151,3,0),"Missing info")</f>
        <v>-2</v>
      </c>
      <c r="G49" s="349"/>
      <c r="I49" t="str">
        <f ca="1">IFERROR(_xludf.XLOOKUP(A49,'00_SKU_Master'!$B$2:$B$378,'00_SKU_Master'!$E$2:$E$378,""),"")</f>
        <v/>
      </c>
      <c r="J49">
        <f ca="1">IFERROR(_xludf.XLOOKUP(A49,'00_SKU_Master'!$B$2:$B$378,'00_SKU_Master'!$F$2:$F$378,0),0)</f>
        <v>0</v>
      </c>
      <c r="K49">
        <f ca="1">IFERROR(_xludf.XLOOKUP(I49,'00_Yield_Rates'!$B$2:$B$33,'00_Yield_Rates'!$E$2:$E$33,0)/100,0)</f>
        <v>0</v>
      </c>
      <c r="L49">
        <f t="shared" ca="1" si="4"/>
        <v>0</v>
      </c>
      <c r="M49">
        <f t="shared" ca="1" si="5"/>
        <v>0</v>
      </c>
      <c r="N49">
        <f t="shared" ca="1" si="6"/>
        <v>0</v>
      </c>
    </row>
    <row r="50" spans="1:14" ht="15" customHeight="1">
      <c r="A50" s="343">
        <v>61062</v>
      </c>
      <c r="B50" s="352" t="s">
        <v>689</v>
      </c>
      <c r="C50" s="345">
        <f>_xlfn.XLOOKUP(A51,'06_Resource_Plan'!$C$3:$C$136,'06_Resource_Plan'!$F$3:$F$136,"No info")</f>
        <v>-2</v>
      </c>
      <c r="D50" s="346" t="str">
        <f ca="1">_xlfn.XLOOKUP(A51,'03_BulkPack_Order'!$A$2:$A$67,'03_BulkPack_Order'!$H$2:$H$67,"No info")</f>
        <v>No info</v>
      </c>
      <c r="E50" s="347">
        <f t="shared" ca="1" si="3"/>
        <v>-2</v>
      </c>
      <c r="F50" s="348">
        <f ca="1">IFERROR(VLOOKUP(A51,'01_Cages_Plan'!$C$26:$E$151,3,0),"Missing info")</f>
        <v>0</v>
      </c>
      <c r="G50" s="349"/>
      <c r="I50" t="str">
        <f ca="1">IFERROR(_xludf.XLOOKUP(A50,'00_SKU_Master'!$B$2:$B$378,'00_SKU_Master'!$E$2:$E$378,""),"")</f>
        <v/>
      </c>
      <c r="J50">
        <f ca="1">IFERROR(_xludf.XLOOKUP(A50,'00_SKU_Master'!$B$2:$B$378,'00_SKU_Master'!$F$2:$F$378,0),0)</f>
        <v>0</v>
      </c>
      <c r="K50">
        <f ca="1">IFERROR(_xludf.XLOOKUP(I50,'00_Yield_Rates'!$B$2:$B$33,'00_Yield_Rates'!$E$2:$E$33,0)/100,0)</f>
        <v>0</v>
      </c>
      <c r="L50">
        <f t="shared" ca="1" si="4"/>
        <v>0</v>
      </c>
      <c r="M50">
        <f t="shared" ca="1" si="5"/>
        <v>0</v>
      </c>
      <c r="N50">
        <f t="shared" ca="1" si="6"/>
        <v>0</v>
      </c>
    </row>
    <row r="51" spans="1:14" ht="15" customHeight="1">
      <c r="A51" s="343">
        <v>61052</v>
      </c>
      <c r="B51" s="352">
        <v>61052</v>
      </c>
      <c r="C51" s="345" t="str">
        <f>_xlfn.XLOOKUP(A52,'06_Resource_Plan'!$C$3:$C$136,'06_Resource_Plan'!$F$3:$F$136,"No info")</f>
        <v>No info</v>
      </c>
      <c r="D51" s="346" t="str">
        <f ca="1">_xlfn.XLOOKUP(A52,'03_BulkPack_Order'!$A$2:$A$67,'03_BulkPack_Order'!$H$2:$H$67,"No info")</f>
        <v>No info</v>
      </c>
      <c r="E51" s="347">
        <f t="shared" ca="1" si="3"/>
        <v>0</v>
      </c>
      <c r="F51" s="348">
        <f ca="1">IFERROR(VLOOKUP(A52,'01_Cages_Plan'!$C$26:$E$151,3,0),"Missing info")</f>
        <v>0</v>
      </c>
      <c r="G51" s="349"/>
      <c r="I51" t="str">
        <f ca="1">IFERROR(_xludf.XLOOKUP(A51,'00_SKU_Master'!$B$2:$B$378,'00_SKU_Master'!$E$2:$E$378,""),"")</f>
        <v/>
      </c>
      <c r="J51">
        <f ca="1">IFERROR(_xludf.XLOOKUP(A51,'00_SKU_Master'!$B$2:$B$378,'00_SKU_Master'!$F$2:$F$378,0),0)</f>
        <v>0</v>
      </c>
      <c r="K51">
        <f ca="1">IFERROR(_xludf.XLOOKUP(I51,'00_Yield_Rates'!$B$2:$B$33,'00_Yield_Rates'!$E$2:$E$33,0)/100,0)</f>
        <v>0</v>
      </c>
      <c r="L51">
        <f t="shared" ca="1" si="4"/>
        <v>0</v>
      </c>
      <c r="M51">
        <f t="shared" ca="1" si="5"/>
        <v>0</v>
      </c>
      <c r="N51">
        <f t="shared" ca="1" si="6"/>
        <v>0</v>
      </c>
    </row>
    <row r="52" spans="1:14" ht="15" customHeight="1">
      <c r="A52" s="343">
        <v>61069</v>
      </c>
      <c r="B52" s="352" t="s">
        <v>690</v>
      </c>
      <c r="C52" s="345" t="str">
        <f>_xlfn.XLOOKUP(A53,'06_Resource_Plan'!$C$3:$C$136,'06_Resource_Plan'!$F$3:$F$136,"No info")</f>
        <v>No info</v>
      </c>
      <c r="D52" s="346" t="str">
        <f ca="1">_xlfn.XLOOKUP(A53,'03_BulkPack_Order'!$A$2:$A$67,'03_BulkPack_Order'!$H$2:$H$67,"No info")</f>
        <v>No info</v>
      </c>
      <c r="E52" s="347">
        <f t="shared" ca="1" si="3"/>
        <v>0</v>
      </c>
      <c r="F52" s="348">
        <f ca="1">IFERROR(VLOOKUP(A53,'01_Cages_Plan'!$C$26:$E$151,3,0),"Missing info")</f>
        <v>0</v>
      </c>
      <c r="G52" s="349"/>
      <c r="I52" t="str">
        <f ca="1">IFERROR(_xludf.XLOOKUP(A52,'00_SKU_Master'!$B$2:$B$378,'00_SKU_Master'!$E$2:$E$378,""),"")</f>
        <v/>
      </c>
      <c r="J52">
        <f ca="1">IFERROR(_xludf.XLOOKUP(A52,'00_SKU_Master'!$B$2:$B$378,'00_SKU_Master'!$F$2:$F$378,0),0)</f>
        <v>0</v>
      </c>
      <c r="K52">
        <f ca="1">IFERROR(_xludf.XLOOKUP(I52,'00_Yield_Rates'!$B$2:$B$33,'00_Yield_Rates'!$E$2:$E$33,0)/100,0)</f>
        <v>0</v>
      </c>
      <c r="L52">
        <f t="shared" ca="1" si="4"/>
        <v>0</v>
      </c>
      <c r="M52">
        <f t="shared" ca="1" si="5"/>
        <v>0</v>
      </c>
      <c r="N52">
        <f t="shared" ca="1" si="6"/>
        <v>0</v>
      </c>
    </row>
    <row r="53" spans="1:14" ht="15" customHeight="1">
      <c r="A53" s="343">
        <v>61070</v>
      </c>
      <c r="B53" s="352" t="s">
        <v>691</v>
      </c>
      <c r="C53" s="345">
        <f>_xlfn.XLOOKUP(A54,'06_Resource_Plan'!$C$3:$C$136,'06_Resource_Plan'!$F$3:$F$136,"No info")</f>
        <v>0</v>
      </c>
      <c r="D53" s="346" t="str">
        <f ca="1">_xlfn.XLOOKUP(A54,'03_BulkPack_Order'!$A$2:$A$67,'03_BulkPack_Order'!$H$2:$H$67,"No info")</f>
        <v>No info</v>
      </c>
      <c r="E53" s="347">
        <f t="shared" ca="1" si="3"/>
        <v>0</v>
      </c>
      <c r="F53" s="348">
        <f>IFERROR(VLOOKUP(A54,'01_Cages_Plan'!$C$26:$E$151,3,0),"Missing info")</f>
        <v>6</v>
      </c>
      <c r="G53" s="349"/>
      <c r="I53" t="str">
        <f ca="1">IFERROR(_xludf.XLOOKUP(A53,'00_SKU_Master'!$B$2:$B$378,'00_SKU_Master'!$E$2:$E$378,""),"")</f>
        <v/>
      </c>
      <c r="J53">
        <f ca="1">IFERROR(_xludf.XLOOKUP(A53,'00_SKU_Master'!$B$2:$B$378,'00_SKU_Master'!$F$2:$F$378,0),0)</f>
        <v>0</v>
      </c>
      <c r="K53">
        <f ca="1">IFERROR(_xludf.XLOOKUP(I53,'00_Yield_Rates'!$B$2:$B$33,'00_Yield_Rates'!$E$2:$E$33,0)/100,0)</f>
        <v>0</v>
      </c>
      <c r="L53">
        <f t="shared" ca="1" si="4"/>
        <v>0</v>
      </c>
      <c r="M53">
        <f t="shared" ca="1" si="5"/>
        <v>0</v>
      </c>
      <c r="N53">
        <f t="shared" ca="1" si="6"/>
        <v>0</v>
      </c>
    </row>
    <row r="54" spans="1:14" ht="15" customHeight="1">
      <c r="A54" s="343">
        <v>61072</v>
      </c>
      <c r="B54" s="365" t="s">
        <v>692</v>
      </c>
      <c r="C54" s="345">
        <f>_xlfn.XLOOKUP(A55,'06_Resource_Plan'!$C$3:$C$136,'06_Resource_Plan'!$F$3:$F$136,"No info")</f>
        <v>-68</v>
      </c>
      <c r="D54" s="346">
        <f>_xlfn.XLOOKUP(A55,'03_BulkPack_Order'!$A$2:$A$67,'03_BulkPack_Order'!$H$2:$H$67,"No info")</f>
        <v>6</v>
      </c>
      <c r="E54" s="347">
        <f t="shared" si="3"/>
        <v>6</v>
      </c>
      <c r="F54" s="348">
        <f ca="1">IFERROR(VLOOKUP(A55,'01_Cages_Plan'!$C$26:$E$151,3,0),"Missing info")</f>
        <v>0</v>
      </c>
      <c r="G54" s="349"/>
      <c r="I54" t="str">
        <f ca="1">IFERROR(_xludf.XLOOKUP(A54,'00_SKU_Master'!$B$2:$B$378,'00_SKU_Master'!$E$2:$E$378,""),"")</f>
        <v/>
      </c>
      <c r="J54">
        <f ca="1">IFERROR(_xludf.XLOOKUP(A54,'00_SKU_Master'!$B$2:$B$378,'00_SKU_Master'!$F$2:$F$378,0),0)</f>
        <v>0</v>
      </c>
      <c r="K54">
        <f ca="1">IFERROR(_xludf.XLOOKUP(I54,'00_Yield_Rates'!$B$2:$B$33,'00_Yield_Rates'!$E$2:$E$33,0)/100,0)</f>
        <v>0</v>
      </c>
      <c r="L54">
        <f t="shared" ca="1" si="4"/>
        <v>0</v>
      </c>
      <c r="M54">
        <f t="shared" ca="1" si="5"/>
        <v>0</v>
      </c>
      <c r="N54">
        <f t="shared" ca="1" si="6"/>
        <v>0</v>
      </c>
    </row>
    <row r="55" spans="1:14" ht="15" customHeight="1">
      <c r="A55" s="343">
        <v>61073</v>
      </c>
      <c r="B55" s="352" t="s">
        <v>693</v>
      </c>
      <c r="C55" s="345" t="str">
        <f>_xlfn.XLOOKUP(A56,'06_Resource_Plan'!$C$3:$C$136,'06_Resource_Plan'!$F$3:$F$136,"No info")</f>
        <v>No info</v>
      </c>
      <c r="D55" s="346" t="str">
        <f ca="1">_xlfn.XLOOKUP(A56,'03_BulkPack_Order'!$A$2:$A$67,'03_BulkPack_Order'!$H$2:$H$67,"No info")</f>
        <v>No info</v>
      </c>
      <c r="E55" s="347">
        <f t="shared" ca="1" si="3"/>
        <v>0</v>
      </c>
      <c r="F55" s="348">
        <f ca="1">IFERROR(VLOOKUP(A56,'01_Cages_Plan'!$C$26:$E$151,3,0),"Missing info")</f>
        <v>0</v>
      </c>
      <c r="G55" s="349"/>
      <c r="I55" t="str">
        <f ca="1">IFERROR(_xludf.XLOOKUP(A55,'00_SKU_Master'!$B$2:$B$378,'00_SKU_Master'!$E$2:$E$378,""),"")</f>
        <v/>
      </c>
      <c r="J55">
        <f ca="1">IFERROR(_xludf.XLOOKUP(A55,'00_SKU_Master'!$B$2:$B$378,'00_SKU_Master'!$F$2:$F$378,0),0)</f>
        <v>0</v>
      </c>
      <c r="K55">
        <f ca="1">IFERROR(_xludf.XLOOKUP(I55,'00_Yield_Rates'!$B$2:$B$33,'00_Yield_Rates'!$E$2:$E$33,0)/100,0)</f>
        <v>0</v>
      </c>
      <c r="L55">
        <f t="shared" ca="1" si="4"/>
        <v>0</v>
      </c>
      <c r="M55">
        <f t="shared" ca="1" si="5"/>
        <v>0</v>
      </c>
      <c r="N55">
        <f t="shared" ca="1" si="6"/>
        <v>0</v>
      </c>
    </row>
    <row r="56" spans="1:14" ht="15" customHeight="1">
      <c r="A56" s="343">
        <v>61074</v>
      </c>
      <c r="B56" s="365" t="s">
        <v>694</v>
      </c>
      <c r="C56" s="345" t="str">
        <f>_xlfn.XLOOKUP(A57,'06_Resource_Plan'!$C$3:$C$136,'06_Resource_Plan'!$F$3:$F$136,"No info")</f>
        <v>No info</v>
      </c>
      <c r="D56" s="346" t="str">
        <f ca="1">_xlfn.XLOOKUP(A57,'03_BulkPack_Order'!$A$2:$A$67,'03_BulkPack_Order'!$H$2:$H$67,"No info")</f>
        <v>No info</v>
      </c>
      <c r="E56" s="347">
        <f t="shared" ca="1" si="3"/>
        <v>0</v>
      </c>
      <c r="F56" s="348">
        <f ca="1">IFERROR(VLOOKUP(A57,'01_Cages_Plan'!$C$26:$E$151,3,0),"Missing info")</f>
        <v>-125</v>
      </c>
      <c r="G56" s="349"/>
      <c r="I56" t="str">
        <f ca="1">IFERROR(_xludf.XLOOKUP(A56,'00_SKU_Master'!$B$2:$B$378,'00_SKU_Master'!$E$2:$E$378,""),"")</f>
        <v/>
      </c>
      <c r="J56">
        <f ca="1">IFERROR(_xludf.XLOOKUP(A56,'00_SKU_Master'!$B$2:$B$378,'00_SKU_Master'!$F$2:$F$378,0),0)</f>
        <v>0</v>
      </c>
      <c r="K56">
        <f ca="1">IFERROR(_xludf.XLOOKUP(I56,'00_Yield_Rates'!$B$2:$B$33,'00_Yield_Rates'!$E$2:$E$33,0)/100,0)</f>
        <v>0</v>
      </c>
      <c r="L56">
        <f t="shared" ca="1" si="4"/>
        <v>0</v>
      </c>
      <c r="M56">
        <f t="shared" ca="1" si="5"/>
        <v>0</v>
      </c>
      <c r="N56">
        <f t="shared" ca="1" si="6"/>
        <v>0</v>
      </c>
    </row>
    <row r="57" spans="1:14" ht="15" customHeight="1">
      <c r="A57" s="343">
        <v>61076</v>
      </c>
      <c r="B57" s="365" t="s">
        <v>695</v>
      </c>
      <c r="C57" s="345">
        <f>_xlfn.XLOOKUP(A58,'06_Resource_Plan'!$C$3:$C$136,'06_Resource_Plan'!$F$3:$F$136,"No info")</f>
        <v>-125</v>
      </c>
      <c r="D57" s="346" t="str">
        <f ca="1">_xlfn.XLOOKUP(A58,'03_BulkPack_Order'!$A$2:$A$67,'03_BulkPack_Order'!$H$2:$H$67,"No info")</f>
        <v>No info</v>
      </c>
      <c r="E57" s="347">
        <f t="shared" ca="1" si="3"/>
        <v>-125</v>
      </c>
      <c r="F57" s="348">
        <f ca="1">IFERROR(VLOOKUP(A58,'01_Cages_Plan'!$C$26:$E$151,3,0),"Missing info")</f>
        <v>-25</v>
      </c>
      <c r="G57" s="349"/>
      <c r="I57" t="str">
        <f ca="1">IFERROR(_xludf.XLOOKUP(A57,'00_SKU_Master'!$B$2:$B$378,'00_SKU_Master'!$E$2:$E$378,""),"")</f>
        <v/>
      </c>
      <c r="J57">
        <f ca="1">IFERROR(_xludf.XLOOKUP(A57,'00_SKU_Master'!$B$2:$B$378,'00_SKU_Master'!$F$2:$F$378,0),0)</f>
        <v>0</v>
      </c>
      <c r="K57">
        <f ca="1">IFERROR(_xludf.XLOOKUP(I57,'00_Yield_Rates'!$B$2:$B$33,'00_Yield_Rates'!$E$2:$E$33,0)/100,0)</f>
        <v>0</v>
      </c>
      <c r="L57">
        <f t="shared" ca="1" si="4"/>
        <v>0</v>
      </c>
      <c r="M57">
        <f t="shared" ca="1" si="5"/>
        <v>0</v>
      </c>
      <c r="N57">
        <f t="shared" ca="1" si="6"/>
        <v>0</v>
      </c>
    </row>
    <row r="58" spans="1:14" ht="15" customHeight="1">
      <c r="A58" s="343">
        <v>61077</v>
      </c>
      <c r="B58" s="365" t="s">
        <v>696</v>
      </c>
      <c r="C58" s="345">
        <f>_xlfn.XLOOKUP(A59,'06_Resource_Plan'!$C$3:$C$136,'06_Resource_Plan'!$F$3:$F$136,"No info")</f>
        <v>-25</v>
      </c>
      <c r="D58" s="346" t="str">
        <f ca="1">_xlfn.XLOOKUP(A59,'03_BulkPack_Order'!$A$2:$A$67,'03_BulkPack_Order'!$H$2:$H$67,"No info")</f>
        <v>No info</v>
      </c>
      <c r="E58" s="347">
        <f t="shared" ca="1" si="3"/>
        <v>-25</v>
      </c>
      <c r="F58" s="348">
        <f ca="1">IFERROR(VLOOKUP(A59,'01_Cages_Plan'!$C$26:$E$151,3,0),"Missing info")</f>
        <v>0</v>
      </c>
      <c r="G58" s="349"/>
      <c r="I58" t="str">
        <f ca="1">IFERROR(_xludf.XLOOKUP(A58,'00_SKU_Master'!$B$2:$B$378,'00_SKU_Master'!$E$2:$E$378,""),"")</f>
        <v/>
      </c>
      <c r="J58">
        <f ca="1">IFERROR(_xludf.XLOOKUP(A58,'00_SKU_Master'!$B$2:$B$378,'00_SKU_Master'!$F$2:$F$378,0),0)</f>
        <v>0</v>
      </c>
      <c r="K58">
        <f ca="1">IFERROR(_xludf.XLOOKUP(I58,'00_Yield_Rates'!$B$2:$B$33,'00_Yield_Rates'!$E$2:$E$33,0)/100,0)</f>
        <v>0</v>
      </c>
      <c r="L58">
        <f t="shared" ca="1" si="4"/>
        <v>0</v>
      </c>
      <c r="M58">
        <f t="shared" ca="1" si="5"/>
        <v>0</v>
      </c>
      <c r="N58">
        <f t="shared" ca="1" si="6"/>
        <v>0</v>
      </c>
    </row>
    <row r="59" spans="1:14" ht="15" customHeight="1">
      <c r="A59" s="343">
        <v>61078</v>
      </c>
      <c r="B59" s="352" t="s">
        <v>697</v>
      </c>
      <c r="C59" s="345" t="str">
        <f>_xlfn.XLOOKUP(A60,'06_Resource_Plan'!$C$3:$C$136,'06_Resource_Plan'!$F$3:$F$136,"No info")</f>
        <v>No info</v>
      </c>
      <c r="D59" s="346" t="str">
        <f ca="1">_xlfn.XLOOKUP(A60,'03_BulkPack_Order'!$A$2:$A$67,'03_BulkPack_Order'!$H$2:$H$67,"No info")</f>
        <v>No info</v>
      </c>
      <c r="E59" s="347">
        <f t="shared" ca="1" si="3"/>
        <v>0</v>
      </c>
      <c r="F59" s="348">
        <f ca="1">IFERROR(VLOOKUP(A60,'01_Cages_Plan'!$C$26:$E$151,3,0),"Missing info")</f>
        <v>-22</v>
      </c>
      <c r="G59" s="349"/>
      <c r="I59" t="str">
        <f ca="1">IFERROR(_xludf.XLOOKUP(A59,'00_SKU_Master'!$B$2:$B$378,'00_SKU_Master'!$E$2:$E$378,""),"")</f>
        <v/>
      </c>
      <c r="J59">
        <f ca="1">IFERROR(_xludf.XLOOKUP(A59,'00_SKU_Master'!$B$2:$B$378,'00_SKU_Master'!$F$2:$F$378,0),0)</f>
        <v>0</v>
      </c>
      <c r="K59">
        <f ca="1">IFERROR(_xludf.XLOOKUP(I59,'00_Yield_Rates'!$B$2:$B$33,'00_Yield_Rates'!$E$2:$E$33,0)/100,0)</f>
        <v>0</v>
      </c>
      <c r="L59">
        <f t="shared" ca="1" si="4"/>
        <v>0</v>
      </c>
      <c r="M59">
        <f t="shared" ca="1" si="5"/>
        <v>0</v>
      </c>
      <c r="N59">
        <f t="shared" ca="1" si="6"/>
        <v>0</v>
      </c>
    </row>
    <row r="60" spans="1:14" ht="15" customHeight="1">
      <c r="A60" s="343">
        <v>61079</v>
      </c>
      <c r="B60" s="365" t="s">
        <v>698</v>
      </c>
      <c r="C60" s="345">
        <f>_xlfn.XLOOKUP(A61,'06_Resource_Plan'!$C$3:$C$136,'06_Resource_Plan'!$F$3:$F$136,"No info")</f>
        <v>-22</v>
      </c>
      <c r="D60" s="346" t="str">
        <f ca="1">_xlfn.XLOOKUP(A61,'03_BulkPack_Order'!$A$2:$A$67,'03_BulkPack_Order'!$H$2:$H$67,"No info")</f>
        <v>No info</v>
      </c>
      <c r="E60" s="347">
        <f t="shared" ca="1" si="3"/>
        <v>-22</v>
      </c>
      <c r="F60" s="348">
        <f ca="1">IFERROR(VLOOKUP(A61,'01_Cages_Plan'!$C$26:$E$151,3,0),"Missing info")</f>
        <v>-48</v>
      </c>
      <c r="G60" s="349"/>
      <c r="I60" t="str">
        <f ca="1">IFERROR(_xludf.XLOOKUP(A60,'00_SKU_Master'!$B$2:$B$378,'00_SKU_Master'!$E$2:$E$378,""),"")</f>
        <v/>
      </c>
      <c r="J60">
        <f ca="1">IFERROR(_xludf.XLOOKUP(A60,'00_SKU_Master'!$B$2:$B$378,'00_SKU_Master'!$F$2:$F$378,0),0)</f>
        <v>0</v>
      </c>
      <c r="K60">
        <f ca="1">IFERROR(_xludf.XLOOKUP(I60,'00_Yield_Rates'!$B$2:$B$33,'00_Yield_Rates'!$E$2:$E$33,0)/100,0)</f>
        <v>0</v>
      </c>
      <c r="L60">
        <f t="shared" ca="1" si="4"/>
        <v>0</v>
      </c>
      <c r="M60">
        <f t="shared" ca="1" si="5"/>
        <v>0</v>
      </c>
      <c r="N60">
        <f t="shared" ca="1" si="6"/>
        <v>0</v>
      </c>
    </row>
    <row r="61" spans="1:14" ht="15" customHeight="1">
      <c r="A61" s="361">
        <v>61082</v>
      </c>
      <c r="B61" s="366" t="s">
        <v>699</v>
      </c>
      <c r="C61" s="363">
        <f>_xlfn.XLOOKUP(A62,'06_Resource_Plan'!$C$3:$C$136,'06_Resource_Plan'!$F$3:$F$136,"No info")</f>
        <v>-48</v>
      </c>
      <c r="D61" s="346" t="str">
        <f ca="1">_xlfn.XLOOKUP(A62,'03_BulkPack_Order'!$A$2:$A$67,'03_BulkPack_Order'!$H$2:$H$67,"No info")</f>
        <v>No info</v>
      </c>
      <c r="E61" s="347">
        <f t="shared" ca="1" si="3"/>
        <v>-48</v>
      </c>
      <c r="F61" s="364">
        <f ca="1">IFERROR(VLOOKUP(A62,'01_Cages_Plan'!$C$26:$E$151,3,0),"Missing info")</f>
        <v>0</v>
      </c>
      <c r="G61" s="349"/>
      <c r="I61" t="str">
        <f ca="1">IFERROR(_xludf.XLOOKUP(A61,'00_SKU_Master'!$B$2:$B$378,'00_SKU_Master'!$E$2:$E$378,""),"")</f>
        <v/>
      </c>
      <c r="J61">
        <f ca="1">IFERROR(_xludf.XLOOKUP(A61,'00_SKU_Master'!$B$2:$B$378,'00_SKU_Master'!$F$2:$F$378,0),0)</f>
        <v>0</v>
      </c>
      <c r="K61">
        <f ca="1">IFERROR(_xludf.XLOOKUP(I61,'00_Yield_Rates'!$B$2:$B$33,'00_Yield_Rates'!$E$2:$E$33,0)/100,0)</f>
        <v>0</v>
      </c>
      <c r="L61">
        <f t="shared" ca="1" si="4"/>
        <v>0</v>
      </c>
      <c r="M61">
        <f t="shared" ca="1" si="5"/>
        <v>0</v>
      </c>
      <c r="N61">
        <f t="shared" ca="1" si="6"/>
        <v>0</v>
      </c>
    </row>
    <row r="62" spans="1:14" ht="15" customHeight="1">
      <c r="A62" s="343">
        <v>61086</v>
      </c>
      <c r="B62" s="365" t="s">
        <v>700</v>
      </c>
      <c r="C62" s="345" t="str">
        <f>_xlfn.XLOOKUP(A63,'06_Resource_Plan'!$C$3:$C$136,'06_Resource_Plan'!$F$3:$F$136,"No info")</f>
        <v>No info</v>
      </c>
      <c r="D62" s="346" t="str">
        <f ca="1">_xlfn.XLOOKUP(A63,'03_BulkPack_Order'!$A$2:$A$67,'03_BulkPack_Order'!$H$2:$H$67,"No info")</f>
        <v>No info</v>
      </c>
      <c r="E62" s="347">
        <f t="shared" ca="1" si="3"/>
        <v>0</v>
      </c>
      <c r="F62" s="348">
        <f ca="1">IFERROR(VLOOKUP(A63,'01_Cages_Plan'!$C$26:$E$151,3,0),"Missing info")</f>
        <v>0</v>
      </c>
      <c r="G62" s="349"/>
      <c r="I62" t="str">
        <f ca="1">IFERROR(_xludf.XLOOKUP(A62,'00_SKU_Master'!$B$2:$B$378,'00_SKU_Master'!$E$2:$E$378,""),"")</f>
        <v/>
      </c>
      <c r="J62">
        <f ca="1">IFERROR(_xludf.XLOOKUP(A62,'00_SKU_Master'!$B$2:$B$378,'00_SKU_Master'!$F$2:$F$378,0),0)</f>
        <v>0</v>
      </c>
      <c r="K62">
        <f ca="1">IFERROR(_xludf.XLOOKUP(I62,'00_Yield_Rates'!$B$2:$B$33,'00_Yield_Rates'!$E$2:$E$33,0)/100,0)</f>
        <v>0</v>
      </c>
      <c r="L62">
        <f t="shared" ca="1" si="4"/>
        <v>0</v>
      </c>
      <c r="M62">
        <f t="shared" ca="1" si="5"/>
        <v>0</v>
      </c>
      <c r="N62">
        <f t="shared" ca="1" si="6"/>
        <v>0</v>
      </c>
    </row>
    <row r="63" spans="1:14" ht="25.05" customHeight="1">
      <c r="A63" s="343">
        <v>61087</v>
      </c>
      <c r="B63" s="365" t="s">
        <v>701</v>
      </c>
      <c r="C63" s="345">
        <f>_xlfn.XLOOKUP(A64,'06_Resource_Plan'!$C$3:$C$136,'06_Resource_Plan'!$F$3:$F$136,"No info")</f>
        <v>0</v>
      </c>
      <c r="D63" s="346" t="str">
        <f ca="1">_xlfn.XLOOKUP(A64,'03_BulkPack_Order'!$A$2:$A$67,'03_BulkPack_Order'!$H$2:$H$67,"No info")</f>
        <v>No info</v>
      </c>
      <c r="E63" s="347">
        <f t="shared" ca="1" si="3"/>
        <v>0</v>
      </c>
      <c r="F63" s="348" t="str">
        <f>IFERROR(VLOOKUP(A64,'01_Cages_Plan'!$C$26:$E$151,3,0),"Missing info")</f>
        <v>Missing info</v>
      </c>
      <c r="G63" s="349"/>
      <c r="I63" t="str">
        <f ca="1">IFERROR(_xludf.XLOOKUP(A63,'00_SKU_Master'!$B$2:$B$378,'00_SKU_Master'!$E$2:$E$378,""),"")</f>
        <v/>
      </c>
      <c r="J63">
        <f ca="1">IFERROR(_xludf.XLOOKUP(A63,'00_SKU_Master'!$B$2:$B$378,'00_SKU_Master'!$F$2:$F$378,0),0)</f>
        <v>0</v>
      </c>
      <c r="K63">
        <f ca="1">IFERROR(_xludf.XLOOKUP(I63,'00_Yield_Rates'!$B$2:$B$33,'00_Yield_Rates'!$E$2:$E$33,0)/100,0)</f>
        <v>0</v>
      </c>
      <c r="L63">
        <f t="shared" ca="1" si="4"/>
        <v>0</v>
      </c>
      <c r="M63">
        <f t="shared" ca="1" si="5"/>
        <v>0</v>
      </c>
      <c r="N63">
        <f t="shared" ca="1" si="6"/>
        <v>0</v>
      </c>
    </row>
    <row r="64" spans="1:14" ht="25.05" customHeight="1">
      <c r="A64" s="343">
        <v>61104</v>
      </c>
      <c r="B64" s="352" t="s">
        <v>702</v>
      </c>
      <c r="C64" s="345">
        <f>_xlfn.XLOOKUP(A65,'06_Resource_Plan'!$C$3:$C$136,'06_Resource_Plan'!$F$3:$F$136,"No info")</f>
        <v>0</v>
      </c>
      <c r="D64" s="346" t="str">
        <f ca="1">_xlfn.XLOOKUP(A65,'03_BulkPack_Order'!$A$2:$A$67,'03_BulkPack_Order'!$H$2:$H$67,"No info")</f>
        <v>No info</v>
      </c>
      <c r="E64" s="347">
        <f t="shared" ca="1" si="3"/>
        <v>0</v>
      </c>
      <c r="F64" s="348" t="str">
        <f>IFERROR(VLOOKUP(A65,'01_Cages_Plan'!$C$26:$E$151,3,0),"Missing info")</f>
        <v>Missing info</v>
      </c>
      <c r="G64" s="349"/>
      <c r="I64" t="str">
        <f ca="1">IFERROR(_xludf.XLOOKUP(A64,'00_SKU_Master'!$B$2:$B$378,'00_SKU_Master'!$E$2:$E$378,""),"")</f>
        <v/>
      </c>
      <c r="J64">
        <f ca="1">IFERROR(_xludf.XLOOKUP(A64,'00_SKU_Master'!$B$2:$B$378,'00_SKU_Master'!$F$2:$F$378,0),0)</f>
        <v>0</v>
      </c>
      <c r="K64">
        <f ca="1">IFERROR(_xludf.XLOOKUP(I64,'00_Yield_Rates'!$B$2:$B$33,'00_Yield_Rates'!$E$2:$E$33,0)/100,0)</f>
        <v>0</v>
      </c>
      <c r="L64">
        <f t="shared" ca="1" si="4"/>
        <v>0</v>
      </c>
      <c r="M64">
        <f t="shared" ca="1" si="5"/>
        <v>0</v>
      </c>
      <c r="N64">
        <f t="shared" ca="1" si="6"/>
        <v>0</v>
      </c>
    </row>
    <row r="65" spans="1:14" ht="15" customHeight="1">
      <c r="A65" s="343">
        <v>61121</v>
      </c>
      <c r="B65" s="352" t="s">
        <v>703</v>
      </c>
      <c r="C65" s="345" t="str">
        <f>_xlfn.XLOOKUP(A66,'06_Resource_Plan'!$C$3:$C$136,'06_Resource_Plan'!$F$3:$F$136,"No info")</f>
        <v>No info</v>
      </c>
      <c r="D65" s="346">
        <f ca="1">_xlfn.XLOOKUP(A66,'03_BulkPack_Order'!$A$2:$A$67,'03_BulkPack_Order'!$H$2:$H$67,"No info")</f>
        <v>65</v>
      </c>
      <c r="E65" s="347">
        <f t="shared" ca="1" si="3"/>
        <v>65</v>
      </c>
      <c r="F65" s="348">
        <f ca="1">IFERROR(VLOOKUP(A66,'01_Cages_Plan'!$C$26:$E$151,3,0),"Missing info")</f>
        <v>0</v>
      </c>
      <c r="G65" s="349"/>
      <c r="I65" t="str">
        <f ca="1">IFERROR(_xludf.XLOOKUP(A65,'00_SKU_Master'!$B$2:$B$378,'00_SKU_Master'!$E$2:$E$378,""),"")</f>
        <v/>
      </c>
      <c r="J65">
        <f ca="1">IFERROR(_xludf.XLOOKUP(A65,'00_SKU_Master'!$B$2:$B$378,'00_SKU_Master'!$F$2:$F$378,0),0)</f>
        <v>0</v>
      </c>
      <c r="K65">
        <f ca="1">IFERROR(_xludf.XLOOKUP(I65,'00_Yield_Rates'!$B$2:$B$33,'00_Yield_Rates'!$E$2:$E$33,0)/100,0)</f>
        <v>0</v>
      </c>
      <c r="L65">
        <f t="shared" ca="1" si="4"/>
        <v>0</v>
      </c>
      <c r="M65">
        <f t="shared" ca="1" si="5"/>
        <v>0</v>
      </c>
      <c r="N65">
        <f t="shared" ca="1" si="6"/>
        <v>0</v>
      </c>
    </row>
    <row r="66" spans="1:14" ht="25.05" customHeight="1">
      <c r="A66" s="343">
        <v>200064</v>
      </c>
      <c r="B66" s="352" t="s">
        <v>45</v>
      </c>
      <c r="C66" s="345" t="str">
        <f>_xlfn.XLOOKUP(A67,'06_Resource_Plan'!$C$3:$C$136,'06_Resource_Plan'!$F$3:$F$136,"No info")</f>
        <v>No info</v>
      </c>
      <c r="D66" s="346" t="str">
        <f ca="1">_xlfn.XLOOKUP(A67,'03_BulkPack_Order'!$A$2:$A$67,'03_BulkPack_Order'!$H$2:$H$67,"No info")</f>
        <v>No info</v>
      </c>
      <c r="E66" s="347">
        <f t="shared" ca="1" si="3"/>
        <v>0</v>
      </c>
      <c r="F66" s="348" t="str">
        <f>IFERROR(VLOOKUP(A67,'01_Cages_Plan'!$C$26:$E$151,3,0),"Missing info")</f>
        <v>Missing info</v>
      </c>
      <c r="G66" s="349">
        <v>10</v>
      </c>
      <c r="I66" t="str">
        <f ca="1">IFERROR(_xludf.XLOOKUP(A66,'00_SKU_Master'!$B$2:$B$378,'00_SKU_Master'!$E$2:$E$378,""),"")</f>
        <v/>
      </c>
      <c r="J66">
        <f ca="1">IFERROR(_xludf.XLOOKUP(A66,'00_SKU_Master'!$B$2:$B$378,'00_SKU_Master'!$F$2:$F$378,0),0)</f>
        <v>0</v>
      </c>
      <c r="K66">
        <f ca="1">IFERROR(_xludf.XLOOKUP(I66,'00_Yield_Rates'!$B$2:$B$33,'00_Yield_Rates'!$E$2:$E$33,0)/100,0)</f>
        <v>0</v>
      </c>
      <c r="L66">
        <f t="shared" ref="L66:L97" ca="1" si="7">IF(AND(ISNUMBER(E66),ISNUMBER(J66)),E66*J66,0)</f>
        <v>0</v>
      </c>
      <c r="M66">
        <f t="shared" ref="M66:M97" ca="1" si="8">IF(AND(ISNUMBER(L66),K66&gt;0),L66/K66,0)</f>
        <v>0</v>
      </c>
      <c r="N66">
        <f t="shared" ref="N66:N97" ca="1" si="9">IF(M66&gt;0,ROUNDUP(M66/680,1),0)</f>
        <v>0</v>
      </c>
    </row>
    <row r="67" spans="1:14" ht="25.05" customHeight="1">
      <c r="A67" s="335">
        <v>200068</v>
      </c>
      <c r="B67" s="350" t="s">
        <v>704</v>
      </c>
      <c r="C67" s="345" t="str">
        <f>_xlfn.XLOOKUP(A68,'06_Resource_Plan'!$C$3:$C$136,'06_Resource_Plan'!$F$3:$F$136,"No info")</f>
        <v>No info</v>
      </c>
      <c r="D67" s="346" t="str">
        <f ca="1">_xlfn.XLOOKUP(A68,'03_BulkPack_Order'!$A$2:$A$67,'03_BulkPack_Order'!$H$2:$H$67,"No info")</f>
        <v>No info</v>
      </c>
      <c r="E67" s="347">
        <f t="shared" ref="E67:E128" ca="1" si="10">MAX(C67:D67)</f>
        <v>0</v>
      </c>
      <c r="F67" s="348" t="str">
        <f>IFERROR(VLOOKUP(A68,'01_Cages_Plan'!$C$26:$E$151,3,0),"Missing info")</f>
        <v>Missing info</v>
      </c>
      <c r="G67" s="349">
        <v>9</v>
      </c>
      <c r="I67" t="str">
        <f ca="1">IFERROR(_xludf.XLOOKUP(A67,'00_SKU_Master'!$B$2:$B$378,'00_SKU_Master'!$E$2:$E$378,""),"")</f>
        <v/>
      </c>
      <c r="J67">
        <f ca="1">IFERROR(_xludf.XLOOKUP(A67,'00_SKU_Master'!$B$2:$B$378,'00_SKU_Master'!$F$2:$F$378,0),0)</f>
        <v>0</v>
      </c>
      <c r="K67">
        <f ca="1">IFERROR(_xludf.XLOOKUP(I67,'00_Yield_Rates'!$B$2:$B$33,'00_Yield_Rates'!$E$2:$E$33,0)/100,0)</f>
        <v>0</v>
      </c>
      <c r="L67">
        <f t="shared" ca="1" si="7"/>
        <v>0</v>
      </c>
      <c r="M67">
        <f t="shared" ca="1" si="8"/>
        <v>0</v>
      </c>
      <c r="N67">
        <f t="shared" ca="1" si="9"/>
        <v>0</v>
      </c>
    </row>
    <row r="68" spans="1:14" ht="25.05" customHeight="1">
      <c r="A68" s="335">
        <v>200073</v>
      </c>
      <c r="B68" s="350" t="s">
        <v>652</v>
      </c>
      <c r="C68" s="345" t="str">
        <f>_xlfn.XLOOKUP(A69,'06_Resource_Plan'!$C$3:$C$136,'06_Resource_Plan'!$F$3:$F$136,"No info")</f>
        <v>No info</v>
      </c>
      <c r="D68" s="346" t="str">
        <f ca="1">_xlfn.XLOOKUP(A69,'03_BulkPack_Order'!$A$2:$A$67,'03_BulkPack_Order'!$H$2:$H$67,"No info")</f>
        <v>No info</v>
      </c>
      <c r="E68" s="347">
        <f t="shared" ca="1" si="10"/>
        <v>0</v>
      </c>
      <c r="F68" s="348" t="str">
        <f>IFERROR(VLOOKUP(A69,'01_Cages_Plan'!$C$26:$E$151,3,0),"Missing info")</f>
        <v>Missing info</v>
      </c>
      <c r="G68" s="349">
        <v>7</v>
      </c>
      <c r="I68" t="str">
        <f ca="1">IFERROR(_xludf.XLOOKUP(A68,'00_SKU_Master'!$B$2:$B$378,'00_SKU_Master'!$E$2:$E$378,""),"")</f>
        <v/>
      </c>
      <c r="J68">
        <f ca="1">IFERROR(_xludf.XLOOKUP(A68,'00_SKU_Master'!$B$2:$B$378,'00_SKU_Master'!$F$2:$F$378,0),0)</f>
        <v>0</v>
      </c>
      <c r="K68">
        <f ca="1">IFERROR(_xludf.XLOOKUP(I68,'00_Yield_Rates'!$B$2:$B$33,'00_Yield_Rates'!$E$2:$E$33,0)/100,0)</f>
        <v>0</v>
      </c>
      <c r="L68">
        <f t="shared" ca="1" si="7"/>
        <v>0</v>
      </c>
      <c r="M68">
        <f t="shared" ca="1" si="8"/>
        <v>0</v>
      </c>
      <c r="N68">
        <f t="shared" ca="1" si="9"/>
        <v>0</v>
      </c>
    </row>
    <row r="69" spans="1:14" ht="15" customHeight="1">
      <c r="A69" s="335">
        <v>200074</v>
      </c>
      <c r="B69" s="350" t="s">
        <v>652</v>
      </c>
      <c r="C69" s="345" t="str">
        <f>_xlfn.XLOOKUP(A70,'06_Resource_Plan'!$C$3:$C$136,'06_Resource_Plan'!$F$3:$F$136,"No info")</f>
        <v>No info</v>
      </c>
      <c r="D69" s="346" t="str">
        <f ca="1">_xlfn.XLOOKUP(A70,'03_BulkPack_Order'!$A$2:$A$67,'03_BulkPack_Order'!$H$2:$H$67,"No info")</f>
        <v>No info</v>
      </c>
      <c r="E69" s="347">
        <f t="shared" ca="1" si="10"/>
        <v>0</v>
      </c>
      <c r="F69" s="348">
        <f ca="1">IFERROR(VLOOKUP(A70,'01_Cages_Plan'!$C$26:$E$151,3,0),"Missing info")</f>
        <v>0</v>
      </c>
      <c r="G69" s="349">
        <v>7</v>
      </c>
      <c r="I69" t="str">
        <f ca="1">IFERROR(_xludf.XLOOKUP(A69,'00_SKU_Master'!$B$2:$B$378,'00_SKU_Master'!$E$2:$E$378,""),"")</f>
        <v/>
      </c>
      <c r="J69">
        <f ca="1">IFERROR(_xludf.XLOOKUP(A69,'00_SKU_Master'!$B$2:$B$378,'00_SKU_Master'!$F$2:$F$378,0),0)</f>
        <v>0</v>
      </c>
      <c r="K69">
        <f ca="1">IFERROR(_xludf.XLOOKUP(I69,'00_Yield_Rates'!$B$2:$B$33,'00_Yield_Rates'!$E$2:$E$33,0)/100,0)</f>
        <v>0</v>
      </c>
      <c r="L69">
        <f t="shared" ca="1" si="7"/>
        <v>0</v>
      </c>
      <c r="M69">
        <f t="shared" ca="1" si="8"/>
        <v>0</v>
      </c>
      <c r="N69">
        <f t="shared" ca="1" si="9"/>
        <v>0</v>
      </c>
    </row>
    <row r="70" spans="1:14" ht="25.05" customHeight="1">
      <c r="A70" s="343">
        <v>200083</v>
      </c>
      <c r="B70" s="352" t="s">
        <v>705</v>
      </c>
      <c r="C70" s="345" t="str">
        <f>_xlfn.XLOOKUP(A71,'06_Resource_Plan'!$C$3:$C$136,'06_Resource_Plan'!$F$3:$F$136,"No info")</f>
        <v>No info</v>
      </c>
      <c r="D70" s="346" t="str">
        <f ca="1">_xlfn.XLOOKUP(A71,'03_BulkPack_Order'!$A$2:$A$67,'03_BulkPack_Order'!$H$2:$H$67,"No info")</f>
        <v>No info</v>
      </c>
      <c r="E70" s="347">
        <f t="shared" ca="1" si="10"/>
        <v>0</v>
      </c>
      <c r="F70" s="348" t="str">
        <f>IFERROR(VLOOKUP(A71,'01_Cages_Plan'!$C$26:$E$151,3,0),"Missing info")</f>
        <v>Missing info</v>
      </c>
      <c r="G70" s="349">
        <v>9</v>
      </c>
      <c r="I70" t="str">
        <f ca="1">IFERROR(_xludf.XLOOKUP(A70,'00_SKU_Master'!$B$2:$B$378,'00_SKU_Master'!$E$2:$E$378,""),"")</f>
        <v/>
      </c>
      <c r="J70">
        <f ca="1">IFERROR(_xludf.XLOOKUP(A70,'00_SKU_Master'!$B$2:$B$378,'00_SKU_Master'!$F$2:$F$378,0),0)</f>
        <v>0</v>
      </c>
      <c r="K70">
        <f ca="1">IFERROR(_xludf.XLOOKUP(I70,'00_Yield_Rates'!$B$2:$B$33,'00_Yield_Rates'!$E$2:$E$33,0)/100,0)</f>
        <v>0</v>
      </c>
      <c r="L70">
        <f t="shared" ca="1" si="7"/>
        <v>0</v>
      </c>
      <c r="M70">
        <f t="shared" ca="1" si="8"/>
        <v>0</v>
      </c>
      <c r="N70">
        <f t="shared" ca="1" si="9"/>
        <v>0</v>
      </c>
    </row>
    <row r="71" spans="1:14" ht="15" customHeight="1">
      <c r="A71" s="335">
        <v>200084</v>
      </c>
      <c r="B71" s="350" t="s">
        <v>706</v>
      </c>
      <c r="C71" s="345" t="str">
        <f>_xlfn.XLOOKUP(A72,'06_Resource_Plan'!$C$3:$C$136,'06_Resource_Plan'!$F$3:$F$136,"No info")</f>
        <v>No info</v>
      </c>
      <c r="D71" s="346" t="str">
        <f ca="1">_xlfn.XLOOKUP(A72,'03_BulkPack_Order'!$A$2:$A$67,'03_BulkPack_Order'!$H$2:$H$67,"No info")</f>
        <v>No info</v>
      </c>
      <c r="E71" s="347">
        <f t="shared" ca="1" si="10"/>
        <v>0</v>
      </c>
      <c r="F71" s="348">
        <f ca="1">IFERROR(VLOOKUP(A72,'01_Cages_Plan'!$C$26:$E$151,3,0),"Missing info")</f>
        <v>170</v>
      </c>
      <c r="G71" s="349">
        <v>9</v>
      </c>
      <c r="I71" t="str">
        <f ca="1">IFERROR(_xludf.XLOOKUP(A71,'00_SKU_Master'!$B$2:$B$378,'00_SKU_Master'!$E$2:$E$378,""),"")</f>
        <v/>
      </c>
      <c r="J71">
        <f ca="1">IFERROR(_xludf.XLOOKUP(A71,'00_SKU_Master'!$B$2:$B$378,'00_SKU_Master'!$F$2:$F$378,0),0)</f>
        <v>0</v>
      </c>
      <c r="K71">
        <f ca="1">IFERROR(_xludf.XLOOKUP(I71,'00_Yield_Rates'!$B$2:$B$33,'00_Yield_Rates'!$E$2:$E$33,0)/100,0)</f>
        <v>0</v>
      </c>
      <c r="L71">
        <f t="shared" ca="1" si="7"/>
        <v>0</v>
      </c>
      <c r="M71">
        <f t="shared" ca="1" si="8"/>
        <v>0</v>
      </c>
      <c r="N71">
        <f t="shared" ca="1" si="9"/>
        <v>0</v>
      </c>
    </row>
    <row r="72" spans="1:14" ht="15" customHeight="1">
      <c r="A72" s="343">
        <v>200089</v>
      </c>
      <c r="B72" s="352" t="s">
        <v>707</v>
      </c>
      <c r="C72" s="345" t="str">
        <f>_xlfn.XLOOKUP(A73,'06_Resource_Plan'!$C$3:$C$136,'06_Resource_Plan'!$F$3:$F$136,"No info")</f>
        <v>No info</v>
      </c>
      <c r="D72" s="346">
        <f ca="1">_xlfn.XLOOKUP(A73,'03_BulkPack_Order'!$A$2:$A$67,'03_BulkPack_Order'!$H$2:$H$67,"No info")</f>
        <v>170</v>
      </c>
      <c r="E72" s="347">
        <f t="shared" ca="1" si="10"/>
        <v>170</v>
      </c>
      <c r="F72" s="348">
        <f ca="1">IFERROR(VLOOKUP(A73,'01_Cages_Plan'!$C$26:$E$151,3,0),"Missing info")</f>
        <v>0</v>
      </c>
      <c r="G72" s="349">
        <v>10</v>
      </c>
      <c r="I72" t="str">
        <f ca="1">IFERROR(_xludf.XLOOKUP(A72,'00_SKU_Master'!$B$2:$B$378,'00_SKU_Master'!$E$2:$E$378,""),"")</f>
        <v/>
      </c>
      <c r="J72">
        <f ca="1">IFERROR(_xludf.XLOOKUP(A72,'00_SKU_Master'!$B$2:$B$378,'00_SKU_Master'!$F$2:$F$378,0),0)</f>
        <v>0</v>
      </c>
      <c r="K72">
        <f ca="1">IFERROR(_xludf.XLOOKUP(I72,'00_Yield_Rates'!$B$2:$B$33,'00_Yield_Rates'!$E$2:$E$33,0)/100,0)</f>
        <v>0</v>
      </c>
      <c r="L72">
        <f t="shared" ca="1" si="7"/>
        <v>0</v>
      </c>
      <c r="M72">
        <f t="shared" ca="1" si="8"/>
        <v>0</v>
      </c>
      <c r="N72">
        <f t="shared" ca="1" si="9"/>
        <v>0</v>
      </c>
    </row>
    <row r="73" spans="1:14" ht="15" customHeight="1">
      <c r="A73" s="343">
        <v>200095</v>
      </c>
      <c r="B73" s="352" t="s">
        <v>708</v>
      </c>
      <c r="C73" s="345" t="str">
        <f>_xlfn.XLOOKUP(A74,'06_Resource_Plan'!$C$3:$C$136,'06_Resource_Plan'!$F$3:$F$136,"No info")</f>
        <v>No info</v>
      </c>
      <c r="D73" s="346">
        <f ca="1">_xlfn.XLOOKUP(A74,'03_BulkPack_Order'!$A$2:$A$67,'03_BulkPack_Order'!$H$2:$H$67,"No info")</f>
        <v>0</v>
      </c>
      <c r="E73" s="347">
        <f t="shared" ca="1" si="10"/>
        <v>0</v>
      </c>
      <c r="F73" s="348">
        <f ca="1">IFERROR(VLOOKUP(A74,'01_Cages_Plan'!$C$26:$E$151,3,0),"Missing info")</f>
        <v>0</v>
      </c>
      <c r="G73" s="349">
        <v>9</v>
      </c>
      <c r="I73" t="str">
        <f ca="1">IFERROR(_xludf.XLOOKUP(A73,'00_SKU_Master'!$B$2:$B$378,'00_SKU_Master'!$E$2:$E$378,""),"")</f>
        <v/>
      </c>
      <c r="J73">
        <f ca="1">IFERROR(_xludf.XLOOKUP(A73,'00_SKU_Master'!$B$2:$B$378,'00_SKU_Master'!$F$2:$F$378,0),0)</f>
        <v>0</v>
      </c>
      <c r="K73">
        <f ca="1">IFERROR(_xludf.XLOOKUP(I73,'00_Yield_Rates'!$B$2:$B$33,'00_Yield_Rates'!$E$2:$E$33,0)/100,0)</f>
        <v>0</v>
      </c>
      <c r="L73">
        <f t="shared" ca="1" si="7"/>
        <v>0</v>
      </c>
      <c r="M73">
        <f t="shared" ca="1" si="8"/>
        <v>0</v>
      </c>
      <c r="N73">
        <f t="shared" ca="1" si="9"/>
        <v>0</v>
      </c>
    </row>
    <row r="74" spans="1:14" ht="25.05" customHeight="1">
      <c r="A74" s="335">
        <v>200159</v>
      </c>
      <c r="B74" s="350" t="s">
        <v>709</v>
      </c>
      <c r="C74" s="345" t="str">
        <f>_xlfn.XLOOKUP(A75,'06_Resource_Plan'!$C$3:$C$136,'06_Resource_Plan'!$F$3:$F$136,"No info")</f>
        <v>No info</v>
      </c>
      <c r="D74" s="346" t="str">
        <f ca="1">_xlfn.XLOOKUP(A75,'03_BulkPack_Order'!$A$2:$A$67,'03_BulkPack_Order'!$H$2:$H$67,"No info")</f>
        <v>No info</v>
      </c>
      <c r="E74" s="347">
        <f t="shared" ca="1" si="10"/>
        <v>0</v>
      </c>
      <c r="F74" s="348" t="str">
        <f>IFERROR(VLOOKUP(A75,'01_Cages_Plan'!$C$26:$E$151,3,0),"Missing info")</f>
        <v>Missing info</v>
      </c>
      <c r="G74" s="349">
        <v>8</v>
      </c>
      <c r="I74" t="str">
        <f ca="1">IFERROR(_xludf.XLOOKUP(A74,'00_SKU_Master'!$B$2:$B$378,'00_SKU_Master'!$E$2:$E$378,""),"")</f>
        <v/>
      </c>
      <c r="J74">
        <f ca="1">IFERROR(_xludf.XLOOKUP(A74,'00_SKU_Master'!$B$2:$B$378,'00_SKU_Master'!$F$2:$F$378,0),0)</f>
        <v>0</v>
      </c>
      <c r="K74">
        <f ca="1">IFERROR(_xludf.XLOOKUP(I74,'00_Yield_Rates'!$B$2:$B$33,'00_Yield_Rates'!$E$2:$E$33,0)/100,0)</f>
        <v>0</v>
      </c>
      <c r="L74">
        <f t="shared" ca="1" si="7"/>
        <v>0</v>
      </c>
      <c r="M74">
        <f t="shared" ca="1" si="8"/>
        <v>0</v>
      </c>
      <c r="N74">
        <f t="shared" ca="1" si="9"/>
        <v>0</v>
      </c>
    </row>
    <row r="75" spans="1:14" ht="25.05" customHeight="1">
      <c r="A75" s="335">
        <v>200185</v>
      </c>
      <c r="B75" s="350" t="s">
        <v>710</v>
      </c>
      <c r="C75" s="345" t="str">
        <f>_xlfn.XLOOKUP(A76,'06_Resource_Plan'!$C$3:$C$136,'06_Resource_Plan'!$F$3:$F$136,"No info")</f>
        <v>No info</v>
      </c>
      <c r="D75" s="346" t="str">
        <f ca="1">_xlfn.XLOOKUP(A76,'03_BulkPack_Order'!$A$2:$A$67,'03_BulkPack_Order'!$H$2:$H$67,"No info")</f>
        <v>No info</v>
      </c>
      <c r="E75" s="347">
        <f t="shared" ca="1" si="10"/>
        <v>0</v>
      </c>
      <c r="F75" s="348" t="str">
        <f>IFERROR(VLOOKUP(A76,'01_Cages_Plan'!$C$26:$E$151,3,0),"Missing info")</f>
        <v>Missing info</v>
      </c>
      <c r="G75" s="349">
        <v>10</v>
      </c>
      <c r="I75" t="str">
        <f ca="1">IFERROR(_xludf.XLOOKUP(A75,'00_SKU_Master'!$B$2:$B$378,'00_SKU_Master'!$E$2:$E$378,""),"")</f>
        <v/>
      </c>
      <c r="J75">
        <f ca="1">IFERROR(_xludf.XLOOKUP(A75,'00_SKU_Master'!$B$2:$B$378,'00_SKU_Master'!$F$2:$F$378,0),0)</f>
        <v>0</v>
      </c>
      <c r="K75">
        <f ca="1">IFERROR(_xludf.XLOOKUP(I75,'00_Yield_Rates'!$B$2:$B$33,'00_Yield_Rates'!$E$2:$E$33,0)/100,0)</f>
        <v>0</v>
      </c>
      <c r="L75">
        <f t="shared" ca="1" si="7"/>
        <v>0</v>
      </c>
      <c r="M75">
        <f t="shared" ca="1" si="8"/>
        <v>0</v>
      </c>
      <c r="N75">
        <f t="shared" ca="1" si="9"/>
        <v>0</v>
      </c>
    </row>
    <row r="76" spans="1:14" ht="15" customHeight="1">
      <c r="A76" s="335">
        <v>200901</v>
      </c>
      <c r="B76" s="350" t="s">
        <v>711</v>
      </c>
      <c r="C76" s="345" t="str">
        <f>_xlfn.XLOOKUP(A77,'06_Resource_Plan'!$C$3:$C$136,'06_Resource_Plan'!$F$3:$F$136,"No info")</f>
        <v>No info</v>
      </c>
      <c r="D76" s="346">
        <f ca="1">_xlfn.XLOOKUP(A77,'03_BulkPack_Order'!$A$2:$A$67,'03_BulkPack_Order'!$H$2:$H$67,"No info")</f>
        <v>0</v>
      </c>
      <c r="E76" s="347">
        <f t="shared" ca="1" si="10"/>
        <v>0</v>
      </c>
      <c r="F76" s="348">
        <f ca="1">IFERROR(VLOOKUP(A77,'01_Cages_Plan'!$C$26:$E$151,3,0),"Missing info")</f>
        <v>449</v>
      </c>
      <c r="G76" s="349">
        <v>10</v>
      </c>
      <c r="I76" t="str">
        <f ca="1">IFERROR(_xludf.XLOOKUP(A76,'00_SKU_Master'!$B$2:$B$378,'00_SKU_Master'!$E$2:$E$378,""),"")</f>
        <v/>
      </c>
      <c r="J76">
        <f ca="1">IFERROR(_xludf.XLOOKUP(A76,'00_SKU_Master'!$B$2:$B$378,'00_SKU_Master'!$F$2:$F$378,0),0)</f>
        <v>0</v>
      </c>
      <c r="K76">
        <f ca="1">IFERROR(_xludf.XLOOKUP(I76,'00_Yield_Rates'!$B$2:$B$33,'00_Yield_Rates'!$E$2:$E$33,0)/100,0)</f>
        <v>0</v>
      </c>
      <c r="L76">
        <f t="shared" ca="1" si="7"/>
        <v>0</v>
      </c>
      <c r="M76">
        <f t="shared" ca="1" si="8"/>
        <v>0</v>
      </c>
      <c r="N76">
        <f t="shared" ca="1" si="9"/>
        <v>0</v>
      </c>
    </row>
    <row r="77" spans="1:14" ht="15" customHeight="1">
      <c r="A77" s="343">
        <v>200902</v>
      </c>
      <c r="B77" s="352" t="s">
        <v>712</v>
      </c>
      <c r="C77" s="345" t="str">
        <f>_xlfn.XLOOKUP(A78,'06_Resource_Plan'!$C$3:$C$136,'06_Resource_Plan'!$F$3:$F$136,"No info")</f>
        <v>No info</v>
      </c>
      <c r="D77" s="346">
        <f ca="1">_xlfn.XLOOKUP(A78,'03_BulkPack_Order'!$A$2:$A$67,'03_BulkPack_Order'!$H$2:$H$67,"No info")</f>
        <v>449</v>
      </c>
      <c r="E77" s="347">
        <f t="shared" ca="1" si="10"/>
        <v>449</v>
      </c>
      <c r="F77" s="348">
        <f ca="1">IFERROR(VLOOKUP(A78,'01_Cages_Plan'!$C$26:$E$151,3,0),"Missing info")</f>
        <v>0</v>
      </c>
      <c r="G77" s="349">
        <v>10</v>
      </c>
      <c r="I77" t="str">
        <f ca="1">IFERROR(_xludf.XLOOKUP(A77,'00_SKU_Master'!$B$2:$B$378,'00_SKU_Master'!$E$2:$E$378,""),"")</f>
        <v/>
      </c>
      <c r="J77">
        <f ca="1">IFERROR(_xludf.XLOOKUP(A77,'00_SKU_Master'!$B$2:$B$378,'00_SKU_Master'!$F$2:$F$378,0),0)</f>
        <v>0</v>
      </c>
      <c r="K77">
        <f ca="1">IFERROR(_xludf.XLOOKUP(I77,'00_Yield_Rates'!$B$2:$B$33,'00_Yield_Rates'!$E$2:$E$33,0)/100,0)</f>
        <v>0</v>
      </c>
      <c r="L77">
        <f t="shared" ca="1" si="7"/>
        <v>0</v>
      </c>
      <c r="M77">
        <f t="shared" ca="1" si="8"/>
        <v>0</v>
      </c>
      <c r="N77">
        <f t="shared" ca="1" si="9"/>
        <v>0</v>
      </c>
    </row>
    <row r="78" spans="1:14" ht="25.05" customHeight="1">
      <c r="A78" s="343">
        <v>200903</v>
      </c>
      <c r="B78" s="352" t="s">
        <v>713</v>
      </c>
      <c r="C78" s="345" t="str">
        <f>_xlfn.XLOOKUP(A79,'06_Resource_Plan'!$C$3:$C$136,'06_Resource_Plan'!$F$3:$F$136,"No info")</f>
        <v>No info</v>
      </c>
      <c r="D78" s="346">
        <f ca="1">_xlfn.XLOOKUP(A79,'03_BulkPack_Order'!$A$2:$A$67,'03_BulkPack_Order'!$H$2:$H$67,"No info")</f>
        <v>0</v>
      </c>
      <c r="E78" s="347">
        <f t="shared" ca="1" si="10"/>
        <v>0</v>
      </c>
      <c r="F78" s="348" t="str">
        <f>IFERROR(VLOOKUP(A79,'01_Cages_Plan'!$C$26:$E$151,3,0),"Missing info")</f>
        <v>Missing info</v>
      </c>
      <c r="G78" s="349">
        <v>10</v>
      </c>
      <c r="I78" t="str">
        <f ca="1">IFERROR(_xludf.XLOOKUP(A78,'00_SKU_Master'!$B$2:$B$378,'00_SKU_Master'!$E$2:$E$378,""),"")</f>
        <v/>
      </c>
      <c r="J78">
        <f ca="1">IFERROR(_xludf.XLOOKUP(A78,'00_SKU_Master'!$B$2:$B$378,'00_SKU_Master'!$F$2:$F$378,0),0)</f>
        <v>0</v>
      </c>
      <c r="K78">
        <f ca="1">IFERROR(_xludf.XLOOKUP(I78,'00_Yield_Rates'!$B$2:$B$33,'00_Yield_Rates'!$E$2:$E$33,0)/100,0)</f>
        <v>0</v>
      </c>
      <c r="L78">
        <f t="shared" ca="1" si="7"/>
        <v>0</v>
      </c>
      <c r="M78">
        <f t="shared" ca="1" si="8"/>
        <v>0</v>
      </c>
      <c r="N78">
        <f t="shared" ca="1" si="9"/>
        <v>0</v>
      </c>
    </row>
    <row r="79" spans="1:14" ht="15" customHeight="1">
      <c r="A79" s="335">
        <v>200904</v>
      </c>
      <c r="B79" s="350" t="s">
        <v>52</v>
      </c>
      <c r="C79" s="345" t="str">
        <f>_xlfn.XLOOKUP(A80,'06_Resource_Plan'!$C$3:$C$136,'06_Resource_Plan'!$F$3:$F$136,"No info")</f>
        <v>No info</v>
      </c>
      <c r="D79" s="346">
        <f ca="1">_xlfn.XLOOKUP(A80,'03_BulkPack_Order'!$A$2:$A$67,'03_BulkPack_Order'!$H$2:$H$67,"No info")</f>
        <v>350</v>
      </c>
      <c r="E79" s="347">
        <f t="shared" ca="1" si="10"/>
        <v>350</v>
      </c>
      <c r="F79" s="348">
        <f ca="1">IFERROR(VLOOKUP(A80,'01_Cages_Plan'!$C$26:$E$151,3,0),"Missing info")</f>
        <v>0</v>
      </c>
      <c r="G79" s="349">
        <v>10</v>
      </c>
      <c r="I79" t="str">
        <f ca="1">IFERROR(_xludf.XLOOKUP(A79,'00_SKU_Master'!$B$2:$B$378,'00_SKU_Master'!$E$2:$E$378,""),"")</f>
        <v/>
      </c>
      <c r="J79">
        <f ca="1">IFERROR(_xludf.XLOOKUP(A79,'00_SKU_Master'!$B$2:$B$378,'00_SKU_Master'!$F$2:$F$378,0),0)</f>
        <v>0</v>
      </c>
      <c r="K79">
        <f ca="1">IFERROR(_xludf.XLOOKUP(I79,'00_Yield_Rates'!$B$2:$B$33,'00_Yield_Rates'!$E$2:$E$33,0)/100,0)</f>
        <v>0</v>
      </c>
      <c r="L79">
        <f t="shared" ca="1" si="7"/>
        <v>0</v>
      </c>
      <c r="M79">
        <f t="shared" ca="1" si="8"/>
        <v>0</v>
      </c>
      <c r="N79">
        <f t="shared" ca="1" si="9"/>
        <v>0</v>
      </c>
    </row>
    <row r="80" spans="1:14" ht="25.05" customHeight="1">
      <c r="A80" s="335">
        <v>201894</v>
      </c>
      <c r="B80" s="350"/>
      <c r="C80" s="345" t="str">
        <f>_xlfn.XLOOKUP(A81,'06_Resource_Plan'!$C$3:$C$136,'06_Resource_Plan'!$F$3:$F$136,"No info")</f>
        <v>No info</v>
      </c>
      <c r="D80" s="346" t="str">
        <f ca="1">_xlfn.XLOOKUP(A81,'03_BulkPack_Order'!$A$2:$A$67,'03_BulkPack_Order'!$H$2:$H$67,"No info")</f>
        <v>No info</v>
      </c>
      <c r="E80" s="347">
        <f t="shared" ca="1" si="10"/>
        <v>0</v>
      </c>
      <c r="F80" s="348" t="str">
        <f>IFERROR(VLOOKUP(A81,'01_Cages_Plan'!$C$26:$E$151,3,0),"Missing info")</f>
        <v>Missing info</v>
      </c>
      <c r="G80" s="349">
        <v>9</v>
      </c>
      <c r="I80" t="str">
        <f ca="1">IFERROR(_xludf.XLOOKUP(A80,'00_SKU_Master'!$B$2:$B$378,'00_SKU_Master'!$E$2:$E$378,""),"")</f>
        <v/>
      </c>
      <c r="J80">
        <f ca="1">IFERROR(_xludf.XLOOKUP(A80,'00_SKU_Master'!$B$2:$B$378,'00_SKU_Master'!$F$2:$F$378,0),0)</f>
        <v>0</v>
      </c>
      <c r="K80">
        <f ca="1">IFERROR(_xludf.XLOOKUP(I80,'00_Yield_Rates'!$B$2:$B$33,'00_Yield_Rates'!$E$2:$E$33,0)/100,0)</f>
        <v>0</v>
      </c>
      <c r="L80">
        <f t="shared" ca="1" si="7"/>
        <v>0</v>
      </c>
      <c r="M80">
        <f t="shared" ca="1" si="8"/>
        <v>0</v>
      </c>
      <c r="N80">
        <f t="shared" ca="1" si="9"/>
        <v>0</v>
      </c>
    </row>
    <row r="81" spans="1:14" ht="25.05" customHeight="1">
      <c r="A81" s="335">
        <v>201899</v>
      </c>
      <c r="B81" s="350" t="s">
        <v>714</v>
      </c>
      <c r="C81" s="345" t="str">
        <f>_xlfn.XLOOKUP(A82,'06_Resource_Plan'!$C$3:$C$136,'06_Resource_Plan'!$F$3:$F$136,"No info")</f>
        <v>No info</v>
      </c>
      <c r="D81" s="346">
        <f ca="1">_xlfn.XLOOKUP(A82,'03_BulkPack_Order'!$A$2:$A$67,'03_BulkPack_Order'!$H$2:$H$67,"No info")</f>
        <v>0</v>
      </c>
      <c r="E81" s="347">
        <f t="shared" ca="1" si="10"/>
        <v>0</v>
      </c>
      <c r="F81" s="348" t="str">
        <f>IFERROR(VLOOKUP(A82,'01_Cages_Plan'!$C$26:$E$151,3,0),"Missing info")</f>
        <v>Missing info</v>
      </c>
      <c r="G81" s="349">
        <v>9</v>
      </c>
      <c r="I81" t="str">
        <f ca="1">IFERROR(_xludf.XLOOKUP(A81,'00_SKU_Master'!$B$2:$B$378,'00_SKU_Master'!$E$2:$E$378,""),"")</f>
        <v/>
      </c>
      <c r="J81">
        <f ca="1">IFERROR(_xludf.XLOOKUP(A81,'00_SKU_Master'!$B$2:$B$378,'00_SKU_Master'!$F$2:$F$378,0),0)</f>
        <v>0</v>
      </c>
      <c r="K81">
        <f ca="1">IFERROR(_xludf.XLOOKUP(I81,'00_Yield_Rates'!$B$2:$B$33,'00_Yield_Rates'!$E$2:$E$33,0)/100,0)</f>
        <v>0</v>
      </c>
      <c r="L81">
        <f t="shared" ca="1" si="7"/>
        <v>0</v>
      </c>
      <c r="M81">
        <f t="shared" ca="1" si="8"/>
        <v>0</v>
      </c>
      <c r="N81">
        <f t="shared" ca="1" si="9"/>
        <v>0</v>
      </c>
    </row>
    <row r="82" spans="1:14" ht="15" customHeight="1">
      <c r="A82" s="343">
        <v>203010</v>
      </c>
      <c r="B82" s="352" t="s">
        <v>715</v>
      </c>
      <c r="C82" s="345" t="str">
        <f>_xlfn.XLOOKUP(A83,'06_Resource_Plan'!$C$3:$C$136,'06_Resource_Plan'!$F$3:$F$136,"No info")</f>
        <v>No info</v>
      </c>
      <c r="D82" s="346" t="str">
        <f ca="1">_xlfn.XLOOKUP(A83,'03_BulkPack_Order'!$A$2:$A$67,'03_BulkPack_Order'!$H$2:$H$67,"No info")</f>
        <v>No info</v>
      </c>
      <c r="E82" s="347">
        <f t="shared" ca="1" si="10"/>
        <v>0</v>
      </c>
      <c r="F82" s="348">
        <f ca="1">IFERROR(VLOOKUP(A83,'01_Cages_Plan'!$C$26:$E$151,3,0),"Missing info")</f>
        <v>174</v>
      </c>
      <c r="G82" s="349">
        <v>8</v>
      </c>
      <c r="I82" t="str">
        <f ca="1">IFERROR(_xludf.XLOOKUP(A82,'00_SKU_Master'!$B$2:$B$378,'00_SKU_Master'!$E$2:$E$378,""),"")</f>
        <v/>
      </c>
      <c r="J82">
        <f ca="1">IFERROR(_xludf.XLOOKUP(A82,'00_SKU_Master'!$B$2:$B$378,'00_SKU_Master'!$F$2:$F$378,0),0)</f>
        <v>0</v>
      </c>
      <c r="K82">
        <f ca="1">IFERROR(_xludf.XLOOKUP(I82,'00_Yield_Rates'!$B$2:$B$33,'00_Yield_Rates'!$E$2:$E$33,0)/100,0)</f>
        <v>0</v>
      </c>
      <c r="L82">
        <f t="shared" ca="1" si="7"/>
        <v>0</v>
      </c>
      <c r="M82">
        <f t="shared" ca="1" si="8"/>
        <v>0</v>
      </c>
      <c r="N82">
        <f t="shared" ca="1" si="9"/>
        <v>0</v>
      </c>
    </row>
    <row r="83" spans="1:14" ht="15" customHeight="1">
      <c r="A83" s="343">
        <v>203033</v>
      </c>
      <c r="B83" s="344" t="s">
        <v>716</v>
      </c>
      <c r="C83" s="345" t="str">
        <f>_xlfn.XLOOKUP(A84,'06_Resource_Plan'!$C$3:$C$136,'06_Resource_Plan'!$F$3:$F$136,"No info")</f>
        <v>No info</v>
      </c>
      <c r="D83" s="346">
        <f ca="1">_xlfn.XLOOKUP(A84,'03_BulkPack_Order'!$A$2:$A$67,'03_BulkPack_Order'!$H$2:$H$67,"No info")</f>
        <v>174</v>
      </c>
      <c r="E83" s="347">
        <f t="shared" ca="1" si="10"/>
        <v>174</v>
      </c>
      <c r="F83" s="348">
        <f ca="1">IFERROR(VLOOKUP(A84,'01_Cages_Plan'!$C$26:$E$151,3,0),"Missing info")</f>
        <v>0</v>
      </c>
      <c r="G83" s="349">
        <v>10</v>
      </c>
      <c r="I83" t="str">
        <f ca="1">IFERROR(_xludf.XLOOKUP(A83,'00_SKU_Master'!$B$2:$B$378,'00_SKU_Master'!$E$2:$E$378,""),"")</f>
        <v/>
      </c>
      <c r="J83">
        <f ca="1">IFERROR(_xludf.XLOOKUP(A83,'00_SKU_Master'!$B$2:$B$378,'00_SKU_Master'!$F$2:$F$378,0),0)</f>
        <v>0</v>
      </c>
      <c r="K83">
        <f ca="1">IFERROR(_xludf.XLOOKUP(I83,'00_Yield_Rates'!$B$2:$B$33,'00_Yield_Rates'!$E$2:$E$33,0)/100,0)</f>
        <v>0</v>
      </c>
      <c r="L83">
        <f t="shared" ca="1" si="7"/>
        <v>0</v>
      </c>
      <c r="M83">
        <f t="shared" ca="1" si="8"/>
        <v>0</v>
      </c>
      <c r="N83">
        <f t="shared" ca="1" si="9"/>
        <v>0</v>
      </c>
    </row>
    <row r="84" spans="1:14" ht="25.05" customHeight="1">
      <c r="A84" s="335">
        <v>203035</v>
      </c>
      <c r="B84" s="350"/>
      <c r="C84" s="345" t="str">
        <f>_xlfn.XLOOKUP(A85,'06_Resource_Plan'!$C$3:$C$136,'06_Resource_Plan'!$F$3:$F$136,"No info")</f>
        <v>No info</v>
      </c>
      <c r="D84" s="346" t="str">
        <f ca="1">_xlfn.XLOOKUP(A85,'03_BulkPack_Order'!$A$2:$A$67,'03_BulkPack_Order'!$H$2:$H$67,"No info")</f>
        <v>No info</v>
      </c>
      <c r="E84" s="347">
        <f t="shared" ca="1" si="10"/>
        <v>0</v>
      </c>
      <c r="F84" s="348" t="str">
        <f>IFERROR(VLOOKUP(A85,'01_Cages_Plan'!$C$26:$E$151,3,0),"Missing info")</f>
        <v>Missing info</v>
      </c>
      <c r="G84" s="349">
        <v>10</v>
      </c>
      <c r="I84" t="str">
        <f ca="1">IFERROR(_xludf.XLOOKUP(A84,'00_SKU_Master'!$B$2:$B$378,'00_SKU_Master'!$E$2:$E$378,""),"")</f>
        <v/>
      </c>
      <c r="J84">
        <f ca="1">IFERROR(_xludf.XLOOKUP(A84,'00_SKU_Master'!$B$2:$B$378,'00_SKU_Master'!$F$2:$F$378,0),0)</f>
        <v>0</v>
      </c>
      <c r="K84">
        <f ca="1">IFERROR(_xludf.XLOOKUP(I84,'00_Yield_Rates'!$B$2:$B$33,'00_Yield_Rates'!$E$2:$E$33,0)/100,0)</f>
        <v>0</v>
      </c>
      <c r="L84">
        <f t="shared" ca="1" si="7"/>
        <v>0</v>
      </c>
      <c r="M84">
        <f t="shared" ca="1" si="8"/>
        <v>0</v>
      </c>
      <c r="N84">
        <f t="shared" ca="1" si="9"/>
        <v>0</v>
      </c>
    </row>
    <row r="85" spans="1:14" ht="25.05" customHeight="1">
      <c r="A85" s="335">
        <v>203036</v>
      </c>
      <c r="B85" s="350" t="s">
        <v>717</v>
      </c>
      <c r="C85" s="345" t="str">
        <f>_xlfn.XLOOKUP(A86,'06_Resource_Plan'!$C$3:$C$136,'06_Resource_Plan'!$F$3:$F$136,"No info")</f>
        <v>No info</v>
      </c>
      <c r="D85" s="346" t="str">
        <f ca="1">_xlfn.XLOOKUP(A86,'03_BulkPack_Order'!$A$2:$A$67,'03_BulkPack_Order'!$H$2:$H$67,"No info")</f>
        <v>No info</v>
      </c>
      <c r="E85" s="347">
        <f t="shared" ca="1" si="10"/>
        <v>0</v>
      </c>
      <c r="F85" s="348" t="str">
        <f>IFERROR(VLOOKUP(A86,'01_Cages_Plan'!$C$26:$E$151,3,0),"Missing info")</f>
        <v>Missing info</v>
      </c>
      <c r="G85" s="349">
        <v>10</v>
      </c>
      <c r="I85" t="str">
        <f ca="1">IFERROR(_xludf.XLOOKUP(A85,'00_SKU_Master'!$B$2:$B$378,'00_SKU_Master'!$E$2:$E$378,""),"")</f>
        <v/>
      </c>
      <c r="J85">
        <f ca="1">IFERROR(_xludf.XLOOKUP(A85,'00_SKU_Master'!$B$2:$B$378,'00_SKU_Master'!$F$2:$F$378,0),0)</f>
        <v>0</v>
      </c>
      <c r="K85">
        <f ca="1">IFERROR(_xludf.XLOOKUP(I85,'00_Yield_Rates'!$B$2:$B$33,'00_Yield_Rates'!$E$2:$E$33,0)/100,0)</f>
        <v>0</v>
      </c>
      <c r="L85">
        <f t="shared" ca="1" si="7"/>
        <v>0</v>
      </c>
      <c r="M85">
        <f t="shared" ca="1" si="8"/>
        <v>0</v>
      </c>
      <c r="N85">
        <f t="shared" ca="1" si="9"/>
        <v>0</v>
      </c>
    </row>
    <row r="86" spans="1:14" ht="25.05" customHeight="1">
      <c r="A86" s="335">
        <v>203050</v>
      </c>
      <c r="B86" s="350" t="s">
        <v>718</v>
      </c>
      <c r="C86" s="345" t="str">
        <f>_xlfn.XLOOKUP(A87,'06_Resource_Plan'!$C$3:$C$136,'06_Resource_Plan'!$F$3:$F$136,"No info")</f>
        <v>No info</v>
      </c>
      <c r="D86" s="346" t="str">
        <f ca="1">_xlfn.XLOOKUP(A87,'03_BulkPack_Order'!$A$2:$A$67,'03_BulkPack_Order'!$H$2:$H$67,"No info")</f>
        <v>No info</v>
      </c>
      <c r="E86" s="347">
        <f t="shared" ca="1" si="10"/>
        <v>0</v>
      </c>
      <c r="F86" s="348" t="str">
        <f>IFERROR(VLOOKUP(A87,'01_Cages_Plan'!$C$26:$E$151,3,0),"Missing info")</f>
        <v>Missing info</v>
      </c>
      <c r="G86" s="349">
        <v>10</v>
      </c>
      <c r="I86" t="str">
        <f ca="1">IFERROR(_xludf.XLOOKUP(A86,'00_SKU_Master'!$B$2:$B$378,'00_SKU_Master'!$E$2:$E$378,""),"")</f>
        <v/>
      </c>
      <c r="J86">
        <f ca="1">IFERROR(_xludf.XLOOKUP(A86,'00_SKU_Master'!$B$2:$B$378,'00_SKU_Master'!$F$2:$F$378,0),0)</f>
        <v>0</v>
      </c>
      <c r="K86">
        <f ca="1">IFERROR(_xludf.XLOOKUP(I86,'00_Yield_Rates'!$B$2:$B$33,'00_Yield_Rates'!$E$2:$E$33,0)/100,0)</f>
        <v>0</v>
      </c>
      <c r="L86">
        <f t="shared" ca="1" si="7"/>
        <v>0</v>
      </c>
      <c r="M86">
        <f t="shared" ca="1" si="8"/>
        <v>0</v>
      </c>
      <c r="N86">
        <f t="shared" ca="1" si="9"/>
        <v>0</v>
      </c>
    </row>
    <row r="87" spans="1:14" ht="25.05" customHeight="1">
      <c r="A87" s="335">
        <v>203051</v>
      </c>
      <c r="B87" s="350" t="s">
        <v>719</v>
      </c>
      <c r="C87" s="345" t="str">
        <f>_xlfn.XLOOKUP(A88,'06_Resource_Plan'!$C$3:$C$136,'06_Resource_Plan'!$F$3:$F$136,"No info")</f>
        <v>No info</v>
      </c>
      <c r="D87" s="346" t="str">
        <f ca="1">_xlfn.XLOOKUP(A88,'03_BulkPack_Order'!$A$2:$A$67,'03_BulkPack_Order'!$H$2:$H$67,"No info")</f>
        <v>No info</v>
      </c>
      <c r="E87" s="347">
        <f t="shared" ca="1" si="10"/>
        <v>0</v>
      </c>
      <c r="F87" s="348" t="str">
        <f>IFERROR(VLOOKUP(A88,'01_Cages_Plan'!$C$26:$E$151,3,0),"Missing info")</f>
        <v>Missing info</v>
      </c>
      <c r="G87" s="349">
        <v>10</v>
      </c>
      <c r="I87" t="str">
        <f ca="1">IFERROR(_xludf.XLOOKUP(A87,'00_SKU_Master'!$B$2:$B$378,'00_SKU_Master'!$E$2:$E$378,""),"")</f>
        <v/>
      </c>
      <c r="J87">
        <f ca="1">IFERROR(_xludf.XLOOKUP(A87,'00_SKU_Master'!$B$2:$B$378,'00_SKU_Master'!$F$2:$F$378,0),0)</f>
        <v>0</v>
      </c>
      <c r="K87">
        <f ca="1">IFERROR(_xludf.XLOOKUP(I87,'00_Yield_Rates'!$B$2:$B$33,'00_Yield_Rates'!$E$2:$E$33,0)/100,0)</f>
        <v>0</v>
      </c>
      <c r="L87">
        <f t="shared" ca="1" si="7"/>
        <v>0</v>
      </c>
      <c r="M87">
        <f t="shared" ca="1" si="8"/>
        <v>0</v>
      </c>
      <c r="N87">
        <f t="shared" ca="1" si="9"/>
        <v>0</v>
      </c>
    </row>
    <row r="88" spans="1:14" ht="15" customHeight="1">
      <c r="A88" s="335">
        <v>203087</v>
      </c>
      <c r="B88" s="350" t="s">
        <v>720</v>
      </c>
      <c r="C88" s="345" t="str">
        <f>_xlfn.XLOOKUP(A89,'06_Resource_Plan'!$C$3:$C$136,'06_Resource_Plan'!$F$3:$F$136,"No info")</f>
        <v>No info</v>
      </c>
      <c r="D88" s="346" t="str">
        <f ca="1">_xlfn.XLOOKUP(A89,'03_BulkPack_Order'!$A$2:$A$67,'03_BulkPack_Order'!$H$2:$H$67,"No info")</f>
        <v>No info</v>
      </c>
      <c r="E88" s="347">
        <f t="shared" ca="1" si="10"/>
        <v>0</v>
      </c>
      <c r="F88" s="348">
        <f ca="1">IFERROR(VLOOKUP(A89,'01_Cages_Plan'!$C$26:$E$151,3,0),"Missing info")</f>
        <v>0</v>
      </c>
      <c r="G88" s="349">
        <v>10</v>
      </c>
      <c r="I88" t="str">
        <f ca="1">IFERROR(_xludf.XLOOKUP(A88,'00_SKU_Master'!$B$2:$B$378,'00_SKU_Master'!$E$2:$E$378,""),"")</f>
        <v/>
      </c>
      <c r="J88">
        <f ca="1">IFERROR(_xludf.XLOOKUP(A88,'00_SKU_Master'!$B$2:$B$378,'00_SKU_Master'!$F$2:$F$378,0),0)</f>
        <v>0</v>
      </c>
      <c r="K88">
        <f ca="1">IFERROR(_xludf.XLOOKUP(I88,'00_Yield_Rates'!$B$2:$B$33,'00_Yield_Rates'!$E$2:$E$33,0)/100,0)</f>
        <v>0</v>
      </c>
      <c r="L88">
        <f t="shared" ca="1" si="7"/>
        <v>0</v>
      </c>
      <c r="M88">
        <f t="shared" ca="1" si="8"/>
        <v>0</v>
      </c>
      <c r="N88">
        <f t="shared" ca="1" si="9"/>
        <v>0</v>
      </c>
    </row>
    <row r="89" spans="1:14" ht="15" customHeight="1">
      <c r="A89" s="335">
        <v>203148</v>
      </c>
      <c r="B89" s="367" t="s">
        <v>721</v>
      </c>
      <c r="C89" s="345" t="str">
        <f>_xlfn.XLOOKUP(A90,'06_Resource_Plan'!$C$3:$C$136,'06_Resource_Plan'!$F$3:$F$136,"No info")</f>
        <v>No info</v>
      </c>
      <c r="D89" s="346" t="str">
        <f ca="1">_xlfn.XLOOKUP(A90,'03_BulkPack_Order'!$A$2:$A$67,'03_BulkPack_Order'!$H$2:$H$67,"No info")</f>
        <v>No info</v>
      </c>
      <c r="E89" s="347">
        <f t="shared" ca="1" si="10"/>
        <v>0</v>
      </c>
      <c r="F89" s="348">
        <f ca="1">IFERROR(VLOOKUP(A90,'01_Cages_Plan'!$C$26:$E$151,3,0),"Missing info")</f>
        <v>0</v>
      </c>
      <c r="G89" s="349"/>
      <c r="I89" t="str">
        <f ca="1">IFERROR(_xludf.XLOOKUP(A89,'00_SKU_Master'!$B$2:$B$378,'00_SKU_Master'!$E$2:$E$378,""),"")</f>
        <v/>
      </c>
      <c r="J89">
        <f ca="1">IFERROR(_xludf.XLOOKUP(A89,'00_SKU_Master'!$B$2:$B$378,'00_SKU_Master'!$F$2:$F$378,0),0)</f>
        <v>0</v>
      </c>
      <c r="K89">
        <f ca="1">IFERROR(_xludf.XLOOKUP(I89,'00_Yield_Rates'!$B$2:$B$33,'00_Yield_Rates'!$E$2:$E$33,0)/100,0)</f>
        <v>0</v>
      </c>
      <c r="L89">
        <f t="shared" ca="1" si="7"/>
        <v>0</v>
      </c>
      <c r="M89">
        <f t="shared" ca="1" si="8"/>
        <v>0</v>
      </c>
      <c r="N89">
        <f t="shared" ca="1" si="9"/>
        <v>0</v>
      </c>
    </row>
    <row r="90" spans="1:14" ht="15" customHeight="1">
      <c r="A90" s="343">
        <v>203169</v>
      </c>
      <c r="B90" s="352" t="s">
        <v>722</v>
      </c>
      <c r="C90" s="345" t="str">
        <f>_xlfn.XLOOKUP(A91,'06_Resource_Plan'!$C$3:$C$136,'06_Resource_Plan'!$F$3:$F$136,"No info")</f>
        <v>No info</v>
      </c>
      <c r="D90" s="346" t="str">
        <f ca="1">_xlfn.XLOOKUP(A91,'03_BulkPack_Order'!$A$2:$A$67,'03_BulkPack_Order'!$H$2:$H$67,"No info")</f>
        <v>No info</v>
      </c>
      <c r="E90" s="347">
        <f t="shared" ca="1" si="10"/>
        <v>0</v>
      </c>
      <c r="F90" s="348">
        <f ca="1">IFERROR(VLOOKUP(A91,'01_Cages_Plan'!$C$26:$E$151,3,0),"Missing info")</f>
        <v>0</v>
      </c>
      <c r="G90" s="349">
        <v>10</v>
      </c>
      <c r="I90" t="str">
        <f ca="1">IFERROR(_xludf.XLOOKUP(A90,'00_SKU_Master'!$B$2:$B$378,'00_SKU_Master'!$E$2:$E$378,""),"")</f>
        <v/>
      </c>
      <c r="J90">
        <f ca="1">IFERROR(_xludf.XLOOKUP(A90,'00_SKU_Master'!$B$2:$B$378,'00_SKU_Master'!$F$2:$F$378,0),0)</f>
        <v>0</v>
      </c>
      <c r="K90">
        <f ca="1">IFERROR(_xludf.XLOOKUP(I90,'00_Yield_Rates'!$B$2:$B$33,'00_Yield_Rates'!$E$2:$E$33,0)/100,0)</f>
        <v>0</v>
      </c>
      <c r="L90">
        <f t="shared" ca="1" si="7"/>
        <v>0</v>
      </c>
      <c r="M90">
        <f t="shared" ca="1" si="8"/>
        <v>0</v>
      </c>
      <c r="N90">
        <f t="shared" ca="1" si="9"/>
        <v>0</v>
      </c>
    </row>
    <row r="91" spans="1:14" ht="15" customHeight="1">
      <c r="A91" s="343">
        <v>203171</v>
      </c>
      <c r="B91" s="368" t="s">
        <v>723</v>
      </c>
      <c r="C91" s="345" t="str">
        <f>_xlfn.XLOOKUP(A92,'06_Resource_Plan'!$C$3:$C$136,'06_Resource_Plan'!$F$3:$F$136,"No info")</f>
        <v>No info</v>
      </c>
      <c r="D91" s="346">
        <f ca="1">_xlfn.XLOOKUP(A92,'03_BulkPack_Order'!$A$2:$A$67,'03_BulkPack_Order'!$H$2:$H$67,"No info")</f>
        <v>0</v>
      </c>
      <c r="E91" s="347">
        <f t="shared" ca="1" si="10"/>
        <v>0</v>
      </c>
      <c r="F91" s="348">
        <f ca="1">IFERROR(VLOOKUP(A92,'01_Cages_Plan'!$C$26:$E$151,3,0),"Missing info")</f>
        <v>0</v>
      </c>
      <c r="G91" s="349">
        <v>10</v>
      </c>
      <c r="I91" t="str">
        <f ca="1">IFERROR(_xludf.XLOOKUP(A91,'00_SKU_Master'!$B$2:$B$378,'00_SKU_Master'!$E$2:$E$378,""),"")</f>
        <v/>
      </c>
      <c r="J91">
        <f ca="1">IFERROR(_xludf.XLOOKUP(A91,'00_SKU_Master'!$B$2:$B$378,'00_SKU_Master'!$F$2:$F$378,0),0)</f>
        <v>0</v>
      </c>
      <c r="K91">
        <f ca="1">IFERROR(_xludf.XLOOKUP(I91,'00_Yield_Rates'!$B$2:$B$33,'00_Yield_Rates'!$E$2:$E$33,0)/100,0)</f>
        <v>0</v>
      </c>
      <c r="L91">
        <f t="shared" ca="1" si="7"/>
        <v>0</v>
      </c>
      <c r="M91">
        <f t="shared" ca="1" si="8"/>
        <v>0</v>
      </c>
      <c r="N91">
        <f t="shared" ca="1" si="9"/>
        <v>0</v>
      </c>
    </row>
    <row r="92" spans="1:14" ht="15" customHeight="1">
      <c r="A92" s="369">
        <v>203172</v>
      </c>
      <c r="B92" s="354" t="s">
        <v>724</v>
      </c>
      <c r="C92" s="345" t="str">
        <f>_xlfn.XLOOKUP(A93,'06_Resource_Plan'!$C$3:$C$136,'06_Resource_Plan'!$F$3:$F$136,"No info")</f>
        <v>No info</v>
      </c>
      <c r="D92" s="346" t="str">
        <f ca="1">_xlfn.XLOOKUP(A93,'03_BulkPack_Order'!$A$2:$A$67,'03_BulkPack_Order'!$H$2:$H$67,"No info")</f>
        <v>No info</v>
      </c>
      <c r="E92" s="347">
        <f t="shared" ca="1" si="10"/>
        <v>0</v>
      </c>
      <c r="F92" s="348">
        <f ca="1">IFERROR(VLOOKUP(A93,'01_Cages_Plan'!$C$26:$E$151,3,0),"Missing info")</f>
        <v>0</v>
      </c>
      <c r="G92" s="349">
        <v>10</v>
      </c>
      <c r="I92" t="str">
        <f ca="1">IFERROR(_xludf.XLOOKUP(A92,'00_SKU_Master'!$B$2:$B$378,'00_SKU_Master'!$E$2:$E$378,""),"")</f>
        <v/>
      </c>
      <c r="J92">
        <f ca="1">IFERROR(_xludf.XLOOKUP(A92,'00_SKU_Master'!$B$2:$B$378,'00_SKU_Master'!$F$2:$F$378,0),0)</f>
        <v>0</v>
      </c>
      <c r="K92">
        <f ca="1">IFERROR(_xludf.XLOOKUP(I92,'00_Yield_Rates'!$B$2:$B$33,'00_Yield_Rates'!$E$2:$E$33,0)/100,0)</f>
        <v>0</v>
      </c>
      <c r="L92">
        <f t="shared" ca="1" si="7"/>
        <v>0</v>
      </c>
      <c r="M92">
        <f t="shared" ca="1" si="8"/>
        <v>0</v>
      </c>
      <c r="N92">
        <f t="shared" ca="1" si="9"/>
        <v>0</v>
      </c>
    </row>
    <row r="93" spans="1:14" ht="15" customHeight="1">
      <c r="A93" s="369">
        <v>203173</v>
      </c>
      <c r="B93" s="354" t="s">
        <v>725</v>
      </c>
      <c r="C93" s="345" t="str">
        <f>_xlfn.XLOOKUP(A94,'06_Resource_Plan'!$C$3:$C$136,'06_Resource_Plan'!$F$3:$F$136,"No info")</f>
        <v>No info</v>
      </c>
      <c r="D93" s="346" t="str">
        <f ca="1">_xlfn.XLOOKUP(A94,'03_BulkPack_Order'!$A$2:$A$67,'03_BulkPack_Order'!$H$2:$H$67,"No info")</f>
        <v>No info</v>
      </c>
      <c r="E93" s="347">
        <f t="shared" ca="1" si="10"/>
        <v>0</v>
      </c>
      <c r="F93" s="348">
        <f ca="1">IFERROR(VLOOKUP(A94,'01_Cages_Plan'!$C$26:$E$151,3,0),"Missing info")</f>
        <v>0</v>
      </c>
      <c r="G93" s="349">
        <v>10</v>
      </c>
      <c r="I93" t="str">
        <f ca="1">IFERROR(_xludf.XLOOKUP(A93,'00_SKU_Master'!$B$2:$B$378,'00_SKU_Master'!$E$2:$E$378,""),"")</f>
        <v/>
      </c>
      <c r="J93">
        <f ca="1">IFERROR(_xludf.XLOOKUP(A93,'00_SKU_Master'!$B$2:$B$378,'00_SKU_Master'!$F$2:$F$378,0),0)</f>
        <v>0</v>
      </c>
      <c r="K93">
        <f ca="1">IFERROR(_xludf.XLOOKUP(I93,'00_Yield_Rates'!$B$2:$B$33,'00_Yield_Rates'!$E$2:$E$33,0)/100,0)</f>
        <v>0</v>
      </c>
      <c r="L93">
        <f t="shared" ca="1" si="7"/>
        <v>0</v>
      </c>
      <c r="M93">
        <f t="shared" ca="1" si="8"/>
        <v>0</v>
      </c>
      <c r="N93">
        <f t="shared" ca="1" si="9"/>
        <v>0</v>
      </c>
    </row>
    <row r="94" spans="1:14" ht="15" customHeight="1">
      <c r="A94" s="343">
        <v>203174</v>
      </c>
      <c r="B94" s="352" t="s">
        <v>726</v>
      </c>
      <c r="C94" s="345" t="str">
        <f>_xlfn.XLOOKUP(A95,'06_Resource_Plan'!$C$3:$C$136,'06_Resource_Plan'!$F$3:$F$136,"No info")</f>
        <v>No info</v>
      </c>
      <c r="D94" s="346" t="str">
        <f ca="1">_xlfn.XLOOKUP(A95,'03_BulkPack_Order'!$A$2:$A$67,'03_BulkPack_Order'!$H$2:$H$67,"No info")</f>
        <v>No info</v>
      </c>
      <c r="E94" s="347">
        <f t="shared" ca="1" si="10"/>
        <v>0</v>
      </c>
      <c r="F94" s="348">
        <f ca="1">IFERROR(VLOOKUP(A95,'01_Cages_Plan'!$C$26:$E$151,3,0),"Missing info")</f>
        <v>0</v>
      </c>
      <c r="G94" s="349">
        <v>10</v>
      </c>
      <c r="I94" t="str">
        <f ca="1">IFERROR(_xludf.XLOOKUP(A94,'00_SKU_Master'!$B$2:$B$378,'00_SKU_Master'!$E$2:$E$378,""),"")</f>
        <v/>
      </c>
      <c r="J94">
        <f ca="1">IFERROR(_xludf.XLOOKUP(A94,'00_SKU_Master'!$B$2:$B$378,'00_SKU_Master'!$F$2:$F$378,0),0)</f>
        <v>0</v>
      </c>
      <c r="K94">
        <f ca="1">IFERROR(_xludf.XLOOKUP(I94,'00_Yield_Rates'!$B$2:$B$33,'00_Yield_Rates'!$E$2:$E$33,0)/100,0)</f>
        <v>0</v>
      </c>
      <c r="L94">
        <f t="shared" ca="1" si="7"/>
        <v>0</v>
      </c>
      <c r="M94">
        <f t="shared" ca="1" si="8"/>
        <v>0</v>
      </c>
      <c r="N94">
        <f t="shared" ca="1" si="9"/>
        <v>0</v>
      </c>
    </row>
    <row r="95" spans="1:14" ht="25.05" customHeight="1">
      <c r="A95" s="343">
        <v>203175</v>
      </c>
      <c r="B95" s="352" t="s">
        <v>727</v>
      </c>
      <c r="C95" s="345" t="str">
        <f>_xlfn.XLOOKUP(A96,'06_Resource_Plan'!$C$3:$C$136,'06_Resource_Plan'!$F$3:$F$136,"No info")</f>
        <v>No info</v>
      </c>
      <c r="D95" s="346" t="str">
        <f ca="1">_xlfn.XLOOKUP(A96,'03_BulkPack_Order'!$A$2:$A$67,'03_BulkPack_Order'!$H$2:$H$67,"No info")</f>
        <v>No info</v>
      </c>
      <c r="E95" s="347">
        <f t="shared" ca="1" si="10"/>
        <v>0</v>
      </c>
      <c r="F95" s="348" t="str">
        <f>IFERROR(VLOOKUP(A96,'01_Cages_Plan'!$C$26:$E$151,3,0),"Missing info")</f>
        <v>Missing info</v>
      </c>
      <c r="G95" s="349">
        <v>10</v>
      </c>
      <c r="I95" t="str">
        <f ca="1">IFERROR(_xludf.XLOOKUP(A95,'00_SKU_Master'!$B$2:$B$378,'00_SKU_Master'!$E$2:$E$378,""),"")</f>
        <v/>
      </c>
      <c r="J95">
        <f ca="1">IFERROR(_xludf.XLOOKUP(A95,'00_SKU_Master'!$B$2:$B$378,'00_SKU_Master'!$F$2:$F$378,0),0)</f>
        <v>0</v>
      </c>
      <c r="K95">
        <f ca="1">IFERROR(_xludf.XLOOKUP(I95,'00_Yield_Rates'!$B$2:$B$33,'00_Yield_Rates'!$E$2:$E$33,0)/100,0)</f>
        <v>0</v>
      </c>
      <c r="L95">
        <f t="shared" ca="1" si="7"/>
        <v>0</v>
      </c>
      <c r="M95">
        <f t="shared" ca="1" si="8"/>
        <v>0</v>
      </c>
      <c r="N95">
        <f t="shared" ca="1" si="9"/>
        <v>0</v>
      </c>
    </row>
    <row r="96" spans="1:14" ht="25.05" customHeight="1">
      <c r="A96" s="335">
        <v>203178</v>
      </c>
      <c r="B96" s="350" t="s">
        <v>728</v>
      </c>
      <c r="C96" s="345" t="str">
        <f>_xlfn.XLOOKUP(A97,'06_Resource_Plan'!$C$3:$C$136,'06_Resource_Plan'!$F$3:$F$136,"No info")</f>
        <v>No info</v>
      </c>
      <c r="D96" s="346" t="str">
        <f ca="1">_xlfn.XLOOKUP(A97,'03_BulkPack_Order'!$A$2:$A$67,'03_BulkPack_Order'!$H$2:$H$67,"No info")</f>
        <v>No info</v>
      </c>
      <c r="E96" s="347">
        <f t="shared" ca="1" si="10"/>
        <v>0</v>
      </c>
      <c r="F96" s="348" t="str">
        <f>IFERROR(VLOOKUP(A97,'01_Cages_Plan'!$C$26:$E$151,3,0),"Missing info")</f>
        <v>Missing info</v>
      </c>
      <c r="G96" s="349">
        <v>9</v>
      </c>
      <c r="I96" t="str">
        <f ca="1">IFERROR(_xludf.XLOOKUP(A96,'00_SKU_Master'!$B$2:$B$378,'00_SKU_Master'!$E$2:$E$378,""),"")</f>
        <v/>
      </c>
      <c r="J96">
        <f ca="1">IFERROR(_xludf.XLOOKUP(A96,'00_SKU_Master'!$B$2:$B$378,'00_SKU_Master'!$F$2:$F$378,0),0)</f>
        <v>0</v>
      </c>
      <c r="K96">
        <f ca="1">IFERROR(_xludf.XLOOKUP(I96,'00_Yield_Rates'!$B$2:$B$33,'00_Yield_Rates'!$E$2:$E$33,0)/100,0)</f>
        <v>0</v>
      </c>
      <c r="L96">
        <f t="shared" ca="1" si="7"/>
        <v>0</v>
      </c>
      <c r="M96">
        <f t="shared" ca="1" si="8"/>
        <v>0</v>
      </c>
      <c r="N96">
        <f t="shared" ca="1" si="9"/>
        <v>0</v>
      </c>
    </row>
    <row r="97" spans="1:14" ht="15" customHeight="1">
      <c r="A97" s="335">
        <v>203193</v>
      </c>
      <c r="B97" s="350" t="s">
        <v>729</v>
      </c>
      <c r="C97" s="345" t="str">
        <f>_xlfn.XLOOKUP(A98,'06_Resource_Plan'!$C$3:$C$136,'06_Resource_Plan'!$F$3:$F$136,"No info")</f>
        <v>No info</v>
      </c>
      <c r="D97" s="346" t="str">
        <f ca="1">_xlfn.XLOOKUP(A98,'03_BulkPack_Order'!$A$2:$A$67,'03_BulkPack_Order'!$H$2:$H$67,"No info")</f>
        <v>No info</v>
      </c>
      <c r="E97" s="347">
        <f t="shared" ca="1" si="10"/>
        <v>0</v>
      </c>
      <c r="F97" s="348">
        <f ca="1">IFERROR(VLOOKUP(A98,'01_Cages_Plan'!$C$26:$E$151,3,0),"Missing info")</f>
        <v>0</v>
      </c>
      <c r="G97" s="349">
        <v>10</v>
      </c>
      <c r="I97" t="str">
        <f ca="1">IFERROR(_xludf.XLOOKUP(A97,'00_SKU_Master'!$B$2:$B$378,'00_SKU_Master'!$E$2:$E$378,""),"")</f>
        <v/>
      </c>
      <c r="J97">
        <f ca="1">IFERROR(_xludf.XLOOKUP(A97,'00_SKU_Master'!$B$2:$B$378,'00_SKU_Master'!$F$2:$F$378,0),0)</f>
        <v>0</v>
      </c>
      <c r="K97">
        <f ca="1">IFERROR(_xludf.XLOOKUP(I97,'00_Yield_Rates'!$B$2:$B$33,'00_Yield_Rates'!$E$2:$E$33,0)/100,0)</f>
        <v>0</v>
      </c>
      <c r="L97">
        <f t="shared" ca="1" si="7"/>
        <v>0</v>
      </c>
      <c r="M97">
        <f t="shared" ca="1" si="8"/>
        <v>0</v>
      </c>
      <c r="N97">
        <f t="shared" ca="1" si="9"/>
        <v>0</v>
      </c>
    </row>
    <row r="98" spans="1:14" ht="25.05" customHeight="1">
      <c r="A98" s="343">
        <v>203194</v>
      </c>
      <c r="B98" s="352"/>
      <c r="C98" s="345" t="str">
        <f>_xlfn.XLOOKUP(A99,'06_Resource_Plan'!$C$3:$C$136,'06_Resource_Plan'!$F$3:$F$136,"No info")</f>
        <v>No info</v>
      </c>
      <c r="D98" s="346" t="str">
        <f ca="1">_xlfn.XLOOKUP(A99,'03_BulkPack_Order'!$A$2:$A$67,'03_BulkPack_Order'!$H$2:$H$67,"No info")</f>
        <v>No info</v>
      </c>
      <c r="E98" s="347">
        <f t="shared" ca="1" si="10"/>
        <v>0</v>
      </c>
      <c r="F98" s="348" t="str">
        <f>IFERROR(VLOOKUP(A99,'01_Cages_Plan'!$C$26:$E$151,3,0),"Missing info")</f>
        <v>Missing info</v>
      </c>
      <c r="G98" s="349">
        <v>10</v>
      </c>
      <c r="I98" t="str">
        <f ca="1">IFERROR(_xludf.XLOOKUP(A98,'00_SKU_Master'!$B$2:$B$378,'00_SKU_Master'!$E$2:$E$378,""),"")</f>
        <v/>
      </c>
      <c r="J98">
        <f ca="1">IFERROR(_xludf.XLOOKUP(A98,'00_SKU_Master'!$B$2:$B$378,'00_SKU_Master'!$F$2:$F$378,0),0)</f>
        <v>0</v>
      </c>
      <c r="K98">
        <f ca="1">IFERROR(_xludf.XLOOKUP(I98,'00_Yield_Rates'!$B$2:$B$33,'00_Yield_Rates'!$E$2:$E$33,0)/100,0)</f>
        <v>0</v>
      </c>
      <c r="L98">
        <f t="shared" ref="L98:L129" ca="1" si="11">IF(AND(ISNUMBER(E98),ISNUMBER(J98)),E98*J98,0)</f>
        <v>0</v>
      </c>
      <c r="M98">
        <f t="shared" ref="M98:M129" ca="1" si="12">IF(AND(ISNUMBER(L98),K98&gt;0),L98/K98,0)</f>
        <v>0</v>
      </c>
      <c r="N98">
        <f t="shared" ref="N98:N129" ca="1" si="13">IF(M98&gt;0,ROUNDUP(M98/680,1),0)</f>
        <v>0</v>
      </c>
    </row>
    <row r="99" spans="1:14" ht="25.05" customHeight="1">
      <c r="A99" s="335">
        <v>203197</v>
      </c>
      <c r="B99" s="350" t="s">
        <v>730</v>
      </c>
      <c r="C99" s="345" t="str">
        <f>_xlfn.XLOOKUP(A100,'06_Resource_Plan'!$C$3:$C$136,'06_Resource_Plan'!$F$3:$F$136,"No info")</f>
        <v>No info</v>
      </c>
      <c r="D99" s="346">
        <f ca="1">_xlfn.XLOOKUP(A100,'03_BulkPack_Order'!$A$2:$A$67,'03_BulkPack_Order'!$H$2:$H$67,"No info")</f>
        <v>-5</v>
      </c>
      <c r="E99" s="347">
        <f t="shared" ca="1" si="10"/>
        <v>-5</v>
      </c>
      <c r="F99" s="348" t="str">
        <f>IFERROR(VLOOKUP(A100,'01_Cages_Plan'!$C$26:$E$151,3,0),"Missing info")</f>
        <v>Missing info</v>
      </c>
      <c r="G99" s="349">
        <v>9</v>
      </c>
      <c r="I99" t="str">
        <f ca="1">IFERROR(_xludf.XLOOKUP(A99,'00_SKU_Master'!$B$2:$B$378,'00_SKU_Master'!$E$2:$E$378,""),"")</f>
        <v/>
      </c>
      <c r="J99">
        <f ca="1">IFERROR(_xludf.XLOOKUP(A99,'00_SKU_Master'!$B$2:$B$378,'00_SKU_Master'!$F$2:$F$378,0),0)</f>
        <v>0</v>
      </c>
      <c r="K99">
        <f ca="1">IFERROR(_xludf.XLOOKUP(I99,'00_Yield_Rates'!$B$2:$B$33,'00_Yield_Rates'!$E$2:$E$33,0)/100,0)</f>
        <v>0</v>
      </c>
      <c r="L99">
        <f t="shared" ca="1" si="11"/>
        <v>0</v>
      </c>
      <c r="M99">
        <f t="shared" ca="1" si="12"/>
        <v>0</v>
      </c>
      <c r="N99">
        <f t="shared" ca="1" si="13"/>
        <v>0</v>
      </c>
    </row>
    <row r="100" spans="1:14" ht="25.05" customHeight="1">
      <c r="A100" s="343">
        <v>203624</v>
      </c>
      <c r="B100" s="352" t="s">
        <v>731</v>
      </c>
      <c r="C100" s="345" t="str">
        <f>_xlfn.XLOOKUP(A101,'06_Resource_Plan'!$C$3:$C$136,'06_Resource_Plan'!$F$3:$F$136,"No info")</f>
        <v>No info</v>
      </c>
      <c r="D100" s="346" t="str">
        <f ca="1">_xlfn.XLOOKUP(A101,'03_BulkPack_Order'!$A$2:$A$67,'03_BulkPack_Order'!$H$2:$H$67,"No info")</f>
        <v>No info</v>
      </c>
      <c r="E100" s="347">
        <f t="shared" ca="1" si="10"/>
        <v>0</v>
      </c>
      <c r="F100" s="348" t="str">
        <f>IFERROR(VLOOKUP(A101,'01_Cages_Plan'!$C$26:$E$151,3,0),"Missing info")</f>
        <v>Missing info</v>
      </c>
      <c r="G100" s="349">
        <v>10</v>
      </c>
      <c r="I100" t="str">
        <f ca="1">IFERROR(_xludf.XLOOKUP(A100,'00_SKU_Master'!$B$2:$B$378,'00_SKU_Master'!$E$2:$E$378,""),"")</f>
        <v/>
      </c>
      <c r="J100">
        <f ca="1">IFERROR(_xludf.XLOOKUP(A100,'00_SKU_Master'!$B$2:$B$378,'00_SKU_Master'!$F$2:$F$378,0),0)</f>
        <v>0</v>
      </c>
      <c r="K100">
        <f ca="1">IFERROR(_xludf.XLOOKUP(I100,'00_Yield_Rates'!$B$2:$B$33,'00_Yield_Rates'!$E$2:$E$33,0)/100,0)</f>
        <v>0</v>
      </c>
      <c r="L100">
        <f t="shared" ca="1" si="11"/>
        <v>0</v>
      </c>
      <c r="M100">
        <f t="shared" ca="1" si="12"/>
        <v>0</v>
      </c>
      <c r="N100">
        <f t="shared" ca="1" si="13"/>
        <v>0</v>
      </c>
    </row>
    <row r="101" spans="1:14" ht="25.05" customHeight="1">
      <c r="A101" s="343">
        <v>203841</v>
      </c>
      <c r="B101" s="350"/>
      <c r="C101" s="345" t="str">
        <f>_xlfn.XLOOKUP(A102,'06_Resource_Plan'!$C$3:$C$136,'06_Resource_Plan'!$F$3:$F$136,"No info")</f>
        <v>No info</v>
      </c>
      <c r="D101" s="346" t="str">
        <f ca="1">_xlfn.XLOOKUP(A102,'03_BulkPack_Order'!$A$2:$A$67,'03_BulkPack_Order'!$H$2:$H$67,"No info")</f>
        <v>No info</v>
      </c>
      <c r="E101" s="347">
        <f t="shared" ca="1" si="10"/>
        <v>0</v>
      </c>
      <c r="F101" s="348" t="str">
        <f>IFERROR(VLOOKUP(A102,'01_Cages_Plan'!$C$26:$E$151,3,0),"Missing info")</f>
        <v>Missing info</v>
      </c>
      <c r="G101" s="349"/>
      <c r="I101" t="str">
        <f ca="1">IFERROR(_xludf.XLOOKUP(A101,'00_SKU_Master'!$B$2:$B$378,'00_SKU_Master'!$E$2:$E$378,""),"")</f>
        <v/>
      </c>
      <c r="J101">
        <f ca="1">IFERROR(_xludf.XLOOKUP(A101,'00_SKU_Master'!$B$2:$B$378,'00_SKU_Master'!$F$2:$F$378,0),0)</f>
        <v>0</v>
      </c>
      <c r="K101">
        <f ca="1">IFERROR(_xludf.XLOOKUP(I101,'00_Yield_Rates'!$B$2:$B$33,'00_Yield_Rates'!$E$2:$E$33,0)/100,0)</f>
        <v>0</v>
      </c>
      <c r="L101">
        <f t="shared" ca="1" si="11"/>
        <v>0</v>
      </c>
      <c r="M101">
        <f t="shared" ca="1" si="12"/>
        <v>0</v>
      </c>
      <c r="N101">
        <f t="shared" ca="1" si="13"/>
        <v>0</v>
      </c>
    </row>
    <row r="102" spans="1:14" ht="25.05" customHeight="1">
      <c r="A102" s="343">
        <v>203846</v>
      </c>
      <c r="B102" s="350" t="s">
        <v>732</v>
      </c>
      <c r="C102" s="345" t="str">
        <f>_xlfn.XLOOKUP(A103,'06_Resource_Plan'!$C$3:$C$136,'06_Resource_Plan'!$F$3:$F$136,"No info")</f>
        <v>No info</v>
      </c>
      <c r="D102" s="346" t="str">
        <f ca="1">_xlfn.XLOOKUP(A103,'03_BulkPack_Order'!$A$2:$A$67,'03_BulkPack_Order'!$H$2:$H$67,"No info")</f>
        <v>No info</v>
      </c>
      <c r="E102" s="347">
        <f t="shared" ca="1" si="10"/>
        <v>0</v>
      </c>
      <c r="F102" s="348" t="str">
        <f>IFERROR(VLOOKUP(A103,'01_Cages_Plan'!$C$26:$E$151,3,0),"Missing info")</f>
        <v>Missing info</v>
      </c>
      <c r="G102" s="349"/>
      <c r="I102" t="str">
        <f ca="1">IFERROR(_xludf.XLOOKUP(A102,'00_SKU_Master'!$B$2:$B$378,'00_SKU_Master'!$E$2:$E$378,""),"")</f>
        <v/>
      </c>
      <c r="J102">
        <f ca="1">IFERROR(_xludf.XLOOKUP(A102,'00_SKU_Master'!$B$2:$B$378,'00_SKU_Master'!$F$2:$F$378,0),0)</f>
        <v>0</v>
      </c>
      <c r="K102">
        <f ca="1">IFERROR(_xludf.XLOOKUP(I102,'00_Yield_Rates'!$B$2:$B$33,'00_Yield_Rates'!$E$2:$E$33,0)/100,0)</f>
        <v>0</v>
      </c>
      <c r="L102">
        <f t="shared" ca="1" si="11"/>
        <v>0</v>
      </c>
      <c r="M102">
        <f t="shared" ca="1" si="12"/>
        <v>0</v>
      </c>
      <c r="N102">
        <f t="shared" ca="1" si="13"/>
        <v>0</v>
      </c>
    </row>
    <row r="103" spans="1:14" ht="25.05" customHeight="1">
      <c r="A103" s="335">
        <v>206473</v>
      </c>
      <c r="B103" s="350" t="s">
        <v>733</v>
      </c>
      <c r="C103" s="345" t="str">
        <f>_xlfn.XLOOKUP(A104,'06_Resource_Plan'!$C$3:$C$136,'06_Resource_Plan'!$F$3:$F$136,"No info")</f>
        <v>No info</v>
      </c>
      <c r="D103" s="346" t="str">
        <f ca="1">_xlfn.XLOOKUP(A104,'03_BulkPack_Order'!$A$2:$A$67,'03_BulkPack_Order'!$H$2:$H$67,"No info")</f>
        <v>No info</v>
      </c>
      <c r="E103" s="347">
        <f t="shared" ca="1" si="10"/>
        <v>0</v>
      </c>
      <c r="F103" s="348" t="str">
        <f>IFERROR(VLOOKUP(A104,'01_Cages_Plan'!$C$26:$E$151,3,0),"Missing info")</f>
        <v>Missing info</v>
      </c>
      <c r="G103" s="349">
        <v>8</v>
      </c>
      <c r="I103" t="str">
        <f ca="1">IFERROR(_xludf.XLOOKUP(A103,'00_SKU_Master'!$B$2:$B$378,'00_SKU_Master'!$E$2:$E$378,""),"")</f>
        <v/>
      </c>
      <c r="J103">
        <f ca="1">IFERROR(_xludf.XLOOKUP(A103,'00_SKU_Master'!$B$2:$B$378,'00_SKU_Master'!$F$2:$F$378,0),0)</f>
        <v>0</v>
      </c>
      <c r="K103">
        <f ca="1">IFERROR(_xludf.XLOOKUP(I103,'00_Yield_Rates'!$B$2:$B$33,'00_Yield_Rates'!$E$2:$E$33,0)/100,0)</f>
        <v>0</v>
      </c>
      <c r="L103">
        <f t="shared" ca="1" si="11"/>
        <v>0</v>
      </c>
      <c r="M103">
        <f t="shared" ca="1" si="12"/>
        <v>0</v>
      </c>
      <c r="N103">
        <f t="shared" ca="1" si="13"/>
        <v>0</v>
      </c>
    </row>
    <row r="104" spans="1:14" ht="25.05" customHeight="1">
      <c r="A104" s="335">
        <v>420172</v>
      </c>
      <c r="B104" s="350"/>
      <c r="C104" s="345" t="str">
        <f>_xlfn.XLOOKUP(A105,'06_Resource_Plan'!$C$3:$C$136,'06_Resource_Plan'!$F$3:$F$136,"No info")</f>
        <v>No info</v>
      </c>
      <c r="D104" s="346">
        <f ca="1">_xlfn.XLOOKUP(A105,'03_BulkPack_Order'!$A$2:$A$67,'03_BulkPack_Order'!$H$2:$H$67,"No info")</f>
        <v>-18</v>
      </c>
      <c r="E104" s="347">
        <f t="shared" ca="1" si="10"/>
        <v>-18</v>
      </c>
      <c r="F104" s="348" t="str">
        <f>IFERROR(VLOOKUP(A105,'01_Cages_Plan'!$C$26:$E$151,3,0),"Missing info")</f>
        <v>Missing info</v>
      </c>
      <c r="G104" s="349"/>
      <c r="I104" t="str">
        <f ca="1">IFERROR(_xludf.XLOOKUP(A104,'00_SKU_Master'!$B$2:$B$378,'00_SKU_Master'!$E$2:$E$378,""),"")</f>
        <v/>
      </c>
      <c r="J104">
        <f ca="1">IFERROR(_xludf.XLOOKUP(A104,'00_SKU_Master'!$B$2:$B$378,'00_SKU_Master'!$F$2:$F$378,0),0)</f>
        <v>0</v>
      </c>
      <c r="K104">
        <f ca="1">IFERROR(_xludf.XLOOKUP(I104,'00_Yield_Rates'!$B$2:$B$33,'00_Yield_Rates'!$E$2:$E$33,0)/100,0)</f>
        <v>0</v>
      </c>
      <c r="L104">
        <f t="shared" ca="1" si="11"/>
        <v>0</v>
      </c>
      <c r="M104">
        <f t="shared" ca="1" si="12"/>
        <v>0</v>
      </c>
      <c r="N104">
        <f t="shared" ca="1" si="13"/>
        <v>0</v>
      </c>
    </row>
    <row r="105" spans="1:14" ht="25.05" customHeight="1">
      <c r="A105" s="335">
        <v>423002</v>
      </c>
      <c r="B105" s="350" t="s">
        <v>734</v>
      </c>
      <c r="C105" s="345" t="str">
        <f>_xlfn.XLOOKUP(A106,'06_Resource_Plan'!$C$3:$C$136,'06_Resource_Plan'!$F$3:$F$136,"No info")</f>
        <v>No info</v>
      </c>
      <c r="D105" s="346" t="str">
        <f ca="1">_xlfn.XLOOKUP(A106,'03_BulkPack_Order'!$A$2:$A$67,'03_BulkPack_Order'!$H$2:$H$67,"No info")</f>
        <v>No info</v>
      </c>
      <c r="E105" s="347">
        <f t="shared" ca="1" si="10"/>
        <v>0</v>
      </c>
      <c r="F105" s="348" t="str">
        <f>IFERROR(VLOOKUP(A106,'01_Cages_Plan'!$C$26:$E$151,3,0),"Missing info")</f>
        <v>Missing info</v>
      </c>
      <c r="G105" s="349">
        <v>365</v>
      </c>
      <c r="I105" t="str">
        <f ca="1">IFERROR(_xludf.XLOOKUP(A105,'00_SKU_Master'!$B$2:$B$378,'00_SKU_Master'!$E$2:$E$378,""),"")</f>
        <v/>
      </c>
      <c r="J105">
        <f ca="1">IFERROR(_xludf.XLOOKUP(A105,'00_SKU_Master'!$B$2:$B$378,'00_SKU_Master'!$F$2:$F$378,0),0)</f>
        <v>0</v>
      </c>
      <c r="K105">
        <f ca="1">IFERROR(_xludf.XLOOKUP(I105,'00_Yield_Rates'!$B$2:$B$33,'00_Yield_Rates'!$E$2:$E$33,0)/100,0)</f>
        <v>0</v>
      </c>
      <c r="L105">
        <f t="shared" ca="1" si="11"/>
        <v>0</v>
      </c>
      <c r="M105">
        <f t="shared" ca="1" si="12"/>
        <v>0</v>
      </c>
      <c r="N105">
        <f t="shared" ca="1" si="13"/>
        <v>0</v>
      </c>
    </row>
    <row r="106" spans="1:14" ht="15" customHeight="1">
      <c r="A106" s="343">
        <v>423624</v>
      </c>
      <c r="B106" s="352" t="s">
        <v>735</v>
      </c>
      <c r="C106" s="345">
        <f>_xlfn.XLOOKUP(A107,'06_Resource_Plan'!$C$3:$C$136,'06_Resource_Plan'!$F$3:$F$136,"No info")</f>
        <v>0</v>
      </c>
      <c r="D106" s="346" t="str">
        <f ca="1">_xlfn.XLOOKUP(A107,'03_BulkPack_Order'!$A$2:$A$67,'03_BulkPack_Order'!$H$2:$H$67,"No info")</f>
        <v>No info</v>
      </c>
      <c r="E106" s="347">
        <f t="shared" ca="1" si="10"/>
        <v>0</v>
      </c>
      <c r="F106" s="348">
        <f ca="1">IFERROR(VLOOKUP(A107,'01_Cages_Plan'!$C$26:$E$151,3,0),"Missing info")</f>
        <v>0</v>
      </c>
      <c r="G106" s="349">
        <v>365</v>
      </c>
      <c r="I106" t="str">
        <f ca="1">IFERROR(_xludf.XLOOKUP(A106,'00_SKU_Master'!$B$2:$B$378,'00_SKU_Master'!$E$2:$E$378,""),"")</f>
        <v/>
      </c>
      <c r="J106">
        <f ca="1">IFERROR(_xludf.XLOOKUP(A106,'00_SKU_Master'!$B$2:$B$378,'00_SKU_Master'!$F$2:$F$378,0),0)</f>
        <v>0</v>
      </c>
      <c r="K106">
        <f ca="1">IFERROR(_xludf.XLOOKUP(I106,'00_Yield_Rates'!$B$2:$B$33,'00_Yield_Rates'!$E$2:$E$33,0)/100,0)</f>
        <v>0</v>
      </c>
      <c r="L106">
        <f t="shared" ca="1" si="11"/>
        <v>0</v>
      </c>
      <c r="M106">
        <f t="shared" ca="1" si="12"/>
        <v>0</v>
      </c>
      <c r="N106">
        <f t="shared" ca="1" si="13"/>
        <v>0</v>
      </c>
    </row>
    <row r="107" spans="1:14" ht="15" customHeight="1">
      <c r="A107" s="361" t="s">
        <v>95</v>
      </c>
      <c r="B107" s="370" t="s">
        <v>736</v>
      </c>
      <c r="C107" s="363">
        <f>_xlfn.XLOOKUP(A108,'06_Resource_Plan'!$C$3:$C$136,'06_Resource_Plan'!$F$3:$F$136,"No info")</f>
        <v>0</v>
      </c>
      <c r="D107" s="346" t="str">
        <f ca="1">_xlfn.XLOOKUP(A108,'03_BulkPack_Order'!$A$2:$A$67,'03_BulkPack_Order'!$H$2:$H$67,"No info")</f>
        <v>No info</v>
      </c>
      <c r="E107" s="347">
        <f t="shared" ca="1" si="10"/>
        <v>0</v>
      </c>
      <c r="F107" s="364">
        <f ca="1">IFERROR(VLOOKUP(A108,'01_Cages_Plan'!$C$26:$E$151,3,0),"Missing info")</f>
        <v>-24</v>
      </c>
      <c r="G107" s="349"/>
      <c r="I107" t="str">
        <f ca="1">IFERROR(_xludf.XLOOKUP(A107,'00_SKU_Master'!$B$2:$B$378,'00_SKU_Master'!$E$2:$E$378,""),"")</f>
        <v/>
      </c>
      <c r="J107">
        <f ca="1">IFERROR(_xludf.XLOOKUP(A107,'00_SKU_Master'!$B$2:$B$378,'00_SKU_Master'!$F$2:$F$378,0),0)</f>
        <v>0</v>
      </c>
      <c r="K107">
        <f ca="1">IFERROR(_xludf.XLOOKUP(I107,'00_Yield_Rates'!$B$2:$B$33,'00_Yield_Rates'!$E$2:$E$33,0)/100,0)</f>
        <v>0</v>
      </c>
      <c r="L107">
        <f t="shared" ca="1" si="11"/>
        <v>0</v>
      </c>
      <c r="M107">
        <f t="shared" ca="1" si="12"/>
        <v>0</v>
      </c>
      <c r="N107">
        <f t="shared" ca="1" si="13"/>
        <v>0</v>
      </c>
    </row>
    <row r="108" spans="1:14" ht="15" customHeight="1">
      <c r="A108" s="335" t="s">
        <v>96</v>
      </c>
      <c r="B108" s="350"/>
      <c r="C108" s="345">
        <f>_xlfn.XLOOKUP(A109,'06_Resource_Plan'!$C$3:$C$136,'06_Resource_Plan'!$F$3:$F$136,"No info")</f>
        <v>-24</v>
      </c>
      <c r="D108" s="346" t="str">
        <f ca="1">_xlfn.XLOOKUP(A109,'03_BulkPack_Order'!$A$2:$A$67,'03_BulkPack_Order'!$H$2:$H$67,"No info")</f>
        <v>No info</v>
      </c>
      <c r="E108" s="347">
        <f t="shared" ca="1" si="10"/>
        <v>-24</v>
      </c>
      <c r="F108" s="348">
        <f ca="1">IFERROR(VLOOKUP(A109,'01_Cages_Plan'!$C$26:$E$151,3,0),"Missing info")</f>
        <v>-168</v>
      </c>
      <c r="G108" s="349"/>
      <c r="I108" t="str">
        <f ca="1">IFERROR(_xludf.XLOOKUP(A108,'00_SKU_Master'!$B$2:$B$378,'00_SKU_Master'!$E$2:$E$378,""),"")</f>
        <v/>
      </c>
      <c r="J108">
        <f ca="1">IFERROR(_xludf.XLOOKUP(A108,'00_SKU_Master'!$B$2:$B$378,'00_SKU_Master'!$F$2:$F$378,0),0)</f>
        <v>0</v>
      </c>
      <c r="K108">
        <f ca="1">IFERROR(_xludf.XLOOKUP(I108,'00_Yield_Rates'!$B$2:$B$33,'00_Yield_Rates'!$E$2:$E$33,0)/100,0)</f>
        <v>0</v>
      </c>
      <c r="L108">
        <f t="shared" ca="1" si="11"/>
        <v>0</v>
      </c>
      <c r="M108">
        <f t="shared" ca="1" si="12"/>
        <v>0</v>
      </c>
      <c r="N108">
        <f t="shared" ca="1" si="13"/>
        <v>0</v>
      </c>
    </row>
    <row r="109" spans="1:14" ht="15" customHeight="1">
      <c r="A109" s="335" t="s">
        <v>97</v>
      </c>
      <c r="B109" s="350"/>
      <c r="C109" s="345">
        <f>_xlfn.XLOOKUP(A110,'06_Resource_Plan'!$C$3:$C$136,'06_Resource_Plan'!$F$3:$F$136,"No info")</f>
        <v>-168</v>
      </c>
      <c r="D109" s="346" t="str">
        <f ca="1">_xlfn.XLOOKUP(A110,'03_BulkPack_Order'!$A$2:$A$67,'03_BulkPack_Order'!$H$2:$H$67,"No info")</f>
        <v>No info</v>
      </c>
      <c r="E109" s="347">
        <f t="shared" ca="1" si="10"/>
        <v>-168</v>
      </c>
      <c r="F109" s="348">
        <f ca="1">IFERROR(VLOOKUP(A110,'01_Cages_Plan'!$C$26:$E$151,3,0),"Missing info")</f>
        <v>-67</v>
      </c>
      <c r="G109" s="349"/>
      <c r="I109" t="str">
        <f ca="1">IFERROR(_xludf.XLOOKUP(A109,'00_SKU_Master'!$B$2:$B$378,'00_SKU_Master'!$E$2:$E$378,""),"")</f>
        <v/>
      </c>
      <c r="J109">
        <f ca="1">IFERROR(_xludf.XLOOKUP(A109,'00_SKU_Master'!$B$2:$B$378,'00_SKU_Master'!$F$2:$F$378,0),0)</f>
        <v>0</v>
      </c>
      <c r="K109">
        <f ca="1">IFERROR(_xludf.XLOOKUP(I109,'00_Yield_Rates'!$B$2:$B$33,'00_Yield_Rates'!$E$2:$E$33,0)/100,0)</f>
        <v>0</v>
      </c>
      <c r="L109">
        <f t="shared" ca="1" si="11"/>
        <v>0</v>
      </c>
      <c r="M109">
        <f t="shared" ca="1" si="12"/>
        <v>0</v>
      </c>
      <c r="N109">
        <f t="shared" ca="1" si="13"/>
        <v>0</v>
      </c>
    </row>
    <row r="110" spans="1:14" ht="15" customHeight="1">
      <c r="A110" s="361" t="s">
        <v>102</v>
      </c>
      <c r="B110" s="362" t="s">
        <v>737</v>
      </c>
      <c r="C110" s="363">
        <f>_xlfn.XLOOKUP(A111,'06_Resource_Plan'!$C$3:$C$136,'06_Resource_Plan'!$F$3:$F$136,"No info")</f>
        <v>-67</v>
      </c>
      <c r="D110" s="346" t="str">
        <f ca="1">_xlfn.XLOOKUP(A111,'03_BulkPack_Order'!$A$2:$A$67,'03_BulkPack_Order'!$H$2:$H$67,"No info")</f>
        <v>No info</v>
      </c>
      <c r="E110" s="347">
        <f t="shared" ca="1" si="10"/>
        <v>-67</v>
      </c>
      <c r="F110" s="364">
        <f ca="1">IFERROR(VLOOKUP(A111,'01_Cages_Plan'!$C$26:$E$151,3,0),"Missing info")</f>
        <v>0</v>
      </c>
      <c r="G110" s="349"/>
      <c r="I110" t="str">
        <f ca="1">IFERROR(_xludf.XLOOKUP(A110,'00_SKU_Master'!$B$2:$B$378,'00_SKU_Master'!$E$2:$E$378,""),"")</f>
        <v/>
      </c>
      <c r="J110">
        <f ca="1">IFERROR(_xludf.XLOOKUP(A110,'00_SKU_Master'!$B$2:$B$378,'00_SKU_Master'!$F$2:$F$378,0),0)</f>
        <v>0</v>
      </c>
      <c r="K110">
        <f ca="1">IFERROR(_xludf.XLOOKUP(I110,'00_Yield_Rates'!$B$2:$B$33,'00_Yield_Rates'!$E$2:$E$33,0)/100,0)</f>
        <v>0</v>
      </c>
      <c r="L110">
        <f t="shared" ca="1" si="11"/>
        <v>0</v>
      </c>
      <c r="M110">
        <f t="shared" ca="1" si="12"/>
        <v>0</v>
      </c>
      <c r="N110">
        <f t="shared" ca="1" si="13"/>
        <v>0</v>
      </c>
    </row>
    <row r="111" spans="1:14" ht="15" customHeight="1">
      <c r="A111" s="335" t="s">
        <v>104</v>
      </c>
      <c r="B111" s="350"/>
      <c r="C111" s="345">
        <f>_xlfn.XLOOKUP(A112,'06_Resource_Plan'!$C$3:$C$136,'06_Resource_Plan'!$F$3:$F$136,"No info")</f>
        <v>0</v>
      </c>
      <c r="D111" s="346" t="str">
        <f ca="1">_xlfn.XLOOKUP(A112,'03_BulkPack_Order'!$A$2:$A$67,'03_BulkPack_Order'!$H$2:$H$67,"No info")</f>
        <v>No info</v>
      </c>
      <c r="E111" s="347">
        <f t="shared" ca="1" si="10"/>
        <v>0</v>
      </c>
      <c r="F111" s="348">
        <f ca="1">IFERROR(VLOOKUP(A112,'01_Cages_Plan'!$C$26:$E$151,3,0),"Missing info")</f>
        <v>0</v>
      </c>
      <c r="G111" s="349"/>
      <c r="I111" t="str">
        <f ca="1">IFERROR(_xludf.XLOOKUP(A111,'00_SKU_Master'!$B$2:$B$378,'00_SKU_Master'!$E$2:$E$378,""),"")</f>
        <v/>
      </c>
      <c r="J111">
        <f ca="1">IFERROR(_xludf.XLOOKUP(A111,'00_SKU_Master'!$B$2:$B$378,'00_SKU_Master'!$F$2:$F$378,0),0)</f>
        <v>0</v>
      </c>
      <c r="K111">
        <f ca="1">IFERROR(_xludf.XLOOKUP(I111,'00_Yield_Rates'!$B$2:$B$33,'00_Yield_Rates'!$E$2:$E$33,0)/100,0)</f>
        <v>0</v>
      </c>
      <c r="L111">
        <f t="shared" ca="1" si="11"/>
        <v>0</v>
      </c>
      <c r="M111">
        <f t="shared" ca="1" si="12"/>
        <v>0</v>
      </c>
      <c r="N111">
        <f t="shared" ca="1" si="13"/>
        <v>0</v>
      </c>
    </row>
    <row r="112" spans="1:14" ht="25.05" customHeight="1">
      <c r="A112" s="343" t="s">
        <v>106</v>
      </c>
      <c r="B112" s="352" t="s">
        <v>738</v>
      </c>
      <c r="C112" s="345" t="str">
        <f>_xlfn.XLOOKUP(A113,'06_Resource_Plan'!$C$3:$C$136,'06_Resource_Plan'!$F$3:$F$136,"No info")</f>
        <v>No info</v>
      </c>
      <c r="D112" s="346" t="str">
        <f ca="1">_xlfn.XLOOKUP(A113,'03_BulkPack_Order'!$A$2:$A$67,'03_BulkPack_Order'!$H$2:$H$67,"No info")</f>
        <v>No info</v>
      </c>
      <c r="E112" s="347">
        <f t="shared" ca="1" si="10"/>
        <v>0</v>
      </c>
      <c r="F112" s="348" t="str">
        <f>IFERROR(VLOOKUP(A113,'01_Cages_Plan'!$C$26:$E$151,3,0),"Missing info")</f>
        <v>Missing info</v>
      </c>
      <c r="G112" s="349"/>
      <c r="I112" t="str">
        <f ca="1">IFERROR(_xludf.XLOOKUP(A112,'00_SKU_Master'!$B$2:$B$378,'00_SKU_Master'!$E$2:$E$378,""),"")</f>
        <v/>
      </c>
      <c r="J112">
        <f ca="1">IFERROR(_xludf.XLOOKUP(A112,'00_SKU_Master'!$B$2:$B$378,'00_SKU_Master'!$F$2:$F$378,0),0)</f>
        <v>0</v>
      </c>
      <c r="K112">
        <f ca="1">IFERROR(_xludf.XLOOKUP(I112,'00_Yield_Rates'!$B$2:$B$33,'00_Yield_Rates'!$E$2:$E$33,0)/100,0)</f>
        <v>0</v>
      </c>
      <c r="L112">
        <f t="shared" ca="1" si="11"/>
        <v>0</v>
      </c>
      <c r="M112">
        <f t="shared" ca="1" si="12"/>
        <v>0</v>
      </c>
      <c r="N112">
        <f t="shared" ca="1" si="13"/>
        <v>0</v>
      </c>
    </row>
    <row r="113" spans="1:14" ht="15" customHeight="1">
      <c r="A113" s="335" t="s">
        <v>739</v>
      </c>
      <c r="B113" s="350"/>
      <c r="C113" s="345">
        <f>_xlfn.XLOOKUP(A114,'06_Resource_Plan'!$C$3:$C$136,'06_Resource_Plan'!$F$3:$F$136,"No info")</f>
        <v>-83</v>
      </c>
      <c r="D113" s="346" t="str">
        <f ca="1">_xlfn.XLOOKUP(A114,'03_BulkPack_Order'!$A$2:$A$67,'03_BulkPack_Order'!$H$2:$H$67,"No info")</f>
        <v>No info</v>
      </c>
      <c r="E113" s="347">
        <f t="shared" ca="1" si="10"/>
        <v>-83</v>
      </c>
      <c r="F113" s="348">
        <f ca="1">IFERROR(VLOOKUP(A114,'01_Cages_Plan'!$C$26:$E$151,3,0),"Missing info")</f>
        <v>0</v>
      </c>
      <c r="G113" s="349"/>
      <c r="I113" t="str">
        <f ca="1">IFERROR(_xludf.XLOOKUP(A113,'00_SKU_Master'!$B$2:$B$378,'00_SKU_Master'!$E$2:$E$378,""),"")</f>
        <v/>
      </c>
      <c r="J113">
        <f ca="1">IFERROR(_xludf.XLOOKUP(A113,'00_SKU_Master'!$B$2:$B$378,'00_SKU_Master'!$F$2:$F$378,0),0)</f>
        <v>0</v>
      </c>
      <c r="K113">
        <f ca="1">IFERROR(_xludf.XLOOKUP(I113,'00_Yield_Rates'!$B$2:$B$33,'00_Yield_Rates'!$E$2:$E$33,0)/100,0)</f>
        <v>0</v>
      </c>
      <c r="L113">
        <f t="shared" ca="1" si="11"/>
        <v>0</v>
      </c>
      <c r="M113">
        <f t="shared" ca="1" si="12"/>
        <v>0</v>
      </c>
      <c r="N113">
        <f t="shared" ca="1" si="13"/>
        <v>0</v>
      </c>
    </row>
    <row r="114" spans="1:14" ht="15" customHeight="1">
      <c r="A114" s="343" t="s">
        <v>108</v>
      </c>
      <c r="B114" s="352" t="s">
        <v>740</v>
      </c>
      <c r="C114" s="345">
        <f>_xlfn.XLOOKUP(A115,'06_Resource_Plan'!$C$3:$C$136,'06_Resource_Plan'!$F$3:$F$136,"No info")</f>
        <v>0</v>
      </c>
      <c r="D114" s="346" t="str">
        <f ca="1">_xlfn.XLOOKUP(A115,'03_BulkPack_Order'!$A$2:$A$67,'03_BulkPack_Order'!$H$2:$H$67,"No info")</f>
        <v>No info</v>
      </c>
      <c r="E114" s="347">
        <f t="shared" ca="1" si="10"/>
        <v>0</v>
      </c>
      <c r="F114" s="348">
        <f ca="1">IFERROR(VLOOKUP(A115,'01_Cages_Plan'!$C$26:$E$151,3,0),"Missing info")</f>
        <v>-144</v>
      </c>
      <c r="G114" s="349"/>
      <c r="I114" t="str">
        <f ca="1">IFERROR(_xludf.XLOOKUP(A114,'00_SKU_Master'!$B$2:$B$378,'00_SKU_Master'!$E$2:$E$378,""),"")</f>
        <v/>
      </c>
      <c r="J114">
        <f ca="1">IFERROR(_xludf.XLOOKUP(A114,'00_SKU_Master'!$B$2:$B$378,'00_SKU_Master'!$F$2:$F$378,0),0)</f>
        <v>0</v>
      </c>
      <c r="K114">
        <f ca="1">IFERROR(_xludf.XLOOKUP(I114,'00_Yield_Rates'!$B$2:$B$33,'00_Yield_Rates'!$E$2:$E$33,0)/100,0)</f>
        <v>0</v>
      </c>
      <c r="L114">
        <f t="shared" ca="1" si="11"/>
        <v>0</v>
      </c>
      <c r="M114">
        <f t="shared" ca="1" si="12"/>
        <v>0</v>
      </c>
      <c r="N114">
        <f t="shared" ca="1" si="13"/>
        <v>0</v>
      </c>
    </row>
    <row r="115" spans="1:14" ht="15" customHeight="1">
      <c r="A115" s="361" t="s">
        <v>110</v>
      </c>
      <c r="B115" s="366" t="s">
        <v>741</v>
      </c>
      <c r="C115" s="363">
        <f>_xlfn.XLOOKUP(A116,'06_Resource_Plan'!$C$3:$C$136,'06_Resource_Plan'!$F$3:$F$136,"No info")</f>
        <v>-144</v>
      </c>
      <c r="D115" s="346" t="str">
        <f ca="1">_xlfn.XLOOKUP(A116,'03_BulkPack_Order'!$A$2:$A$67,'03_BulkPack_Order'!$H$2:$H$67,"No info")</f>
        <v>No info</v>
      </c>
      <c r="E115" s="347">
        <f t="shared" ca="1" si="10"/>
        <v>-144</v>
      </c>
      <c r="F115" s="364">
        <f ca="1">IFERROR(VLOOKUP(A116,'01_Cages_Plan'!$C$26:$E$151,3,0),"Missing info")</f>
        <v>0</v>
      </c>
      <c r="G115" s="349"/>
      <c r="I115" t="str">
        <f ca="1">IFERROR(_xludf.XLOOKUP(A115,'00_SKU_Master'!$B$2:$B$378,'00_SKU_Master'!$E$2:$E$378,""),"")</f>
        <v/>
      </c>
      <c r="J115">
        <f ca="1">IFERROR(_xludf.XLOOKUP(A115,'00_SKU_Master'!$B$2:$B$378,'00_SKU_Master'!$F$2:$F$378,0),0)</f>
        <v>0</v>
      </c>
      <c r="K115">
        <f ca="1">IFERROR(_xludf.XLOOKUP(I115,'00_Yield_Rates'!$B$2:$B$33,'00_Yield_Rates'!$E$2:$E$33,0)/100,0)</f>
        <v>0</v>
      </c>
      <c r="L115">
        <f t="shared" ca="1" si="11"/>
        <v>0</v>
      </c>
      <c r="M115">
        <f t="shared" ca="1" si="12"/>
        <v>0</v>
      </c>
      <c r="N115">
        <f t="shared" ca="1" si="13"/>
        <v>0</v>
      </c>
    </row>
    <row r="116" spans="1:14" ht="15" customHeight="1">
      <c r="A116" s="335" t="s">
        <v>112</v>
      </c>
      <c r="B116" s="350"/>
      <c r="C116" s="345">
        <f>_xlfn.XLOOKUP(A117,'06_Resource_Plan'!$C$3:$C$136,'06_Resource_Plan'!$F$3:$F$136,"No info")</f>
        <v>0</v>
      </c>
      <c r="D116" s="346" t="str">
        <f ca="1">_xlfn.XLOOKUP(A117,'03_BulkPack_Order'!$A$2:$A$67,'03_BulkPack_Order'!$H$2:$H$67,"No info")</f>
        <v>No info</v>
      </c>
      <c r="E116" s="347">
        <f t="shared" ca="1" si="10"/>
        <v>0</v>
      </c>
      <c r="F116" s="348">
        <f ca="1">IFERROR(VLOOKUP(A117,'01_Cages_Plan'!$C$26:$E$151,3,0),"Missing info")</f>
        <v>-13</v>
      </c>
      <c r="G116" s="349"/>
      <c r="I116" t="str">
        <f ca="1">IFERROR(_xludf.XLOOKUP(A116,'00_SKU_Master'!$B$2:$B$378,'00_SKU_Master'!$E$2:$E$378,""),"")</f>
        <v/>
      </c>
      <c r="J116">
        <f ca="1">IFERROR(_xludf.XLOOKUP(A116,'00_SKU_Master'!$B$2:$B$378,'00_SKU_Master'!$F$2:$F$378,0),0)</f>
        <v>0</v>
      </c>
      <c r="K116">
        <f ca="1">IFERROR(_xludf.XLOOKUP(I116,'00_Yield_Rates'!$B$2:$B$33,'00_Yield_Rates'!$E$2:$E$33,0)/100,0)</f>
        <v>0</v>
      </c>
      <c r="L116">
        <f t="shared" ca="1" si="11"/>
        <v>0</v>
      </c>
      <c r="M116">
        <f t="shared" ca="1" si="12"/>
        <v>0</v>
      </c>
      <c r="N116">
        <f t="shared" ca="1" si="13"/>
        <v>0</v>
      </c>
    </row>
    <row r="117" spans="1:14" ht="15" customHeight="1">
      <c r="A117" s="343" t="s">
        <v>114</v>
      </c>
      <c r="B117" s="365" t="s">
        <v>742</v>
      </c>
      <c r="C117" s="345">
        <f>_xlfn.XLOOKUP(A118,'06_Resource_Plan'!$C$3:$C$136,'06_Resource_Plan'!$F$3:$F$136,"No info")</f>
        <v>-13</v>
      </c>
      <c r="D117" s="346" t="str">
        <f ca="1">_xlfn.XLOOKUP(A118,'03_BulkPack_Order'!$A$2:$A$67,'03_BulkPack_Order'!$H$2:$H$67,"No info")</f>
        <v>No info</v>
      </c>
      <c r="E117" s="347">
        <f t="shared" ca="1" si="10"/>
        <v>-13</v>
      </c>
      <c r="F117" s="348">
        <f ca="1">IFERROR(VLOOKUP(A118,'01_Cages_Plan'!$C$26:$E$151,3,0),"Missing info")</f>
        <v>0</v>
      </c>
      <c r="G117" s="349"/>
      <c r="I117" t="str">
        <f ca="1">IFERROR(_xludf.XLOOKUP(A117,'00_SKU_Master'!$B$2:$B$378,'00_SKU_Master'!$E$2:$E$378,""),"")</f>
        <v/>
      </c>
      <c r="J117">
        <f ca="1">IFERROR(_xludf.XLOOKUP(A117,'00_SKU_Master'!$B$2:$B$378,'00_SKU_Master'!$F$2:$F$378,0),0)</f>
        <v>0</v>
      </c>
      <c r="K117">
        <f ca="1">IFERROR(_xludf.XLOOKUP(I117,'00_Yield_Rates'!$B$2:$B$33,'00_Yield_Rates'!$E$2:$E$33,0)/100,0)</f>
        <v>0</v>
      </c>
      <c r="L117">
        <f t="shared" ca="1" si="11"/>
        <v>0</v>
      </c>
      <c r="M117">
        <f t="shared" ca="1" si="12"/>
        <v>0</v>
      </c>
      <c r="N117">
        <f t="shared" ca="1" si="13"/>
        <v>0</v>
      </c>
    </row>
    <row r="118" spans="1:14" ht="15" customHeight="1">
      <c r="A118" s="343" t="s">
        <v>116</v>
      </c>
      <c r="B118" s="365" t="s">
        <v>743</v>
      </c>
      <c r="C118" s="345">
        <f>_xlfn.XLOOKUP(A119,'06_Resource_Plan'!$C$3:$C$136,'06_Resource_Plan'!$F$3:$F$136,"No info")</f>
        <v>0</v>
      </c>
      <c r="D118" s="346" t="str">
        <f ca="1">_xlfn.XLOOKUP(A119,'03_BulkPack_Order'!$A$2:$A$67,'03_BulkPack_Order'!$H$2:$H$67,"No info")</f>
        <v>No info</v>
      </c>
      <c r="E118" s="347">
        <f t="shared" ca="1" si="10"/>
        <v>0</v>
      </c>
      <c r="F118" s="348">
        <f ca="1">IFERROR(VLOOKUP(A119,'01_Cages_Plan'!$C$26:$E$151,3,0),"Missing info")</f>
        <v>-128</v>
      </c>
      <c r="G118" s="349"/>
      <c r="I118" t="str">
        <f ca="1">IFERROR(_xludf.XLOOKUP(A118,'00_SKU_Master'!$B$2:$B$378,'00_SKU_Master'!$E$2:$E$378,""),"")</f>
        <v/>
      </c>
      <c r="J118">
        <f ca="1">IFERROR(_xludf.XLOOKUP(A118,'00_SKU_Master'!$B$2:$B$378,'00_SKU_Master'!$F$2:$F$378,0),0)</f>
        <v>0</v>
      </c>
      <c r="K118">
        <f ca="1">IFERROR(_xludf.XLOOKUP(I118,'00_Yield_Rates'!$B$2:$B$33,'00_Yield_Rates'!$E$2:$E$33,0)/100,0)</f>
        <v>0</v>
      </c>
      <c r="L118">
        <f t="shared" ca="1" si="11"/>
        <v>0</v>
      </c>
      <c r="M118">
        <f t="shared" ca="1" si="12"/>
        <v>0</v>
      </c>
      <c r="N118">
        <f t="shared" ca="1" si="13"/>
        <v>0</v>
      </c>
    </row>
    <row r="119" spans="1:14" ht="15" customHeight="1">
      <c r="A119" s="371" t="s">
        <v>118</v>
      </c>
      <c r="B119" s="366" t="s">
        <v>744</v>
      </c>
      <c r="C119" s="363">
        <f>_xlfn.XLOOKUP(A120,'06_Resource_Plan'!$C$3:$C$136,'06_Resource_Plan'!$F$3:$F$136,"No info")</f>
        <v>-128</v>
      </c>
      <c r="D119" s="346" t="str">
        <f ca="1">_xlfn.XLOOKUP(A120,'03_BulkPack_Order'!$A$2:$A$67,'03_BulkPack_Order'!$H$2:$H$67,"No info")</f>
        <v>No info</v>
      </c>
      <c r="E119" s="347">
        <f t="shared" ca="1" si="10"/>
        <v>-128</v>
      </c>
      <c r="F119" s="364">
        <f ca="1">IFERROR(VLOOKUP(A120,'01_Cages_Plan'!$C$26:$E$151,3,0),"Missing info")</f>
        <v>0</v>
      </c>
      <c r="G119" s="349"/>
      <c r="I119" t="str">
        <f ca="1">IFERROR(_xludf.XLOOKUP(A119,'00_SKU_Master'!$B$2:$B$378,'00_SKU_Master'!$E$2:$E$378,""),"")</f>
        <v/>
      </c>
      <c r="J119">
        <f ca="1">IFERROR(_xludf.XLOOKUP(A119,'00_SKU_Master'!$B$2:$B$378,'00_SKU_Master'!$F$2:$F$378,0),0)</f>
        <v>0</v>
      </c>
      <c r="K119">
        <f ca="1">IFERROR(_xludf.XLOOKUP(I119,'00_Yield_Rates'!$B$2:$B$33,'00_Yield_Rates'!$E$2:$E$33,0)/100,0)</f>
        <v>0</v>
      </c>
      <c r="L119">
        <f t="shared" ca="1" si="11"/>
        <v>0</v>
      </c>
      <c r="M119">
        <f t="shared" ca="1" si="12"/>
        <v>0</v>
      </c>
      <c r="N119">
        <f t="shared" ca="1" si="13"/>
        <v>0</v>
      </c>
    </row>
    <row r="120" spans="1:14" ht="15" customHeight="1">
      <c r="A120" s="335" t="s">
        <v>120</v>
      </c>
      <c r="B120" s="350"/>
      <c r="C120" s="345">
        <f>_xlfn.XLOOKUP(A121,'06_Resource_Plan'!$C$3:$C$136,'06_Resource_Plan'!$F$3:$F$136,"No info")</f>
        <v>0</v>
      </c>
      <c r="D120" s="346" t="str">
        <f ca="1">_xlfn.XLOOKUP(A121,'03_BulkPack_Order'!$A$2:$A$67,'03_BulkPack_Order'!$H$2:$H$67,"No info")</f>
        <v>No info</v>
      </c>
      <c r="E120" s="347">
        <f t="shared" ca="1" si="10"/>
        <v>0</v>
      </c>
      <c r="F120" s="348">
        <f ca="1">IFERROR(VLOOKUP(A121,'01_Cages_Plan'!$C$26:$E$151,3,0),"Missing info")</f>
        <v>0</v>
      </c>
      <c r="G120" s="349"/>
      <c r="I120" t="str">
        <f ca="1">IFERROR(_xludf.XLOOKUP(A120,'00_SKU_Master'!$B$2:$B$378,'00_SKU_Master'!$E$2:$E$378,""),"")</f>
        <v/>
      </c>
      <c r="J120">
        <f ca="1">IFERROR(_xludf.XLOOKUP(A120,'00_SKU_Master'!$B$2:$B$378,'00_SKU_Master'!$F$2:$F$378,0),0)</f>
        <v>0</v>
      </c>
      <c r="K120">
        <f ca="1">IFERROR(_xludf.XLOOKUP(I120,'00_Yield_Rates'!$B$2:$B$33,'00_Yield_Rates'!$E$2:$E$33,0)/100,0)</f>
        <v>0</v>
      </c>
      <c r="L120">
        <f t="shared" ca="1" si="11"/>
        <v>0</v>
      </c>
      <c r="M120">
        <f t="shared" ca="1" si="12"/>
        <v>0</v>
      </c>
      <c r="N120">
        <f t="shared" ca="1" si="13"/>
        <v>0</v>
      </c>
    </row>
    <row r="121" spans="1:14" ht="25.05" customHeight="1">
      <c r="A121" s="343" t="s">
        <v>122</v>
      </c>
      <c r="B121" s="365" t="s">
        <v>745</v>
      </c>
      <c r="C121" s="345" t="str">
        <f>_xlfn.XLOOKUP(A122,'06_Resource_Plan'!$C$3:$C$136,'06_Resource_Plan'!$F$3:$F$136,"No info")</f>
        <v>No info</v>
      </c>
      <c r="D121" s="346" t="str">
        <f ca="1">_xlfn.XLOOKUP(A122,'03_BulkPack_Order'!$A$2:$A$67,'03_BulkPack_Order'!$H$2:$H$67,"No info")</f>
        <v>No info</v>
      </c>
      <c r="E121" s="347">
        <f t="shared" ca="1" si="10"/>
        <v>0</v>
      </c>
      <c r="F121" s="348" t="str">
        <f>IFERROR(VLOOKUP(A122,'01_Cages_Plan'!$C$26:$E$151,3,0),"Missing info")</f>
        <v>Missing info</v>
      </c>
      <c r="G121" s="349"/>
      <c r="I121" t="str">
        <f ca="1">IFERROR(_xludf.XLOOKUP(A121,'00_SKU_Master'!$B$2:$B$378,'00_SKU_Master'!$E$2:$E$378,""),"")</f>
        <v/>
      </c>
      <c r="J121">
        <f ca="1">IFERROR(_xludf.XLOOKUP(A121,'00_SKU_Master'!$B$2:$B$378,'00_SKU_Master'!$F$2:$F$378,0),0)</f>
        <v>0</v>
      </c>
      <c r="K121">
        <f ca="1">IFERROR(_xludf.XLOOKUP(I121,'00_Yield_Rates'!$B$2:$B$33,'00_Yield_Rates'!$E$2:$E$33,0)/100,0)</f>
        <v>0</v>
      </c>
      <c r="L121">
        <f t="shared" ca="1" si="11"/>
        <v>0</v>
      </c>
      <c r="M121">
        <f t="shared" ca="1" si="12"/>
        <v>0</v>
      </c>
      <c r="N121">
        <f t="shared" ca="1" si="13"/>
        <v>0</v>
      </c>
    </row>
    <row r="122" spans="1:14" ht="25.05" customHeight="1">
      <c r="A122" s="335" t="s">
        <v>746</v>
      </c>
      <c r="B122" s="350"/>
      <c r="C122" s="345" t="str">
        <f>_xlfn.XLOOKUP(A123,'06_Resource_Plan'!$C$3:$C$136,'06_Resource_Plan'!$F$3:$F$136,"No info")</f>
        <v>No info</v>
      </c>
      <c r="D122" s="346" t="str">
        <f ca="1">_xlfn.XLOOKUP(A123,'03_BulkPack_Order'!$A$2:$A$67,'03_BulkPack_Order'!$H$2:$H$67,"No info")</f>
        <v>No info</v>
      </c>
      <c r="E122" s="347">
        <f t="shared" ca="1" si="10"/>
        <v>0</v>
      </c>
      <c r="F122" s="348" t="str">
        <f>IFERROR(VLOOKUP(A123,'01_Cages_Plan'!$C$26:$E$151,3,0),"Missing info")</f>
        <v>Missing info</v>
      </c>
      <c r="G122" s="349"/>
      <c r="I122" t="str">
        <f ca="1">IFERROR(_xludf.XLOOKUP(A122,'00_SKU_Master'!$B$2:$B$378,'00_SKU_Master'!$E$2:$E$378,""),"")</f>
        <v/>
      </c>
      <c r="J122">
        <f ca="1">IFERROR(_xludf.XLOOKUP(A122,'00_SKU_Master'!$B$2:$B$378,'00_SKU_Master'!$F$2:$F$378,0),0)</f>
        <v>0</v>
      </c>
      <c r="K122">
        <f ca="1">IFERROR(_xludf.XLOOKUP(I122,'00_Yield_Rates'!$B$2:$B$33,'00_Yield_Rates'!$E$2:$E$33,0)/100,0)</f>
        <v>0</v>
      </c>
      <c r="L122">
        <f t="shared" ca="1" si="11"/>
        <v>0</v>
      </c>
      <c r="M122">
        <f t="shared" ca="1" si="12"/>
        <v>0</v>
      </c>
      <c r="N122">
        <f t="shared" ca="1" si="13"/>
        <v>0</v>
      </c>
    </row>
    <row r="123" spans="1:14" ht="15" customHeight="1">
      <c r="A123" s="343" t="s">
        <v>612</v>
      </c>
      <c r="B123" s="352" t="s">
        <v>747</v>
      </c>
      <c r="C123" s="345" t="str">
        <f>_xlfn.XLOOKUP(A124,'06_Resource_Plan'!$C$3:$C$136,'06_Resource_Plan'!$F$3:$F$136,"No info")</f>
        <v>No info</v>
      </c>
      <c r="D123" s="346" t="str">
        <f ca="1">_xlfn.XLOOKUP(A124,'03_BulkPack_Order'!$A$2:$A$67,'03_BulkPack_Order'!$H$2:$H$67,"No info")</f>
        <v>No info</v>
      </c>
      <c r="E123" s="347">
        <f t="shared" ca="1" si="10"/>
        <v>0</v>
      </c>
      <c r="F123" s="348">
        <f ca="1">IFERROR(VLOOKUP(A124,'01_Cages_Plan'!$C$26:$E$151,3,0),"Missing info")</f>
        <v>0</v>
      </c>
      <c r="G123" s="349"/>
      <c r="I123" t="str">
        <f ca="1">IFERROR(_xludf.XLOOKUP(A123,'00_SKU_Master'!$B$2:$B$378,'00_SKU_Master'!$E$2:$E$378,""),"")</f>
        <v/>
      </c>
      <c r="J123">
        <f ca="1">IFERROR(_xludf.XLOOKUP(A123,'00_SKU_Master'!$B$2:$B$378,'00_SKU_Master'!$F$2:$F$378,0),0)</f>
        <v>0</v>
      </c>
      <c r="K123">
        <f ca="1">IFERROR(_xludf.XLOOKUP(I123,'00_Yield_Rates'!$B$2:$B$33,'00_Yield_Rates'!$E$2:$E$33,0)/100,0)</f>
        <v>0</v>
      </c>
      <c r="L123">
        <f t="shared" ca="1" si="11"/>
        <v>0</v>
      </c>
      <c r="M123">
        <f t="shared" ca="1" si="12"/>
        <v>0</v>
      </c>
      <c r="N123">
        <f t="shared" ca="1" si="13"/>
        <v>0</v>
      </c>
    </row>
    <row r="124" spans="1:14" ht="15" customHeight="1">
      <c r="A124" s="335" t="s">
        <v>454</v>
      </c>
      <c r="B124" s="350"/>
      <c r="C124" s="345" t="str">
        <f>_xlfn.XLOOKUP(A125,'06_Resource_Plan'!$C$3:$C$136,'06_Resource_Plan'!$F$3:$F$136,"No info")</f>
        <v>No info</v>
      </c>
      <c r="D124" s="346" t="str">
        <f ca="1">_xlfn.XLOOKUP(A125,'03_BulkPack_Order'!$A$2:$A$67,'03_BulkPack_Order'!$H$2:$H$67,"No info")</f>
        <v>No info</v>
      </c>
      <c r="E124" s="347">
        <f t="shared" ca="1" si="10"/>
        <v>0</v>
      </c>
      <c r="F124" s="348">
        <f ca="1">IFERROR(VLOOKUP(A125,'01_Cages_Plan'!$C$26:$E$151,3,0),"Missing info")</f>
        <v>0</v>
      </c>
      <c r="G124" s="349"/>
      <c r="I124" t="str">
        <f ca="1">IFERROR(_xludf.XLOOKUP(A124,'00_SKU_Master'!$B$2:$B$378,'00_SKU_Master'!$E$2:$E$378,""),"")</f>
        <v/>
      </c>
      <c r="J124">
        <f ca="1">IFERROR(_xludf.XLOOKUP(A124,'00_SKU_Master'!$B$2:$B$378,'00_SKU_Master'!$F$2:$F$378,0),0)</f>
        <v>0</v>
      </c>
      <c r="K124">
        <f ca="1">IFERROR(_xludf.XLOOKUP(I124,'00_Yield_Rates'!$B$2:$B$33,'00_Yield_Rates'!$E$2:$E$33,0)/100,0)</f>
        <v>0</v>
      </c>
      <c r="L124">
        <f t="shared" ca="1" si="11"/>
        <v>0</v>
      </c>
      <c r="M124">
        <f t="shared" ca="1" si="12"/>
        <v>0</v>
      </c>
      <c r="N124">
        <f t="shared" ca="1" si="13"/>
        <v>0</v>
      </c>
    </row>
    <row r="125" spans="1:14" ht="15" customHeight="1">
      <c r="A125" s="343" t="s">
        <v>453</v>
      </c>
      <c r="B125" s="365" t="s">
        <v>747</v>
      </c>
      <c r="C125" s="345" t="str">
        <f>_xlfn.XLOOKUP(A126,'06_Resource_Plan'!$C$3:$C$136,'06_Resource_Plan'!$F$3:$F$136,"No info")</f>
        <v>No info</v>
      </c>
      <c r="D125" s="346" t="str">
        <f ca="1">_xlfn.XLOOKUP(A126,'03_BulkPack_Order'!$A$2:$A$67,'03_BulkPack_Order'!$H$2:$H$67,"No info")</f>
        <v>No info</v>
      </c>
      <c r="E125" s="347">
        <f t="shared" ca="1" si="10"/>
        <v>0</v>
      </c>
      <c r="F125" s="348">
        <f ca="1">IFERROR(VLOOKUP(A126,'01_Cages_Plan'!$C$26:$E$151,3,0),"Missing info")</f>
        <v>0</v>
      </c>
      <c r="G125" s="349"/>
      <c r="I125" t="str">
        <f ca="1">IFERROR(_xludf.XLOOKUP(A125,'00_SKU_Master'!$B$2:$B$378,'00_SKU_Master'!$E$2:$E$378,""),"")</f>
        <v/>
      </c>
      <c r="J125">
        <f ca="1">IFERROR(_xludf.XLOOKUP(A125,'00_SKU_Master'!$B$2:$B$378,'00_SKU_Master'!$F$2:$F$378,0),0)</f>
        <v>0</v>
      </c>
      <c r="K125">
        <f ca="1">IFERROR(_xludf.XLOOKUP(I125,'00_Yield_Rates'!$B$2:$B$33,'00_Yield_Rates'!$E$2:$E$33,0)/100,0)</f>
        <v>0</v>
      </c>
      <c r="L125">
        <f t="shared" ca="1" si="11"/>
        <v>0</v>
      </c>
      <c r="M125">
        <f t="shared" ca="1" si="12"/>
        <v>0</v>
      </c>
      <c r="N125">
        <f t="shared" ca="1" si="13"/>
        <v>0</v>
      </c>
    </row>
    <row r="126" spans="1:14" ht="15" customHeight="1">
      <c r="A126" s="343">
        <v>1412</v>
      </c>
      <c r="B126" s="365" t="s">
        <v>748</v>
      </c>
      <c r="C126" s="345" t="str">
        <f>_xlfn.XLOOKUP(A127,'06_Resource_Plan'!$C$3:$C$136,'06_Resource_Plan'!$F$3:$F$136,"No info")</f>
        <v>No info</v>
      </c>
      <c r="D126" s="346">
        <f ca="1">_xlfn.XLOOKUP(A127,'03_BulkPack_Order'!$A$2:$A$67,'03_BulkPack_Order'!$H$2:$H$67,"No info")</f>
        <v>0</v>
      </c>
      <c r="E126" s="347">
        <f t="shared" ca="1" si="10"/>
        <v>0</v>
      </c>
      <c r="F126" s="348">
        <f ca="1">IFERROR(VLOOKUP(A127,'01_Cages_Plan'!$C$26:$E$151,3,0),"Missing info")</f>
        <v>0</v>
      </c>
      <c r="G126" s="349"/>
      <c r="I126" t="str">
        <f ca="1">IFERROR(_xludf.XLOOKUP(A126,'00_SKU_Master'!$B$2:$B$378,'00_SKU_Master'!$E$2:$E$378,""),"")</f>
        <v/>
      </c>
      <c r="J126">
        <f ca="1">IFERROR(_xludf.XLOOKUP(A126,'00_SKU_Master'!$B$2:$B$378,'00_SKU_Master'!$F$2:$F$378,0),0)</f>
        <v>0</v>
      </c>
      <c r="K126">
        <f ca="1">IFERROR(_xludf.XLOOKUP(I126,'00_Yield_Rates'!$B$2:$B$33,'00_Yield_Rates'!$E$2:$E$33,0)/100,0)</f>
        <v>0</v>
      </c>
      <c r="L126">
        <f t="shared" ca="1" si="11"/>
        <v>0</v>
      </c>
      <c r="M126">
        <f t="shared" ca="1" si="12"/>
        <v>0</v>
      </c>
      <c r="N126">
        <f t="shared" ca="1" si="13"/>
        <v>0</v>
      </c>
    </row>
    <row r="127" spans="1:14" ht="15" customHeight="1">
      <c r="A127" s="343">
        <v>201895</v>
      </c>
      <c r="B127" s="365"/>
      <c r="C127" s="345" t="str">
        <f>_xlfn.XLOOKUP(A128,'06_Resource_Plan'!$C$3:$C$136,'06_Resource_Plan'!$F$3:$F$136,"No info")</f>
        <v>No info</v>
      </c>
      <c r="D127" s="346" t="str">
        <f ca="1">_xlfn.XLOOKUP(A128,'03_BulkPack_Order'!$A$2:$A$67,'03_BulkPack_Order'!$H$2:$H$67,"No info")</f>
        <v>No info</v>
      </c>
      <c r="E127" s="347">
        <f t="shared" ca="1" si="10"/>
        <v>0</v>
      </c>
      <c r="F127" s="348">
        <f>IFERROR(VLOOKUP(A128,'01_Cages_Plan'!$C$26:$E$151,3,0),"Missing info")</f>
        <v>0</v>
      </c>
      <c r="G127" s="349"/>
      <c r="I127" t="str">
        <f ca="1">IFERROR(_xludf.XLOOKUP(A127,'00_SKU_Master'!$B$2:$B$378,'00_SKU_Master'!$E$2:$E$378,""),"")</f>
        <v/>
      </c>
      <c r="J127">
        <f ca="1">IFERROR(_xludf.XLOOKUP(A127,'00_SKU_Master'!$B$2:$B$378,'00_SKU_Master'!$F$2:$F$378,0),0)</f>
        <v>0</v>
      </c>
      <c r="K127">
        <f ca="1">IFERROR(_xludf.XLOOKUP(I127,'00_Yield_Rates'!$B$2:$B$33,'00_Yield_Rates'!$E$2:$E$33,0)/100,0)</f>
        <v>0</v>
      </c>
      <c r="L127">
        <f t="shared" ca="1" si="11"/>
        <v>0</v>
      </c>
      <c r="M127">
        <f t="shared" ca="1" si="12"/>
        <v>0</v>
      </c>
      <c r="N127">
        <f t="shared" ca="1" si="13"/>
        <v>0</v>
      </c>
    </row>
    <row r="128" spans="1:14" ht="25.05" customHeight="1">
      <c r="A128" s="343" t="s">
        <v>451</v>
      </c>
      <c r="B128" s="365" t="s">
        <v>747</v>
      </c>
      <c r="C128" s="345">
        <f>_xlfn.XLOOKUP(A129,'06_Resource_Plan'!$C$3:$C$136,'06_Resource_Plan'!$F$3:$F$136,"No info")</f>
        <v>0</v>
      </c>
      <c r="D128" s="346">
        <f>_xlfn.XLOOKUP(A129,'03_BulkPack_Order'!$A$2:$A$67,'03_BulkPack_Order'!$H$2:$H$67,"No info")</f>
        <v>0</v>
      </c>
      <c r="E128" s="347">
        <f t="shared" si="10"/>
        <v>0</v>
      </c>
      <c r="F128" s="348" t="str">
        <f>IFERROR(VLOOKUP(A129,'01_Cages_Plan'!$C$26:$E$151,3,0),"Missing info")</f>
        <v>Missing info</v>
      </c>
      <c r="G128" s="349"/>
      <c r="I128" t="str">
        <f ca="1">IFERROR(_xludf.XLOOKUP(A128,'00_SKU_Master'!$B$2:$B$378,'00_SKU_Master'!$E$2:$E$378,""),"")</f>
        <v/>
      </c>
      <c r="J128">
        <f ca="1">IFERROR(_xludf.XLOOKUP(A128,'00_SKU_Master'!$B$2:$B$378,'00_SKU_Master'!$F$2:$F$378,0),0)</f>
        <v>0</v>
      </c>
      <c r="K128">
        <f ca="1">IFERROR(_xludf.XLOOKUP(I128,'00_Yield_Rates'!$B$2:$B$33,'00_Yield_Rates'!$E$2:$E$33,0)/100,0)</f>
        <v>0</v>
      </c>
      <c r="L128">
        <f t="shared" ca="1" si="11"/>
        <v>0</v>
      </c>
      <c r="M128">
        <f t="shared" ca="1" si="12"/>
        <v>0</v>
      </c>
      <c r="N128">
        <f t="shared" ca="1" si="13"/>
        <v>0</v>
      </c>
    </row>
    <row r="129" spans="1:14" ht="15" customHeight="1">
      <c r="A129" s="372"/>
      <c r="B129" s="373"/>
      <c r="C129" s="374"/>
      <c r="D129" s="375"/>
      <c r="E129" s="376"/>
      <c r="F129" s="377"/>
      <c r="G129" s="378"/>
      <c r="I129" t="str">
        <f ca="1">IFERROR(_xludf.XLOOKUP(A129,'00_SKU_Master'!$B$2:$B$378,'00_SKU_Master'!$E$2:$E$378,""),"")</f>
        <v/>
      </c>
      <c r="J129">
        <f ca="1">IFERROR(_xludf.XLOOKUP(A129,'00_SKU_Master'!$B$2:$B$378,'00_SKU_Master'!$F$2:$F$378,0),0)</f>
        <v>0</v>
      </c>
      <c r="K129">
        <f ca="1">IFERROR(_xludf.XLOOKUP(I129,'00_Yield_Rates'!$B$2:$B$33,'00_Yield_Rates'!$E$2:$E$33,0)/100,0)</f>
        <v>0</v>
      </c>
      <c r="L129">
        <f t="shared" ca="1" si="11"/>
        <v>0</v>
      </c>
      <c r="M129">
        <f t="shared" ca="1" si="12"/>
        <v>0</v>
      </c>
      <c r="N129">
        <f t="shared" ca="1" si="13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W33"/>
  <sheetViews>
    <sheetView workbookViewId="0"/>
  </sheetViews>
  <sheetFormatPr defaultRowHeight="14.4"/>
  <cols>
    <col min="1" max="1" width="21.44140625" customWidth="1"/>
    <col min="2" max="2" width="11.21875" customWidth="1"/>
    <col min="4" max="4" width="5.77734375" customWidth="1"/>
    <col min="5" max="5" width="10.21875" customWidth="1"/>
  </cols>
  <sheetData>
    <row r="1" spans="1:20" ht="58.05" customHeight="1">
      <c r="A1" s="379" t="s">
        <v>749</v>
      </c>
      <c r="B1" s="379" t="s">
        <v>750</v>
      </c>
      <c r="C1" s="379" t="s">
        <v>751</v>
      </c>
      <c r="D1" s="379" t="s">
        <v>752</v>
      </c>
      <c r="E1" s="379" t="s">
        <v>753</v>
      </c>
    </row>
    <row r="2" spans="1:20">
      <c r="A2" s="15" t="s">
        <v>754</v>
      </c>
      <c r="B2" s="15" t="s">
        <v>40</v>
      </c>
      <c r="C2" s="15" t="s">
        <v>438</v>
      </c>
      <c r="D2" s="15">
        <v>1</v>
      </c>
      <c r="E2" s="15">
        <v>43</v>
      </c>
      <c r="G2">
        <v>40</v>
      </c>
      <c r="J2" s="102" t="s">
        <v>755</v>
      </c>
      <c r="Q2">
        <v>100</v>
      </c>
      <c r="S2">
        <v>100</v>
      </c>
    </row>
    <row r="3" spans="1:20">
      <c r="A3" s="15" t="s">
        <v>756</v>
      </c>
      <c r="B3" s="15" t="s">
        <v>24</v>
      </c>
      <c r="C3" s="15" t="s">
        <v>438</v>
      </c>
      <c r="D3" s="15">
        <v>2</v>
      </c>
      <c r="E3" s="15">
        <v>31</v>
      </c>
      <c r="G3">
        <v>31</v>
      </c>
    </row>
    <row r="4" spans="1:20">
      <c r="A4" s="15" t="s">
        <v>756</v>
      </c>
      <c r="B4" s="15" t="s">
        <v>76</v>
      </c>
      <c r="C4" s="15" t="s">
        <v>438</v>
      </c>
      <c r="D4" s="15">
        <v>2</v>
      </c>
      <c r="E4" s="15">
        <f>E3-E5</f>
        <v>26.88</v>
      </c>
    </row>
    <row r="5" spans="1:20">
      <c r="A5" s="15" t="s">
        <v>757</v>
      </c>
      <c r="B5" s="15" t="s">
        <v>200</v>
      </c>
      <c r="C5" s="15" t="s">
        <v>438</v>
      </c>
      <c r="D5" s="15">
        <v>2</v>
      </c>
      <c r="E5" s="15">
        <v>4.12</v>
      </c>
      <c r="G5">
        <v>4.12</v>
      </c>
    </row>
    <row r="6" spans="1:20">
      <c r="A6" s="15" t="s">
        <v>758</v>
      </c>
      <c r="B6" s="15" t="s">
        <v>26</v>
      </c>
      <c r="C6" s="15" t="s">
        <v>759</v>
      </c>
      <c r="D6" s="15">
        <v>1</v>
      </c>
      <c r="E6" s="380">
        <v>42</v>
      </c>
      <c r="G6">
        <v>48.23</v>
      </c>
    </row>
    <row r="7" spans="1:20">
      <c r="A7" s="15" t="s">
        <v>605</v>
      </c>
      <c r="B7" s="15" t="s">
        <v>760</v>
      </c>
      <c r="C7" s="15" t="s">
        <v>761</v>
      </c>
      <c r="D7" s="15">
        <v>2</v>
      </c>
      <c r="E7" s="15">
        <v>38.82</v>
      </c>
      <c r="G7">
        <v>38.82</v>
      </c>
    </row>
    <row r="8" spans="1:20">
      <c r="A8" s="15" t="s">
        <v>762</v>
      </c>
      <c r="B8" s="15" t="s">
        <v>30</v>
      </c>
      <c r="C8" s="15" t="s">
        <v>761</v>
      </c>
      <c r="D8" s="15">
        <v>2</v>
      </c>
      <c r="E8" s="380">
        <v>19.100000000000001</v>
      </c>
      <c r="G8">
        <v>20</v>
      </c>
    </row>
    <row r="9" spans="1:20">
      <c r="A9" s="15" t="s">
        <v>763</v>
      </c>
      <c r="B9" s="15" t="s">
        <v>21</v>
      </c>
      <c r="C9" s="15" t="s">
        <v>761</v>
      </c>
      <c r="D9" s="15">
        <v>3</v>
      </c>
      <c r="E9" s="15">
        <v>10.5</v>
      </c>
      <c r="G9">
        <v>10.5</v>
      </c>
      <c r="P9">
        <v>0.81699999999999995</v>
      </c>
      <c r="Q9" s="67">
        <f>P9*T19</f>
        <v>0.436278</v>
      </c>
    </row>
    <row r="10" spans="1:20">
      <c r="A10" s="15" t="s">
        <v>764</v>
      </c>
      <c r="B10" s="15" t="s">
        <v>146</v>
      </c>
      <c r="C10" s="15" t="s">
        <v>761</v>
      </c>
      <c r="D10" s="15">
        <v>2</v>
      </c>
      <c r="E10" s="380">
        <v>12.8</v>
      </c>
      <c r="G10">
        <v>17.649999999999999</v>
      </c>
      <c r="Q10" s="67"/>
    </row>
    <row r="11" spans="1:20">
      <c r="A11" s="15" t="s">
        <v>609</v>
      </c>
      <c r="B11" s="15" t="s">
        <v>602</v>
      </c>
      <c r="C11" s="15" t="s">
        <v>602</v>
      </c>
      <c r="D11" s="15">
        <v>1</v>
      </c>
      <c r="E11" s="380">
        <v>11</v>
      </c>
      <c r="G11">
        <v>11.76</v>
      </c>
      <c r="Q11" s="67"/>
    </row>
    <row r="12" spans="1:20">
      <c r="A12" s="15" t="s">
        <v>765</v>
      </c>
      <c r="B12" s="15" t="s">
        <v>34</v>
      </c>
      <c r="C12" s="15" t="s">
        <v>602</v>
      </c>
      <c r="D12" s="15">
        <v>2</v>
      </c>
      <c r="E12" s="380">
        <v>9.6</v>
      </c>
      <c r="F12">
        <v>4.71</v>
      </c>
      <c r="G12">
        <v>9.42</v>
      </c>
      <c r="Q12" s="67"/>
    </row>
    <row r="13" spans="1:20">
      <c r="A13" s="15" t="s">
        <v>766</v>
      </c>
      <c r="B13" s="15" t="s">
        <v>34</v>
      </c>
      <c r="C13" s="15" t="s">
        <v>602</v>
      </c>
      <c r="D13" s="15">
        <v>2</v>
      </c>
      <c r="E13" s="380">
        <v>9.6</v>
      </c>
      <c r="F13">
        <v>4.71</v>
      </c>
      <c r="G13">
        <v>9.42</v>
      </c>
      <c r="Q13" s="67"/>
    </row>
    <row r="14" spans="1:20">
      <c r="A14" s="15" t="s">
        <v>767</v>
      </c>
      <c r="B14" s="15"/>
      <c r="C14" s="15" t="s">
        <v>602</v>
      </c>
      <c r="D14" s="15">
        <v>2</v>
      </c>
      <c r="E14" s="15">
        <v>2.35</v>
      </c>
      <c r="G14">
        <v>2.35</v>
      </c>
      <c r="P14">
        <v>0.81699999999999995</v>
      </c>
      <c r="Q14" s="67">
        <f>P14*T24</f>
        <v>0</v>
      </c>
      <c r="R14">
        <v>0.80663157562958998</v>
      </c>
      <c r="S14" s="67">
        <f>R14*U19</f>
        <v>0.43325846754624564</v>
      </c>
    </row>
    <row r="15" spans="1:20">
      <c r="A15" s="15" t="s">
        <v>611</v>
      </c>
      <c r="B15" s="15" t="s">
        <v>611</v>
      </c>
      <c r="C15" s="15" t="s">
        <v>137</v>
      </c>
      <c r="D15" s="15">
        <v>2</v>
      </c>
      <c r="E15" s="15">
        <v>9.41</v>
      </c>
      <c r="G15">
        <v>9.41</v>
      </c>
      <c r="P15">
        <v>0.183</v>
      </c>
      <c r="Q15" s="67">
        <f>P15*T19</f>
        <v>9.7722000000000003E-2</v>
      </c>
      <c r="R15">
        <v>0.1933684243704101</v>
      </c>
      <c r="S15" s="67">
        <f>R15*U19</f>
        <v>0.10386217170976154</v>
      </c>
      <c r="T15" s="67"/>
    </row>
    <row r="16" spans="1:20">
      <c r="A16" s="15" t="s">
        <v>768</v>
      </c>
      <c r="B16" s="15"/>
      <c r="C16" s="15" t="s">
        <v>768</v>
      </c>
      <c r="D16" s="15">
        <v>1</v>
      </c>
      <c r="E16" s="15">
        <v>0</v>
      </c>
      <c r="G16">
        <v>0</v>
      </c>
      <c r="S16" s="67"/>
      <c r="T16" s="67"/>
    </row>
    <row r="17" spans="1:23">
      <c r="A17" s="15" t="s">
        <v>769</v>
      </c>
      <c r="B17" s="15"/>
      <c r="C17" s="15" t="s">
        <v>770</v>
      </c>
      <c r="D17" s="15">
        <v>1</v>
      </c>
      <c r="E17" s="15">
        <v>0</v>
      </c>
      <c r="G17">
        <v>0</v>
      </c>
      <c r="S17" s="67"/>
      <c r="T17" s="67"/>
    </row>
    <row r="18" spans="1:23">
      <c r="S18" s="67"/>
      <c r="T18" s="67">
        <v>0.46600000000000003</v>
      </c>
      <c r="U18" s="302">
        <v>0.46287936074399288</v>
      </c>
    </row>
    <row r="19" spans="1:23">
      <c r="S19" s="67"/>
      <c r="T19" s="67">
        <v>0.53400000000000003</v>
      </c>
      <c r="U19" s="67">
        <v>0.53712063925600717</v>
      </c>
    </row>
    <row r="20" spans="1:23">
      <c r="S20" s="67"/>
      <c r="T20" s="67"/>
    </row>
    <row r="21" spans="1:23">
      <c r="O21" t="s">
        <v>771</v>
      </c>
      <c r="P21">
        <v>0.30499999999999999</v>
      </c>
      <c r="Q21" s="67">
        <f>P21*T18</f>
        <v>0.14213000000000001</v>
      </c>
      <c r="R21" s="67">
        <v>0.26496393325942053</v>
      </c>
      <c r="S21" s="67">
        <f>R21*U18</f>
        <v>0.12264633604733456</v>
      </c>
      <c r="T21" s="67"/>
    </row>
    <row r="22" spans="1:23">
      <c r="O22" t="s">
        <v>772</v>
      </c>
      <c r="P22">
        <v>0.42</v>
      </c>
      <c r="Q22" s="67">
        <f>P22*T18</f>
        <v>0.19572000000000001</v>
      </c>
      <c r="R22" s="67">
        <v>0.40924458314512929</v>
      </c>
      <c r="S22" s="67">
        <f>R22*U18</f>
        <v>0.18943087103415929</v>
      </c>
      <c r="T22" s="67"/>
    </row>
    <row r="23" spans="1:23">
      <c r="O23" t="s">
        <v>773</v>
      </c>
      <c r="P23">
        <v>0.27500000000000002</v>
      </c>
      <c r="Q23" s="67">
        <f>P23*T18</f>
        <v>0.12815000000000001</v>
      </c>
      <c r="R23" s="67">
        <v>0.32579148359545018</v>
      </c>
      <c r="S23" s="67">
        <f>R23*U18</f>
        <v>0.15080215366249902</v>
      </c>
    </row>
    <row r="24" spans="1:23">
      <c r="S24" s="67"/>
    </row>
    <row r="25" spans="1:23">
      <c r="S25" s="67"/>
    </row>
    <row r="32" spans="1:23">
      <c r="W32">
        <v>0.90178138213072712</v>
      </c>
    </row>
    <row r="33" spans="23:23">
      <c r="W33">
        <v>9.8218617869272898E-2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B2:X568"/>
  <sheetViews>
    <sheetView workbookViewId="0"/>
  </sheetViews>
  <sheetFormatPr defaultRowHeight="14.4"/>
  <cols>
    <col min="1" max="1" width="1.109375" customWidth="1"/>
    <col min="2" max="2" width="13" customWidth="1"/>
    <col min="3" max="4" width="7.21875" customWidth="1"/>
    <col min="5" max="5" width="13" customWidth="1"/>
    <col min="6" max="7" width="7.21875" customWidth="1"/>
    <col min="8" max="8" width="13" customWidth="1"/>
    <col min="9" max="10" width="7.21875" customWidth="1"/>
    <col min="11" max="11" width="10.33203125" customWidth="1"/>
    <col min="12" max="13" width="9.109375" customWidth="1"/>
    <col min="14" max="14" width="2.109375" style="666" customWidth="1"/>
    <col min="15" max="15" width="20" customWidth="1"/>
    <col min="16" max="16" width="15" customWidth="1"/>
  </cols>
  <sheetData>
    <row r="2" spans="2:16" ht="34.950000000000003" customHeight="1">
      <c r="B2" s="678" t="s">
        <v>774</v>
      </c>
      <c r="C2" s="679"/>
      <c r="D2" s="680"/>
      <c r="E2" s="678" t="s">
        <v>775</v>
      </c>
      <c r="F2" s="679"/>
      <c r="G2" s="680"/>
      <c r="H2" s="678" t="s">
        <v>388</v>
      </c>
      <c r="I2" s="679"/>
      <c r="J2" s="680"/>
      <c r="K2" s="384"/>
      <c r="L2" s="635" t="s">
        <v>514</v>
      </c>
      <c r="M2" s="635" t="s">
        <v>776</v>
      </c>
      <c r="N2" s="669"/>
      <c r="O2" s="673" t="s">
        <v>777</v>
      </c>
      <c r="P2" s="674"/>
    </row>
    <row r="3" spans="2:16" ht="25.05" customHeight="1">
      <c r="B3" s="659" t="s">
        <v>778</v>
      </c>
      <c r="C3" s="660">
        <v>0.26597222222222222</v>
      </c>
      <c r="D3" s="659"/>
      <c r="E3" s="659" t="s">
        <v>778</v>
      </c>
      <c r="F3" s="660">
        <v>0.26041666666666669</v>
      </c>
      <c r="G3" s="636"/>
      <c r="H3" s="636"/>
      <c r="I3" s="636"/>
      <c r="J3" s="636"/>
      <c r="K3" s="658" t="s">
        <v>779</v>
      </c>
      <c r="L3" s="667">
        <v>52</v>
      </c>
      <c r="M3" s="667">
        <v>42</v>
      </c>
      <c r="N3" s="670"/>
      <c r="O3" s="675" t="s">
        <v>780</v>
      </c>
      <c r="P3" s="677">
        <f ca="1">(F8+C9+I8)/(F7+C8+I7)*100</f>
        <v>10.008410428931876</v>
      </c>
    </row>
    <row r="4" spans="2:16">
      <c r="B4" s="637" t="s">
        <v>781</v>
      </c>
      <c r="C4" s="638">
        <v>0.27152777777777781</v>
      </c>
      <c r="D4" s="637"/>
      <c r="E4" s="639" t="s">
        <v>781</v>
      </c>
      <c r="F4" s="640">
        <v>0.27083333333333331</v>
      </c>
      <c r="G4" s="639"/>
      <c r="H4" s="637"/>
      <c r="I4" s="637"/>
      <c r="J4" s="637"/>
      <c r="K4" s="657" t="s">
        <v>782</v>
      </c>
      <c r="L4" s="668">
        <v>70</v>
      </c>
      <c r="M4" s="668">
        <v>63</v>
      </c>
      <c r="N4" s="663"/>
      <c r="P4" s="662"/>
    </row>
    <row r="5" spans="2:16" ht="23.55" customHeight="1">
      <c r="B5" s="637" t="s">
        <v>783</v>
      </c>
      <c r="C5" s="637">
        <f>SUM(M3,M4,M7)</f>
        <v>155</v>
      </c>
      <c r="D5" s="637"/>
      <c r="E5" s="639" t="s">
        <v>783</v>
      </c>
      <c r="F5" s="639">
        <f>SUM(M5,M8)</f>
        <v>96</v>
      </c>
      <c r="G5" s="639"/>
      <c r="H5" s="637" t="s">
        <v>783</v>
      </c>
      <c r="I5" s="637">
        <f>M6</f>
        <v>4</v>
      </c>
      <c r="J5" s="637"/>
      <c r="K5" s="657" t="s">
        <v>784</v>
      </c>
      <c r="L5" s="668">
        <v>122</v>
      </c>
      <c r="M5" s="668">
        <v>95</v>
      </c>
      <c r="N5" s="671"/>
      <c r="O5" s="675" t="s">
        <v>785</v>
      </c>
      <c r="P5" s="676">
        <f>SUM(M3:M8)/SUM(L3:L8)*100</f>
        <v>81.9935691318328</v>
      </c>
    </row>
    <row r="6" spans="2:16">
      <c r="B6" s="637"/>
      <c r="C6" s="642"/>
      <c r="D6" s="637"/>
      <c r="E6" s="639"/>
      <c r="F6" s="639"/>
      <c r="G6" s="639"/>
      <c r="H6" s="637"/>
      <c r="I6" s="637"/>
      <c r="J6" s="637"/>
      <c r="K6" s="657" t="s">
        <v>786</v>
      </c>
      <c r="L6" s="668">
        <v>5</v>
      </c>
      <c r="M6" s="668">
        <v>4</v>
      </c>
      <c r="N6" s="663"/>
      <c r="P6" s="662"/>
    </row>
    <row r="7" spans="2:16" ht="23.55" customHeight="1">
      <c r="B7" s="637" t="s">
        <v>447</v>
      </c>
      <c r="C7" s="642">
        <f>'01_Cages_Plan'!F7</f>
        <v>105</v>
      </c>
      <c r="D7" s="637"/>
      <c r="E7" s="639" t="s">
        <v>502</v>
      </c>
      <c r="F7" s="643">
        <f>SUM('05_Daily_Orders'!C2:C264)</f>
        <v>10010</v>
      </c>
      <c r="G7" s="639"/>
      <c r="H7" s="637" t="s">
        <v>502</v>
      </c>
      <c r="I7" s="642">
        <f>'04_Bagging_Order'!I3</f>
        <v>1040</v>
      </c>
      <c r="J7" s="637"/>
      <c r="K7" s="657" t="s">
        <v>787</v>
      </c>
      <c r="L7" s="668">
        <v>57</v>
      </c>
      <c r="M7" s="668">
        <v>50</v>
      </c>
      <c r="N7" s="671"/>
      <c r="O7" s="675" t="s">
        <v>788</v>
      </c>
      <c r="P7" s="676">
        <f>F8/F7*100</f>
        <v>11.048951048951048</v>
      </c>
    </row>
    <row r="8" spans="2:16">
      <c r="B8" s="637" t="s">
        <v>789</v>
      </c>
      <c r="C8" s="642">
        <f>SUM('03_BulkPack_Order'!C25:C70)</f>
        <v>2029</v>
      </c>
      <c r="D8" s="637"/>
      <c r="E8" s="639" t="s">
        <v>552</v>
      </c>
      <c r="F8" s="643">
        <f>SUM('05_Daily_Orders'!E2:E264)</f>
        <v>1106</v>
      </c>
      <c r="G8" s="639"/>
      <c r="H8" s="637" t="s">
        <v>552</v>
      </c>
      <c r="I8" s="642">
        <f>'04_Bagging_Order'!J3</f>
        <v>0</v>
      </c>
      <c r="J8" s="637"/>
      <c r="K8" s="657" t="s">
        <v>790</v>
      </c>
      <c r="L8" s="668">
        <v>5</v>
      </c>
      <c r="M8" s="668">
        <v>1</v>
      </c>
      <c r="N8" s="663"/>
      <c r="P8" s="662"/>
    </row>
    <row r="9" spans="2:16" ht="23.55" customHeight="1">
      <c r="B9" s="637" t="s">
        <v>552</v>
      </c>
      <c r="C9" s="637">
        <f ca="1">SUM('03_BulkPack_Order'!G26:G64)</f>
        <v>203</v>
      </c>
      <c r="D9" s="637"/>
      <c r="E9" s="639" t="s">
        <v>135</v>
      </c>
      <c r="F9" s="639">
        <f>SUMIF('05_Daily_Orders'!$L$3:$L$300,E9,'05_Daily_Orders'!$G$3:$G$300)</f>
        <v>1508</v>
      </c>
      <c r="G9" s="639"/>
      <c r="H9" s="637" t="s">
        <v>507</v>
      </c>
      <c r="I9" s="642">
        <f>'04_Bagging_Order'!K3</f>
        <v>1040</v>
      </c>
      <c r="J9" s="637"/>
      <c r="K9" s="641"/>
      <c r="L9" s="641"/>
      <c r="M9" s="641"/>
      <c r="N9" s="664"/>
      <c r="O9" s="644" t="s">
        <v>791</v>
      </c>
      <c r="P9" s="661">
        <f ca="1">C9/C8*100</f>
        <v>10.004928536224741</v>
      </c>
    </row>
    <row r="10" spans="2:16">
      <c r="B10" s="637" t="s">
        <v>507</v>
      </c>
      <c r="C10" s="637">
        <f ca="1">SUMIF('03_BulkPack_Order'!H25:H70,"&gt;0")</f>
        <v>1844</v>
      </c>
      <c r="D10" s="637"/>
      <c r="E10" s="639" t="s">
        <v>125</v>
      </c>
      <c r="F10" s="639">
        <f>SUMIF('05_Daily_Orders'!$L$3:$L$300,E10,'05_Daily_Orders'!$G$3:$G$300)</f>
        <v>4799</v>
      </c>
      <c r="G10" s="639"/>
      <c r="H10" s="637"/>
      <c r="I10" s="637"/>
      <c r="J10" s="637"/>
      <c r="K10" s="641"/>
      <c r="L10" s="641"/>
      <c r="M10" s="641"/>
      <c r="N10" s="665"/>
      <c r="P10" s="662"/>
    </row>
    <row r="11" spans="2:16" ht="23.55" customHeight="1">
      <c r="B11" s="637" t="s">
        <v>792</v>
      </c>
      <c r="C11" s="637"/>
      <c r="D11" s="637"/>
      <c r="E11" s="639" t="s">
        <v>131</v>
      </c>
      <c r="F11" s="639">
        <f>SUMIF('05_Daily_Orders'!$L$3:$L$300,E11,'05_Daily_Orders'!$G$3:$G$300)</f>
        <v>1698</v>
      </c>
      <c r="G11" s="639"/>
      <c r="H11" s="637"/>
      <c r="I11" s="637"/>
      <c r="J11" s="637"/>
      <c r="K11" s="641"/>
      <c r="L11" s="641"/>
      <c r="M11" s="641"/>
      <c r="N11" s="672"/>
      <c r="O11" s="675" t="s">
        <v>388</v>
      </c>
      <c r="P11" s="676">
        <f>I8/I7*100</f>
        <v>0</v>
      </c>
    </row>
    <row r="12" spans="2:16">
      <c r="B12" s="637"/>
      <c r="C12" s="637"/>
      <c r="D12" s="637"/>
      <c r="E12" s="639" t="s">
        <v>375</v>
      </c>
      <c r="F12" s="639">
        <f>SUMIF('05_Daily_Orders'!$L$3:$L$300,E12,'05_Daily_Orders'!$G$3:$G$300)</f>
        <v>900</v>
      </c>
      <c r="G12" s="639"/>
      <c r="H12" s="637"/>
      <c r="I12" s="637"/>
      <c r="J12" s="637"/>
      <c r="K12" s="641"/>
      <c r="L12" s="641"/>
      <c r="M12" s="641"/>
      <c r="N12" s="665"/>
      <c r="P12" s="662"/>
    </row>
    <row r="13" spans="2:16" ht="23.55" customHeight="1">
      <c r="B13" s="637"/>
      <c r="C13" s="637"/>
      <c r="D13" s="637"/>
      <c r="E13" s="639" t="s">
        <v>370</v>
      </c>
      <c r="F13" s="639">
        <f>SUMIF('05_Daily_Orders'!$L$3:$L$300,E13,'05_Daily_Orders'!$G$3:$G$300)</f>
        <v>0</v>
      </c>
      <c r="G13" s="639"/>
      <c r="H13" s="637"/>
      <c r="I13" s="637"/>
      <c r="J13" s="637"/>
      <c r="K13" s="641"/>
      <c r="L13" s="641"/>
      <c r="M13" s="641"/>
      <c r="N13" s="672"/>
      <c r="O13" s="675" t="s">
        <v>793</v>
      </c>
      <c r="P13" s="676">
        <f>SUM(L3:L8)-SUM(M3:M8)</f>
        <v>56</v>
      </c>
    </row>
    <row r="14" spans="2:16">
      <c r="B14" s="637"/>
      <c r="C14" s="637"/>
      <c r="D14" s="637"/>
      <c r="E14" s="639"/>
      <c r="F14" s="643"/>
      <c r="G14" s="639"/>
      <c r="H14" s="637"/>
      <c r="I14" s="642"/>
      <c r="J14" s="637"/>
      <c r="K14" s="641"/>
      <c r="L14" s="641"/>
      <c r="M14" s="641"/>
      <c r="N14" s="665"/>
    </row>
    <row r="15" spans="2:16">
      <c r="B15" s="637"/>
      <c r="C15" s="637"/>
      <c r="D15" s="637"/>
      <c r="E15" s="639"/>
      <c r="F15" s="639"/>
      <c r="G15" s="639"/>
      <c r="H15" s="637"/>
      <c r="I15" s="637"/>
      <c r="J15" s="637"/>
      <c r="K15" s="641"/>
      <c r="L15" s="641"/>
      <c r="M15" s="641"/>
      <c r="N15" s="665"/>
    </row>
    <row r="16" spans="2:16">
      <c r="B16" s="637" t="s">
        <v>794</v>
      </c>
      <c r="C16" s="642">
        <f ca="1">C11/((VALUE(NOW()-TODAY())-0.270833333333333)*24*60)</f>
        <v>0</v>
      </c>
      <c r="D16" s="637"/>
      <c r="E16" s="639" t="s">
        <v>795</v>
      </c>
      <c r="F16" s="643">
        <f ca="1">F8/((VALUE(NOW()-TODAY())-0.270833333333333)*24)</f>
        <v>478.93358609282672</v>
      </c>
      <c r="G16" s="639"/>
      <c r="H16" s="637" t="s">
        <v>795</v>
      </c>
      <c r="I16" s="642">
        <f ca="1">I8/((VALUE(NOW()-TODAY())-0.291666666666667)*24)</f>
        <v>0</v>
      </c>
      <c r="J16" s="637"/>
      <c r="K16" s="641"/>
      <c r="L16" s="641"/>
      <c r="M16" s="641"/>
      <c r="N16" s="665"/>
    </row>
    <row r="17" spans="2:14">
      <c r="B17" s="637"/>
      <c r="C17" s="637"/>
      <c r="D17" s="637"/>
      <c r="E17" s="639"/>
      <c r="F17" s="639"/>
      <c r="G17" s="639"/>
      <c r="H17" s="637"/>
      <c r="I17" s="637"/>
      <c r="J17" s="637"/>
      <c r="K17" s="641"/>
      <c r="L17" s="641"/>
      <c r="M17" s="641"/>
      <c r="N17" s="665"/>
    </row>
    <row r="18" spans="2:14">
      <c r="B18" s="637" t="s">
        <v>796</v>
      </c>
      <c r="C18" s="637" t="s">
        <v>797</v>
      </c>
      <c r="D18" s="637" t="s">
        <v>798</v>
      </c>
      <c r="E18" s="639"/>
      <c r="F18" s="639"/>
      <c r="G18" s="639"/>
      <c r="H18" s="637"/>
      <c r="I18" s="637"/>
      <c r="J18" s="637"/>
      <c r="K18" s="641"/>
      <c r="L18" s="641"/>
      <c r="M18" s="641"/>
      <c r="N18" s="665"/>
    </row>
    <row r="19" spans="2:14">
      <c r="B19" s="637" t="s">
        <v>788</v>
      </c>
      <c r="C19" s="637">
        <f>F8</f>
        <v>1106</v>
      </c>
      <c r="D19" s="637">
        <f>F7</f>
        <v>10010</v>
      </c>
      <c r="E19" s="639"/>
      <c r="F19" s="639"/>
      <c r="G19" s="639"/>
      <c r="H19" s="637"/>
      <c r="I19" s="637"/>
      <c r="J19" s="637"/>
      <c r="K19" s="641"/>
      <c r="L19" s="641"/>
      <c r="M19" s="641"/>
      <c r="N19" s="665"/>
    </row>
    <row r="20" spans="2:14">
      <c r="B20" s="637" t="s">
        <v>791</v>
      </c>
      <c r="C20" s="637">
        <f ca="1">C9</f>
        <v>203</v>
      </c>
      <c r="D20" s="637">
        <f>C8</f>
        <v>2029</v>
      </c>
      <c r="E20" s="639"/>
      <c r="F20" s="639"/>
      <c r="G20" s="639"/>
      <c r="H20" s="637"/>
      <c r="I20" s="637"/>
      <c r="J20" s="637"/>
      <c r="K20" s="641"/>
      <c r="L20" s="641"/>
      <c r="M20" s="641"/>
      <c r="N20" s="665"/>
    </row>
    <row r="21" spans="2:14">
      <c r="B21" s="637" t="s">
        <v>388</v>
      </c>
      <c r="C21" s="637">
        <f>F8</f>
        <v>1106</v>
      </c>
      <c r="D21" s="637">
        <f>F7</f>
        <v>10010</v>
      </c>
      <c r="E21" s="639"/>
      <c r="F21" s="639"/>
      <c r="G21" s="639"/>
      <c r="H21" s="637"/>
      <c r="I21" s="637"/>
      <c r="J21" s="637"/>
      <c r="K21" s="641"/>
      <c r="L21" s="641"/>
      <c r="M21" s="641"/>
      <c r="N21" s="665"/>
    </row>
    <row r="22" spans="2:14">
      <c r="B22" s="637"/>
      <c r="C22" s="637"/>
      <c r="D22" s="637"/>
      <c r="E22" s="639"/>
      <c r="F22" s="639"/>
      <c r="G22" s="639"/>
      <c r="H22" s="637"/>
      <c r="I22" s="637"/>
      <c r="J22" s="637"/>
      <c r="K22" s="641"/>
      <c r="L22" s="641"/>
      <c r="M22" s="641"/>
      <c r="N22" s="665"/>
    </row>
    <row r="23" spans="2:14">
      <c r="B23" s="637"/>
      <c r="C23" s="637"/>
      <c r="D23" s="637"/>
      <c r="E23" s="639"/>
      <c r="F23" s="639"/>
      <c r="G23" s="639"/>
      <c r="H23" s="637"/>
      <c r="I23" s="637"/>
      <c r="J23" s="637"/>
      <c r="K23" s="641"/>
      <c r="L23" s="641"/>
      <c r="M23" s="641"/>
      <c r="N23" s="665"/>
    </row>
    <row r="24" spans="2:14">
      <c r="B24" s="637"/>
      <c r="C24" s="637"/>
      <c r="D24" s="637"/>
      <c r="E24" s="639"/>
      <c r="F24" s="639"/>
      <c r="G24" s="639"/>
      <c r="H24" s="637"/>
      <c r="I24" s="637"/>
      <c r="J24" s="637"/>
      <c r="K24" s="641"/>
      <c r="L24" s="641"/>
      <c r="M24" s="641"/>
      <c r="N24" s="665"/>
    </row>
    <row r="25" spans="2:14">
      <c r="B25" s="637"/>
      <c r="C25" s="637"/>
      <c r="D25" s="637"/>
      <c r="E25" s="639"/>
      <c r="F25" s="639"/>
      <c r="G25" s="639"/>
      <c r="H25" s="637"/>
      <c r="I25" s="637"/>
      <c r="J25" s="637"/>
      <c r="K25" s="641"/>
      <c r="L25" s="641"/>
      <c r="M25" s="641"/>
      <c r="N25" s="665"/>
    </row>
    <row r="26" spans="2:14">
      <c r="B26" s="637"/>
      <c r="C26" s="637"/>
      <c r="D26" s="637"/>
      <c r="E26" s="639"/>
      <c r="F26" s="639"/>
      <c r="G26" s="639"/>
      <c r="H26" s="637"/>
      <c r="I26" s="637"/>
      <c r="J26" s="637"/>
      <c r="K26" s="641"/>
      <c r="L26" s="641"/>
      <c r="M26" s="641"/>
      <c r="N26" s="665"/>
    </row>
    <row r="27" spans="2:14">
      <c r="B27" s="637"/>
      <c r="C27" s="637"/>
      <c r="D27" s="637"/>
      <c r="E27" s="639"/>
      <c r="F27" s="639"/>
      <c r="G27" s="639"/>
      <c r="H27" s="637"/>
      <c r="I27" s="637"/>
      <c r="J27" s="637"/>
      <c r="K27" s="641"/>
      <c r="L27" s="641"/>
      <c r="M27" s="641"/>
      <c r="N27" s="665"/>
    </row>
    <row r="28" spans="2:14">
      <c r="B28" s="637"/>
      <c r="C28" s="637"/>
      <c r="D28" s="637"/>
      <c r="E28" s="639"/>
      <c r="F28" s="639"/>
      <c r="G28" s="639"/>
      <c r="H28" s="637"/>
      <c r="I28" s="637"/>
      <c r="J28" s="637"/>
      <c r="K28" s="641"/>
      <c r="L28" s="641"/>
      <c r="M28" s="641"/>
      <c r="N28" s="665"/>
    </row>
    <row r="29" spans="2:14">
      <c r="B29" s="637"/>
      <c r="C29" s="637"/>
      <c r="D29" s="637"/>
      <c r="E29" s="639"/>
      <c r="F29" s="639"/>
      <c r="G29" s="639"/>
      <c r="H29" s="637"/>
      <c r="I29" s="637"/>
      <c r="J29" s="637"/>
      <c r="K29" s="641"/>
      <c r="L29" s="641"/>
      <c r="M29" s="641"/>
      <c r="N29" s="665"/>
    </row>
    <row r="30" spans="2:14">
      <c r="B30" s="637"/>
      <c r="C30" s="637"/>
      <c r="D30" s="637"/>
      <c r="E30" s="639"/>
      <c r="F30" s="639"/>
      <c r="G30" s="639"/>
      <c r="H30" s="637"/>
      <c r="I30" s="637"/>
      <c r="J30" s="637"/>
      <c r="K30" s="641"/>
      <c r="L30" s="641"/>
      <c r="M30" s="641"/>
      <c r="N30" s="665"/>
    </row>
    <row r="31" spans="2:14">
      <c r="B31" s="637"/>
      <c r="C31" s="637"/>
      <c r="D31" s="637"/>
      <c r="E31" s="639"/>
      <c r="F31" s="639"/>
      <c r="G31" s="639"/>
      <c r="H31" s="637"/>
      <c r="I31" s="637"/>
      <c r="J31" s="637"/>
      <c r="K31" s="641"/>
      <c r="L31" s="641"/>
      <c r="M31" s="641"/>
      <c r="N31" s="665"/>
    </row>
    <row r="32" spans="2:14">
      <c r="B32" s="637"/>
      <c r="C32" s="637"/>
      <c r="D32" s="637"/>
      <c r="E32" s="639"/>
      <c r="F32" s="639"/>
      <c r="G32" s="639"/>
      <c r="H32" s="637"/>
      <c r="I32" s="637"/>
      <c r="J32" s="637"/>
      <c r="K32" s="641"/>
      <c r="L32" s="641"/>
      <c r="M32" s="641"/>
      <c r="N32" s="665"/>
    </row>
    <row r="33" spans="2:14">
      <c r="B33" s="637"/>
      <c r="C33" s="637"/>
      <c r="D33" s="637"/>
      <c r="E33" s="639"/>
      <c r="F33" s="639"/>
      <c r="G33" s="639"/>
      <c r="H33" s="637"/>
      <c r="I33" s="637"/>
      <c r="J33" s="637"/>
      <c r="K33" s="641"/>
      <c r="L33" s="641"/>
      <c r="M33" s="641"/>
      <c r="N33" s="665"/>
    </row>
    <row r="34" spans="2:14">
      <c r="B34" s="637"/>
      <c r="C34" s="637"/>
      <c r="D34" s="637"/>
      <c r="E34" s="639"/>
      <c r="F34" s="639"/>
      <c r="G34" s="639"/>
      <c r="H34" s="637"/>
      <c r="I34" s="637"/>
      <c r="J34" s="637"/>
      <c r="K34" s="641"/>
      <c r="L34" s="641"/>
      <c r="M34" s="641"/>
      <c r="N34" s="665"/>
    </row>
    <row r="35" spans="2:14">
      <c r="B35" s="637"/>
      <c r="C35" s="637"/>
      <c r="D35" s="637"/>
      <c r="E35" s="639"/>
      <c r="F35" s="639"/>
      <c r="G35" s="639"/>
      <c r="H35" s="637"/>
      <c r="I35" s="637"/>
      <c r="J35" s="637"/>
      <c r="K35" s="641"/>
      <c r="L35" s="641"/>
      <c r="M35" s="641"/>
      <c r="N35" s="665"/>
    </row>
    <row r="36" spans="2:14">
      <c r="B36" s="637"/>
      <c r="C36" s="637"/>
      <c r="D36" s="637"/>
      <c r="E36" s="639"/>
      <c r="F36" s="639"/>
      <c r="G36" s="639"/>
      <c r="H36" s="637"/>
      <c r="I36" s="637"/>
      <c r="J36" s="637"/>
      <c r="K36" s="641"/>
      <c r="L36" s="641"/>
      <c r="M36" s="641"/>
      <c r="N36" s="665"/>
    </row>
    <row r="37" spans="2:14">
      <c r="B37" s="637"/>
      <c r="C37" s="637"/>
      <c r="D37" s="637"/>
      <c r="E37" s="639"/>
      <c r="F37" s="639"/>
      <c r="G37" s="639"/>
      <c r="H37" s="637"/>
      <c r="I37" s="637"/>
      <c r="J37" s="637"/>
      <c r="K37" s="641"/>
      <c r="L37" s="641"/>
      <c r="M37" s="641"/>
      <c r="N37" s="665"/>
    </row>
    <row r="38" spans="2:14">
      <c r="B38" s="637"/>
      <c r="C38" s="637"/>
      <c r="D38" s="637"/>
      <c r="E38" s="639"/>
      <c r="F38" s="639"/>
      <c r="G38" s="639"/>
      <c r="H38" s="637"/>
      <c r="I38" s="637"/>
      <c r="J38" s="637"/>
      <c r="K38" s="641"/>
      <c r="L38" s="641"/>
      <c r="M38" s="641"/>
      <c r="N38" s="665"/>
    </row>
    <row r="39" spans="2:14">
      <c r="B39" s="637"/>
      <c r="C39" s="637"/>
      <c r="D39" s="637"/>
      <c r="E39" s="639"/>
      <c r="F39" s="639"/>
      <c r="G39" s="639"/>
      <c r="H39" s="637"/>
      <c r="I39" s="637"/>
      <c r="J39" s="637"/>
      <c r="K39" s="641"/>
      <c r="L39" s="641"/>
      <c r="M39" s="641"/>
      <c r="N39" s="665"/>
    </row>
    <row r="40" spans="2:14">
      <c r="B40" s="637"/>
      <c r="C40" s="637"/>
      <c r="D40" s="637"/>
      <c r="E40" s="639"/>
      <c r="F40" s="639"/>
      <c r="G40" s="639"/>
      <c r="H40" s="637"/>
      <c r="I40" s="637"/>
      <c r="J40" s="637"/>
      <c r="K40" s="641"/>
      <c r="L40" s="641"/>
      <c r="M40" s="641"/>
      <c r="N40" s="665"/>
    </row>
    <row r="41" spans="2:14">
      <c r="B41" s="637"/>
      <c r="C41" s="637"/>
      <c r="D41" s="637"/>
      <c r="E41" s="639"/>
      <c r="F41" s="639"/>
      <c r="G41" s="639"/>
      <c r="H41" s="637"/>
      <c r="I41" s="637"/>
      <c r="J41" s="637"/>
      <c r="K41" s="641"/>
      <c r="L41" s="641"/>
      <c r="M41" s="641"/>
      <c r="N41" s="665"/>
    </row>
    <row r="42" spans="2:14">
      <c r="B42" s="637"/>
      <c r="C42" s="637"/>
      <c r="D42" s="637"/>
      <c r="E42" s="639"/>
      <c r="F42" s="639"/>
      <c r="G42" s="639"/>
      <c r="H42" s="637"/>
      <c r="I42" s="637"/>
      <c r="J42" s="637"/>
      <c r="K42" s="641"/>
      <c r="L42" s="641"/>
      <c r="M42" s="641"/>
      <c r="N42" s="665"/>
    </row>
    <row r="43" spans="2:14">
      <c r="B43" s="637"/>
      <c r="C43" s="637"/>
      <c r="D43" s="637"/>
      <c r="E43" s="639"/>
      <c r="F43" s="639"/>
      <c r="G43" s="639"/>
      <c r="H43" s="637"/>
      <c r="I43" s="637"/>
      <c r="J43" s="637"/>
      <c r="K43" s="641"/>
      <c r="L43" s="641"/>
      <c r="M43" s="641"/>
      <c r="N43" s="665"/>
    </row>
    <row r="44" spans="2:14">
      <c r="B44" s="637"/>
      <c r="C44" s="637"/>
      <c r="D44" s="637"/>
      <c r="E44" s="639"/>
      <c r="F44" s="639"/>
      <c r="G44" s="639"/>
      <c r="H44" s="637"/>
      <c r="I44" s="637"/>
      <c r="J44" s="637"/>
      <c r="K44" s="641"/>
      <c r="L44" s="641"/>
      <c r="M44" s="641"/>
      <c r="N44" s="665"/>
    </row>
    <row r="45" spans="2:14">
      <c r="B45" s="637"/>
      <c r="C45" s="637"/>
      <c r="D45" s="637"/>
      <c r="E45" s="639"/>
      <c r="F45" s="639"/>
      <c r="G45" s="639"/>
      <c r="H45" s="637"/>
      <c r="I45" s="637"/>
      <c r="J45" s="637"/>
      <c r="K45" s="641"/>
      <c r="L45" s="641"/>
      <c r="M45" s="641"/>
      <c r="N45" s="665"/>
    </row>
    <row r="46" spans="2:14">
      <c r="B46" s="637"/>
      <c r="C46" s="637"/>
      <c r="D46" s="637"/>
      <c r="E46" s="639"/>
      <c r="F46" s="639"/>
      <c r="G46" s="639"/>
      <c r="H46" s="637"/>
      <c r="I46" s="637"/>
      <c r="J46" s="637"/>
      <c r="K46" s="641"/>
      <c r="L46" s="641"/>
      <c r="M46" s="641"/>
      <c r="N46" s="665"/>
    </row>
    <row r="47" spans="2:14">
      <c r="B47" s="637"/>
      <c r="C47" s="637"/>
      <c r="D47" s="637"/>
      <c r="E47" s="639"/>
      <c r="F47" s="639"/>
      <c r="G47" s="639"/>
      <c r="H47" s="637"/>
      <c r="I47" s="637"/>
      <c r="J47" s="637"/>
      <c r="K47" s="641"/>
      <c r="L47" s="641"/>
      <c r="M47" s="641"/>
      <c r="N47" s="665"/>
    </row>
    <row r="48" spans="2:14">
      <c r="B48" s="637"/>
      <c r="C48" s="637"/>
      <c r="D48" s="637"/>
      <c r="E48" s="639"/>
      <c r="F48" s="639"/>
      <c r="G48" s="639"/>
      <c r="H48" s="637"/>
      <c r="I48" s="637"/>
      <c r="J48" s="637"/>
      <c r="K48" s="641"/>
      <c r="L48" s="641"/>
      <c r="M48" s="641"/>
      <c r="N48" s="665"/>
    </row>
    <row r="49" spans="2:14">
      <c r="B49" s="637"/>
      <c r="C49" s="637"/>
      <c r="D49" s="637"/>
      <c r="E49" s="639"/>
      <c r="F49" s="639"/>
      <c r="G49" s="639"/>
      <c r="H49" s="637"/>
      <c r="I49" s="637"/>
      <c r="J49" s="637"/>
      <c r="K49" s="641"/>
      <c r="L49" s="641"/>
      <c r="M49" s="641"/>
      <c r="N49" s="665"/>
    </row>
    <row r="50" spans="2:14">
      <c r="B50" s="637"/>
      <c r="C50" s="637"/>
      <c r="D50" s="637"/>
      <c r="E50" s="639"/>
      <c r="F50" s="639"/>
      <c r="G50" s="639"/>
      <c r="H50" s="637"/>
      <c r="I50" s="637"/>
      <c r="J50" s="637"/>
      <c r="K50" s="641"/>
      <c r="L50" s="641"/>
      <c r="M50" s="641"/>
      <c r="N50" s="665"/>
    </row>
    <row r="51" spans="2:14">
      <c r="B51" s="637"/>
      <c r="C51" s="637"/>
      <c r="D51" s="637"/>
      <c r="E51" s="639"/>
      <c r="F51" s="639"/>
      <c r="G51" s="639"/>
      <c r="H51" s="637"/>
      <c r="I51" s="637"/>
      <c r="J51" s="637"/>
      <c r="K51" s="641"/>
      <c r="L51" s="641"/>
      <c r="M51" s="641"/>
      <c r="N51" s="665"/>
    </row>
    <row r="52" spans="2:14">
      <c r="B52" s="637"/>
      <c r="C52" s="637"/>
      <c r="D52" s="637"/>
      <c r="E52" s="639"/>
      <c r="F52" s="639"/>
      <c r="G52" s="639"/>
      <c r="H52" s="637"/>
      <c r="I52" s="637"/>
      <c r="J52" s="637"/>
      <c r="K52" s="641"/>
      <c r="L52" s="641"/>
      <c r="M52" s="641"/>
      <c r="N52" s="665"/>
    </row>
    <row r="53" spans="2:14">
      <c r="B53" s="637"/>
      <c r="C53" s="637"/>
      <c r="D53" s="637"/>
      <c r="E53" s="639"/>
      <c r="F53" s="639"/>
      <c r="G53" s="639"/>
      <c r="H53" s="637"/>
      <c r="I53" s="637"/>
      <c r="J53" s="637"/>
      <c r="K53" s="641"/>
      <c r="L53" s="641"/>
      <c r="M53" s="641"/>
      <c r="N53" s="665"/>
    </row>
    <row r="54" spans="2:14">
      <c r="B54" s="637"/>
      <c r="C54" s="637"/>
      <c r="D54" s="637"/>
      <c r="E54" s="639"/>
      <c r="F54" s="639"/>
      <c r="G54" s="639"/>
      <c r="H54" s="637"/>
      <c r="I54" s="637"/>
      <c r="J54" s="637"/>
      <c r="K54" s="641"/>
      <c r="L54" s="641"/>
      <c r="M54" s="641"/>
      <c r="N54" s="665"/>
    </row>
    <row r="55" spans="2:14">
      <c r="B55" s="637"/>
      <c r="C55" s="637"/>
      <c r="D55" s="637"/>
      <c r="E55" s="639"/>
      <c r="F55" s="639"/>
      <c r="G55" s="639"/>
      <c r="H55" s="637"/>
      <c r="I55" s="637"/>
      <c r="J55" s="637"/>
      <c r="K55" s="641"/>
      <c r="L55" s="641"/>
      <c r="M55" s="641"/>
      <c r="N55" s="665"/>
    </row>
    <row r="56" spans="2:14">
      <c r="B56" s="637"/>
      <c r="C56" s="637"/>
      <c r="D56" s="637"/>
      <c r="E56" s="639"/>
      <c r="F56" s="639"/>
      <c r="G56" s="639"/>
      <c r="H56" s="637"/>
      <c r="I56" s="637"/>
      <c r="J56" s="637"/>
      <c r="K56" s="641"/>
      <c r="L56" s="641"/>
      <c r="M56" s="641"/>
      <c r="N56" s="665"/>
    </row>
    <row r="57" spans="2:14">
      <c r="B57" s="637"/>
      <c r="C57" s="637"/>
      <c r="D57" s="637"/>
      <c r="E57" s="639"/>
      <c r="F57" s="639"/>
      <c r="G57" s="639"/>
      <c r="H57" s="637"/>
      <c r="I57" s="637"/>
      <c r="J57" s="637"/>
      <c r="K57" s="641"/>
      <c r="L57" s="641"/>
      <c r="M57" s="641"/>
      <c r="N57" s="665"/>
    </row>
    <row r="58" spans="2:14">
      <c r="B58" s="637"/>
      <c r="C58" s="637"/>
      <c r="D58" s="637"/>
      <c r="E58" s="639"/>
      <c r="F58" s="639"/>
      <c r="G58" s="639"/>
      <c r="H58" s="637"/>
      <c r="I58" s="637"/>
      <c r="J58" s="637"/>
      <c r="K58" s="641"/>
      <c r="L58" s="641"/>
      <c r="M58" s="641"/>
      <c r="N58" s="665"/>
    </row>
    <row r="59" spans="2:14">
      <c r="B59" s="637"/>
      <c r="C59" s="637"/>
      <c r="D59" s="637"/>
      <c r="E59" s="639"/>
      <c r="F59" s="639"/>
      <c r="G59" s="639"/>
      <c r="H59" s="637"/>
      <c r="I59" s="637"/>
      <c r="J59" s="637"/>
      <c r="K59" s="641"/>
      <c r="L59" s="641"/>
      <c r="M59" s="641"/>
      <c r="N59" s="665"/>
    </row>
    <row r="60" spans="2:14">
      <c r="B60" s="637"/>
      <c r="C60" s="637"/>
      <c r="D60" s="637"/>
      <c r="E60" s="639"/>
      <c r="F60" s="639"/>
      <c r="G60" s="639"/>
      <c r="H60" s="637"/>
      <c r="I60" s="637"/>
      <c r="J60" s="637"/>
      <c r="K60" s="641"/>
      <c r="L60" s="641"/>
      <c r="M60" s="641"/>
      <c r="N60" s="665"/>
    </row>
    <row r="61" spans="2:14">
      <c r="B61" s="637"/>
      <c r="C61" s="637"/>
      <c r="D61" s="637"/>
      <c r="E61" s="639"/>
      <c r="F61" s="639"/>
      <c r="G61" s="639"/>
      <c r="H61" s="637"/>
      <c r="I61" s="637"/>
      <c r="J61" s="637"/>
      <c r="K61" s="641"/>
      <c r="L61" s="641"/>
      <c r="M61" s="641"/>
      <c r="N61" s="665"/>
    </row>
    <row r="62" spans="2:14">
      <c r="B62" s="637"/>
      <c r="C62" s="637"/>
      <c r="D62" s="637"/>
      <c r="E62" s="639"/>
      <c r="F62" s="639"/>
      <c r="G62" s="639"/>
      <c r="H62" s="637"/>
      <c r="I62" s="637"/>
      <c r="J62" s="637"/>
      <c r="K62" s="641"/>
      <c r="L62" s="641"/>
      <c r="M62" s="641"/>
      <c r="N62" s="665"/>
    </row>
    <row r="63" spans="2:14">
      <c r="B63" s="637"/>
      <c r="C63" s="637"/>
      <c r="D63" s="637"/>
      <c r="E63" s="639"/>
      <c r="F63" s="639"/>
      <c r="G63" s="639"/>
      <c r="H63" s="637"/>
      <c r="I63" s="637"/>
      <c r="J63" s="637"/>
      <c r="K63" s="641"/>
      <c r="L63" s="641"/>
      <c r="M63" s="641"/>
      <c r="N63" s="665"/>
    </row>
    <row r="64" spans="2:14">
      <c r="B64" s="637"/>
      <c r="C64" s="637"/>
      <c r="D64" s="637"/>
      <c r="E64" s="639"/>
      <c r="F64" s="639"/>
      <c r="G64" s="639"/>
      <c r="H64" s="637"/>
      <c r="I64" s="637"/>
      <c r="J64" s="637"/>
      <c r="K64" s="641"/>
      <c r="L64" s="641"/>
      <c r="M64" s="641"/>
      <c r="N64" s="665"/>
    </row>
    <row r="65" spans="2:14">
      <c r="B65" s="637"/>
      <c r="C65" s="637"/>
      <c r="D65" s="637"/>
      <c r="E65" s="639"/>
      <c r="F65" s="639"/>
      <c r="G65" s="639"/>
      <c r="H65" s="637"/>
      <c r="I65" s="637"/>
      <c r="J65" s="637"/>
      <c r="K65" s="641"/>
      <c r="L65" s="641"/>
      <c r="M65" s="641"/>
      <c r="N65" s="665"/>
    </row>
    <row r="66" spans="2:14">
      <c r="B66" s="637"/>
      <c r="C66" s="637"/>
      <c r="D66" s="637"/>
      <c r="E66" s="639"/>
      <c r="F66" s="639"/>
      <c r="G66" s="639"/>
      <c r="H66" s="637"/>
      <c r="I66" s="637"/>
      <c r="J66" s="637"/>
      <c r="K66" s="641"/>
      <c r="L66" s="641"/>
      <c r="M66" s="641"/>
      <c r="N66" s="665"/>
    </row>
    <row r="67" spans="2:14">
      <c r="B67" s="637"/>
      <c r="C67" s="637"/>
      <c r="D67" s="637"/>
      <c r="E67" s="639"/>
      <c r="F67" s="639"/>
      <c r="G67" s="639"/>
      <c r="H67" s="637"/>
      <c r="I67" s="637"/>
      <c r="J67" s="637"/>
      <c r="K67" s="641"/>
      <c r="L67" s="641"/>
      <c r="M67" s="641"/>
      <c r="N67" s="665"/>
    </row>
    <row r="68" spans="2:14">
      <c r="B68" s="637"/>
      <c r="C68" s="637"/>
      <c r="D68" s="637"/>
      <c r="E68" s="639"/>
      <c r="F68" s="639"/>
      <c r="G68" s="639"/>
      <c r="H68" s="637"/>
      <c r="I68" s="637"/>
      <c r="J68" s="637"/>
      <c r="K68" s="641"/>
      <c r="L68" s="641"/>
      <c r="M68" s="641"/>
      <c r="N68" s="665"/>
    </row>
    <row r="69" spans="2:14">
      <c r="B69" s="637"/>
      <c r="C69" s="637"/>
      <c r="D69" s="637"/>
      <c r="E69" s="639"/>
      <c r="F69" s="639"/>
      <c r="G69" s="639"/>
      <c r="H69" s="637"/>
      <c r="I69" s="637"/>
      <c r="J69" s="637"/>
      <c r="K69" s="641"/>
      <c r="L69" s="641"/>
      <c r="M69" s="641"/>
      <c r="N69" s="665"/>
    </row>
    <row r="70" spans="2:14">
      <c r="B70" s="637"/>
      <c r="C70" s="637"/>
      <c r="D70" s="637"/>
      <c r="E70" s="639"/>
      <c r="F70" s="639"/>
      <c r="G70" s="639"/>
      <c r="H70" s="637"/>
      <c r="I70" s="637"/>
      <c r="J70" s="637"/>
      <c r="K70" s="641"/>
      <c r="L70" s="641"/>
      <c r="M70" s="641"/>
      <c r="N70" s="665"/>
    </row>
    <row r="71" spans="2:14">
      <c r="B71" s="637"/>
      <c r="C71" s="637"/>
      <c r="D71" s="637"/>
      <c r="E71" s="639"/>
      <c r="F71" s="639"/>
      <c r="G71" s="639"/>
      <c r="H71" s="637"/>
      <c r="I71" s="637"/>
      <c r="J71" s="637"/>
      <c r="K71" s="641"/>
      <c r="L71" s="641"/>
      <c r="M71" s="641"/>
      <c r="N71" s="665"/>
    </row>
    <row r="72" spans="2:14">
      <c r="B72" s="637"/>
      <c r="C72" s="637"/>
      <c r="D72" s="637"/>
      <c r="E72" s="639"/>
      <c r="F72" s="639"/>
      <c r="G72" s="639"/>
      <c r="H72" s="637"/>
      <c r="I72" s="637"/>
      <c r="J72" s="637"/>
      <c r="K72" s="641"/>
      <c r="L72" s="641"/>
      <c r="M72" s="641"/>
      <c r="N72" s="665"/>
    </row>
    <row r="73" spans="2:14">
      <c r="B73" s="637"/>
      <c r="C73" s="637"/>
      <c r="D73" s="637"/>
      <c r="E73" s="639"/>
      <c r="F73" s="639"/>
      <c r="G73" s="639"/>
      <c r="H73" s="637"/>
      <c r="I73" s="637"/>
      <c r="J73" s="637"/>
      <c r="K73" s="641"/>
      <c r="L73" s="641"/>
      <c r="M73" s="641"/>
      <c r="N73" s="665"/>
    </row>
    <row r="74" spans="2:14">
      <c r="B74" s="637"/>
      <c r="C74" s="637"/>
      <c r="D74" s="637"/>
      <c r="E74" s="639"/>
      <c r="F74" s="639"/>
      <c r="G74" s="639"/>
      <c r="H74" s="637"/>
      <c r="I74" s="637"/>
      <c r="J74" s="637"/>
      <c r="K74" s="641"/>
      <c r="L74" s="641"/>
      <c r="M74" s="641"/>
      <c r="N74" s="665"/>
    </row>
    <row r="75" spans="2:14">
      <c r="B75" s="637"/>
      <c r="C75" s="637"/>
      <c r="D75" s="637"/>
      <c r="E75" s="639"/>
      <c r="F75" s="639"/>
      <c r="G75" s="639"/>
      <c r="H75" s="637"/>
      <c r="I75" s="637"/>
      <c r="J75" s="637"/>
      <c r="K75" s="641"/>
      <c r="L75" s="641"/>
      <c r="M75" s="641"/>
      <c r="N75" s="665"/>
    </row>
    <row r="76" spans="2:14">
      <c r="B76" s="637"/>
      <c r="C76" s="637"/>
      <c r="D76" s="637"/>
      <c r="E76" s="639"/>
      <c r="F76" s="639"/>
      <c r="G76" s="639"/>
      <c r="H76" s="637"/>
      <c r="I76" s="637"/>
      <c r="J76" s="637"/>
      <c r="K76" s="641"/>
      <c r="L76" s="641"/>
      <c r="M76" s="641"/>
      <c r="N76" s="665"/>
    </row>
    <row r="77" spans="2:14">
      <c r="B77" s="637"/>
      <c r="C77" s="637"/>
      <c r="D77" s="637"/>
      <c r="E77" s="639"/>
      <c r="F77" s="639"/>
      <c r="G77" s="639"/>
      <c r="H77" s="637"/>
      <c r="I77" s="637"/>
      <c r="J77" s="637"/>
      <c r="K77" s="641"/>
      <c r="L77" s="641"/>
      <c r="M77" s="641"/>
      <c r="N77" s="665"/>
    </row>
    <row r="78" spans="2:14">
      <c r="B78" s="637"/>
      <c r="C78" s="637"/>
      <c r="D78" s="637"/>
      <c r="E78" s="639"/>
      <c r="F78" s="639"/>
      <c r="G78" s="639"/>
      <c r="H78" s="637"/>
      <c r="I78" s="637"/>
      <c r="J78" s="637"/>
      <c r="K78" s="641"/>
      <c r="L78" s="641"/>
      <c r="M78" s="641"/>
      <c r="N78" s="665"/>
    </row>
    <row r="79" spans="2:14">
      <c r="B79" s="637"/>
      <c r="C79" s="637"/>
      <c r="D79" s="637"/>
      <c r="E79" s="639"/>
      <c r="F79" s="639"/>
      <c r="G79" s="639"/>
      <c r="H79" s="637"/>
      <c r="I79" s="637"/>
      <c r="J79" s="637"/>
      <c r="K79" s="641"/>
      <c r="L79" s="641"/>
      <c r="M79" s="641"/>
      <c r="N79" s="665"/>
    </row>
    <row r="80" spans="2:14">
      <c r="B80" s="637"/>
      <c r="C80" s="637"/>
      <c r="D80" s="637"/>
      <c r="E80" s="639"/>
      <c r="F80" s="639"/>
      <c r="G80" s="639"/>
      <c r="H80" s="637"/>
      <c r="I80" s="637"/>
      <c r="J80" s="637"/>
      <c r="K80" s="641"/>
      <c r="L80" s="641"/>
      <c r="M80" s="641"/>
      <c r="N80" s="665"/>
    </row>
    <row r="81" spans="2:14">
      <c r="B81" s="637"/>
      <c r="C81" s="637"/>
      <c r="D81" s="637"/>
      <c r="E81" s="639"/>
      <c r="F81" s="639"/>
      <c r="G81" s="639"/>
      <c r="H81" s="637"/>
      <c r="I81" s="637"/>
      <c r="J81" s="637"/>
      <c r="K81" s="641"/>
      <c r="L81" s="641"/>
      <c r="M81" s="641"/>
      <c r="N81" s="665"/>
    </row>
    <row r="82" spans="2:14">
      <c r="B82" s="637"/>
      <c r="C82" s="637"/>
      <c r="D82" s="637"/>
      <c r="E82" s="639"/>
      <c r="F82" s="639"/>
      <c r="G82" s="639"/>
      <c r="H82" s="637"/>
      <c r="I82" s="637"/>
      <c r="J82" s="637"/>
      <c r="K82" s="641"/>
      <c r="L82" s="641"/>
      <c r="M82" s="641"/>
      <c r="N82" s="665"/>
    </row>
    <row r="83" spans="2:14">
      <c r="B83" s="637"/>
      <c r="C83" s="637"/>
      <c r="D83" s="637"/>
      <c r="E83" s="639"/>
      <c r="F83" s="639"/>
      <c r="G83" s="639"/>
      <c r="H83" s="637"/>
      <c r="I83" s="637"/>
      <c r="J83" s="637"/>
      <c r="K83" s="641"/>
      <c r="L83" s="641"/>
      <c r="M83" s="641"/>
      <c r="N83" s="665"/>
    </row>
    <row r="84" spans="2:14">
      <c r="B84" s="637"/>
      <c r="C84" s="637"/>
      <c r="D84" s="637"/>
      <c r="E84" s="639"/>
      <c r="F84" s="639"/>
      <c r="G84" s="639"/>
      <c r="H84" s="637"/>
      <c r="I84" s="637"/>
      <c r="J84" s="637"/>
      <c r="K84" s="641"/>
      <c r="L84" s="641"/>
      <c r="M84" s="641"/>
      <c r="N84" s="665"/>
    </row>
    <row r="85" spans="2:14">
      <c r="B85" s="637"/>
      <c r="C85" s="637"/>
      <c r="D85" s="637"/>
      <c r="E85" s="639"/>
      <c r="F85" s="639"/>
      <c r="G85" s="639"/>
      <c r="H85" s="637"/>
      <c r="I85" s="637"/>
      <c r="J85" s="637"/>
      <c r="K85" s="641"/>
      <c r="L85" s="641"/>
      <c r="M85" s="641"/>
      <c r="N85" s="665"/>
    </row>
    <row r="86" spans="2:14">
      <c r="B86" s="637"/>
      <c r="C86" s="637"/>
      <c r="D86" s="637"/>
      <c r="E86" s="639"/>
      <c r="F86" s="639"/>
      <c r="G86" s="639"/>
      <c r="H86" s="637"/>
      <c r="I86" s="637"/>
      <c r="J86" s="637"/>
      <c r="K86" s="641"/>
      <c r="L86" s="641"/>
      <c r="M86" s="641"/>
      <c r="N86" s="665"/>
    </row>
    <row r="87" spans="2:14">
      <c r="B87" s="637"/>
      <c r="C87" s="637"/>
      <c r="D87" s="637"/>
      <c r="E87" s="639"/>
      <c r="F87" s="639"/>
      <c r="G87" s="639"/>
      <c r="H87" s="637"/>
      <c r="I87" s="637"/>
      <c r="J87" s="637"/>
      <c r="K87" s="641"/>
      <c r="L87" s="641"/>
      <c r="M87" s="641"/>
      <c r="N87" s="665"/>
    </row>
    <row r="88" spans="2:14">
      <c r="B88" s="637"/>
      <c r="C88" s="637"/>
      <c r="D88" s="637"/>
      <c r="E88" s="639"/>
      <c r="F88" s="639"/>
      <c r="G88" s="639"/>
      <c r="H88" s="637"/>
      <c r="I88" s="637"/>
      <c r="J88" s="637"/>
      <c r="K88" s="641"/>
      <c r="L88" s="641"/>
      <c r="M88" s="641"/>
      <c r="N88" s="665"/>
    </row>
    <row r="89" spans="2:14">
      <c r="B89" s="637"/>
      <c r="C89" s="637"/>
      <c r="D89" s="637"/>
      <c r="E89" s="639"/>
      <c r="F89" s="639"/>
      <c r="G89" s="639"/>
      <c r="H89" s="637"/>
      <c r="I89" s="637"/>
      <c r="J89" s="637"/>
      <c r="K89" s="641"/>
      <c r="L89" s="641"/>
      <c r="M89" s="641"/>
      <c r="N89" s="665"/>
    </row>
    <row r="90" spans="2:14">
      <c r="B90" s="637"/>
      <c r="C90" s="637"/>
      <c r="D90" s="637"/>
      <c r="E90" s="639"/>
      <c r="F90" s="639"/>
      <c r="G90" s="639"/>
      <c r="H90" s="637"/>
      <c r="I90" s="637"/>
      <c r="J90" s="637"/>
      <c r="K90" s="641"/>
      <c r="L90" s="641"/>
      <c r="M90" s="641"/>
      <c r="N90" s="665"/>
    </row>
    <row r="91" spans="2:14">
      <c r="B91" s="637"/>
      <c r="C91" s="637"/>
      <c r="D91" s="637"/>
      <c r="E91" s="639"/>
      <c r="F91" s="639"/>
      <c r="G91" s="639"/>
      <c r="H91" s="637"/>
      <c r="I91" s="637"/>
      <c r="J91" s="637"/>
      <c r="K91" s="641"/>
      <c r="L91" s="641"/>
      <c r="M91" s="641"/>
      <c r="N91" s="665"/>
    </row>
    <row r="92" spans="2:14">
      <c r="B92" s="637"/>
      <c r="C92" s="637"/>
      <c r="D92" s="637"/>
      <c r="E92" s="639"/>
      <c r="F92" s="639"/>
      <c r="G92" s="639"/>
      <c r="H92" s="637"/>
      <c r="I92" s="637"/>
      <c r="J92" s="637"/>
      <c r="K92" s="641"/>
      <c r="L92" s="641"/>
      <c r="M92" s="641"/>
      <c r="N92" s="665"/>
    </row>
    <row r="93" spans="2:14">
      <c r="B93" s="637"/>
      <c r="C93" s="637"/>
      <c r="D93" s="637"/>
      <c r="E93" s="639"/>
      <c r="F93" s="639"/>
      <c r="G93" s="639"/>
      <c r="H93" s="637"/>
      <c r="I93" s="637"/>
      <c r="J93" s="637"/>
      <c r="K93" s="641"/>
      <c r="L93" s="641"/>
      <c r="M93" s="641"/>
      <c r="N93" s="665"/>
    </row>
    <row r="94" spans="2:14">
      <c r="B94" s="637"/>
      <c r="C94" s="637"/>
      <c r="D94" s="637"/>
      <c r="E94" s="639"/>
      <c r="F94" s="639"/>
      <c r="G94" s="639"/>
      <c r="H94" s="637"/>
      <c r="I94" s="637"/>
      <c r="J94" s="637"/>
      <c r="K94" s="641"/>
      <c r="L94" s="641"/>
      <c r="M94" s="641"/>
      <c r="N94" s="665"/>
    </row>
    <row r="95" spans="2:14">
      <c r="B95" s="637"/>
      <c r="C95" s="637"/>
      <c r="D95" s="637"/>
      <c r="E95" s="639"/>
      <c r="F95" s="639"/>
      <c r="G95" s="639"/>
      <c r="H95" s="637"/>
      <c r="I95" s="637"/>
      <c r="J95" s="637"/>
      <c r="K95" s="641"/>
      <c r="L95" s="641"/>
      <c r="M95" s="641"/>
      <c r="N95" s="665"/>
    </row>
    <row r="96" spans="2:14">
      <c r="B96" s="637"/>
      <c r="C96" s="637"/>
      <c r="D96" s="637"/>
      <c r="E96" s="639"/>
      <c r="F96" s="639"/>
      <c r="G96" s="639"/>
      <c r="H96" s="637"/>
      <c r="I96" s="637"/>
      <c r="J96" s="637"/>
      <c r="K96" s="641"/>
      <c r="L96" s="641"/>
      <c r="M96" s="641"/>
      <c r="N96" s="665"/>
    </row>
    <row r="97" spans="2:14">
      <c r="B97" s="637"/>
      <c r="C97" s="637"/>
      <c r="D97" s="637"/>
      <c r="E97" s="639"/>
      <c r="F97" s="639"/>
      <c r="G97" s="639"/>
      <c r="H97" s="637"/>
      <c r="I97" s="637"/>
      <c r="J97" s="637"/>
      <c r="K97" s="641"/>
      <c r="L97" s="641"/>
      <c r="M97" s="641"/>
      <c r="N97" s="665"/>
    </row>
    <row r="98" spans="2:14">
      <c r="B98" s="637"/>
      <c r="C98" s="637"/>
      <c r="D98" s="637"/>
      <c r="E98" s="639"/>
      <c r="F98" s="639"/>
      <c r="G98" s="639"/>
      <c r="H98" s="637"/>
      <c r="I98" s="637"/>
      <c r="J98" s="637"/>
      <c r="K98" s="641"/>
      <c r="L98" s="641"/>
      <c r="M98" s="641"/>
      <c r="N98" s="665"/>
    </row>
    <row r="99" spans="2:14">
      <c r="B99" s="637"/>
      <c r="C99" s="637"/>
      <c r="D99" s="637"/>
      <c r="E99" s="639"/>
      <c r="F99" s="639"/>
      <c r="G99" s="639"/>
      <c r="H99" s="637"/>
      <c r="I99" s="637"/>
      <c r="J99" s="637"/>
      <c r="K99" s="641"/>
      <c r="L99" s="641"/>
      <c r="M99" s="641"/>
      <c r="N99" s="665"/>
    </row>
    <row r="100" spans="2:14">
      <c r="B100" s="637"/>
      <c r="C100" s="637"/>
      <c r="D100" s="637"/>
      <c r="E100" s="639"/>
      <c r="F100" s="639"/>
      <c r="G100" s="639"/>
      <c r="H100" s="637"/>
      <c r="I100" s="637"/>
      <c r="J100" s="637"/>
      <c r="K100" s="641"/>
      <c r="L100" s="641"/>
      <c r="M100" s="641"/>
      <c r="N100" s="665"/>
    </row>
    <row r="101" spans="2:14">
      <c r="B101" s="637"/>
      <c r="C101" s="637"/>
      <c r="D101" s="637"/>
      <c r="E101" s="639"/>
      <c r="F101" s="639"/>
      <c r="G101" s="639"/>
      <c r="H101" s="637"/>
      <c r="I101" s="637"/>
      <c r="J101" s="637"/>
      <c r="K101" s="641"/>
      <c r="L101" s="641"/>
      <c r="M101" s="641"/>
      <c r="N101" s="665"/>
    </row>
    <row r="102" spans="2:14">
      <c r="B102" s="637"/>
      <c r="C102" s="637"/>
      <c r="D102" s="637"/>
      <c r="E102" s="639"/>
      <c r="F102" s="639"/>
      <c r="G102" s="639"/>
      <c r="H102" s="637"/>
      <c r="I102" s="637"/>
      <c r="J102" s="637"/>
      <c r="K102" s="641"/>
      <c r="L102" s="641"/>
      <c r="M102" s="641"/>
      <c r="N102" s="665"/>
    </row>
    <row r="103" spans="2:14">
      <c r="B103" s="637"/>
      <c r="C103" s="637"/>
      <c r="D103" s="637"/>
      <c r="E103" s="639"/>
      <c r="F103" s="639"/>
      <c r="G103" s="639"/>
      <c r="H103" s="637"/>
      <c r="I103" s="637"/>
      <c r="J103" s="637"/>
      <c r="K103" s="641"/>
      <c r="L103" s="641"/>
      <c r="M103" s="641"/>
      <c r="N103" s="665"/>
    </row>
    <row r="104" spans="2:14">
      <c r="B104" s="637"/>
      <c r="C104" s="637"/>
      <c r="D104" s="637"/>
      <c r="E104" s="639"/>
      <c r="F104" s="639"/>
      <c r="G104" s="639"/>
      <c r="H104" s="637"/>
      <c r="I104" s="637"/>
      <c r="J104" s="637"/>
      <c r="K104" s="641"/>
      <c r="L104" s="641"/>
      <c r="M104" s="641"/>
      <c r="N104" s="665"/>
    </row>
    <row r="105" spans="2:14">
      <c r="B105" s="637"/>
      <c r="C105" s="637"/>
      <c r="D105" s="637"/>
      <c r="E105" s="639"/>
      <c r="F105" s="639"/>
      <c r="G105" s="639"/>
      <c r="H105" s="637"/>
      <c r="I105" s="637"/>
      <c r="J105" s="637"/>
      <c r="K105" s="641"/>
      <c r="L105" s="641"/>
      <c r="M105" s="641"/>
      <c r="N105" s="665"/>
    </row>
    <row r="106" spans="2:14">
      <c r="B106" s="637"/>
      <c r="C106" s="637"/>
      <c r="D106" s="637"/>
      <c r="E106" s="639"/>
      <c r="F106" s="639"/>
      <c r="G106" s="639"/>
      <c r="H106" s="637"/>
      <c r="I106" s="637"/>
      <c r="J106" s="637"/>
      <c r="K106" s="641"/>
      <c r="L106" s="641"/>
      <c r="M106" s="641"/>
      <c r="N106" s="665"/>
    </row>
    <row r="107" spans="2:14">
      <c r="B107" s="637"/>
      <c r="C107" s="637"/>
      <c r="D107" s="637"/>
      <c r="E107" s="639"/>
      <c r="F107" s="639"/>
      <c r="G107" s="639"/>
      <c r="H107" s="637"/>
      <c r="I107" s="637"/>
      <c r="J107" s="637"/>
      <c r="K107" s="641"/>
      <c r="L107" s="641"/>
      <c r="M107" s="641"/>
      <c r="N107" s="665"/>
    </row>
    <row r="108" spans="2:14">
      <c r="B108" s="637"/>
      <c r="C108" s="637"/>
      <c r="D108" s="637"/>
      <c r="E108" s="639"/>
      <c r="F108" s="639"/>
      <c r="G108" s="639"/>
      <c r="H108" s="637"/>
      <c r="I108" s="637"/>
      <c r="J108" s="637"/>
      <c r="K108" s="641"/>
      <c r="L108" s="641"/>
      <c r="M108" s="641"/>
      <c r="N108" s="665"/>
    </row>
    <row r="109" spans="2:14">
      <c r="B109" s="637"/>
      <c r="C109" s="637"/>
      <c r="D109" s="637"/>
      <c r="E109" s="639"/>
      <c r="F109" s="639"/>
      <c r="G109" s="639"/>
      <c r="H109" s="637"/>
      <c r="I109" s="637"/>
      <c r="J109" s="637"/>
      <c r="K109" s="641"/>
      <c r="L109" s="641"/>
      <c r="M109" s="641"/>
      <c r="N109" s="665"/>
    </row>
    <row r="110" spans="2:14">
      <c r="B110" s="637"/>
      <c r="C110" s="637"/>
      <c r="D110" s="637"/>
      <c r="E110" s="639"/>
      <c r="F110" s="639"/>
      <c r="G110" s="639"/>
      <c r="H110" s="637"/>
      <c r="I110" s="637"/>
      <c r="J110" s="637"/>
      <c r="K110" s="641"/>
      <c r="L110" s="641"/>
      <c r="M110" s="641"/>
      <c r="N110" s="665"/>
    </row>
    <row r="111" spans="2:14">
      <c r="B111" s="637"/>
      <c r="C111" s="637"/>
      <c r="D111" s="637"/>
      <c r="E111" s="639"/>
      <c r="F111" s="639"/>
      <c r="G111" s="639"/>
      <c r="H111" s="637"/>
      <c r="I111" s="637"/>
      <c r="J111" s="637"/>
      <c r="K111" s="641"/>
      <c r="L111" s="641"/>
      <c r="M111" s="641"/>
      <c r="N111" s="665"/>
    </row>
    <row r="112" spans="2:14">
      <c r="B112" s="637"/>
      <c r="C112" s="637"/>
      <c r="D112" s="637"/>
      <c r="E112" s="639"/>
      <c r="F112" s="639"/>
      <c r="G112" s="639"/>
      <c r="H112" s="637"/>
      <c r="I112" s="637"/>
      <c r="J112" s="637"/>
      <c r="K112" s="641"/>
      <c r="L112" s="641"/>
      <c r="M112" s="641"/>
      <c r="N112" s="665"/>
    </row>
    <row r="113" spans="2:14">
      <c r="B113" s="637"/>
      <c r="C113" s="637"/>
      <c r="D113" s="637"/>
      <c r="E113" s="639"/>
      <c r="F113" s="639"/>
      <c r="G113" s="639"/>
      <c r="H113" s="637"/>
      <c r="I113" s="637"/>
      <c r="J113" s="637"/>
      <c r="K113" s="641"/>
      <c r="L113" s="641"/>
      <c r="M113" s="641"/>
      <c r="N113" s="665"/>
    </row>
    <row r="114" spans="2:14">
      <c r="B114" s="637"/>
      <c r="C114" s="637"/>
      <c r="D114" s="637"/>
      <c r="E114" s="639"/>
      <c r="F114" s="639"/>
      <c r="G114" s="639"/>
      <c r="H114" s="637"/>
      <c r="I114" s="637"/>
      <c r="J114" s="637"/>
      <c r="K114" s="641"/>
      <c r="L114" s="641"/>
      <c r="M114" s="641"/>
      <c r="N114" s="665"/>
    </row>
    <row r="115" spans="2:14">
      <c r="B115" s="637"/>
      <c r="C115" s="637"/>
      <c r="D115" s="637"/>
      <c r="E115" s="639"/>
      <c r="F115" s="639"/>
      <c r="G115" s="639"/>
      <c r="H115" s="637"/>
      <c r="I115" s="637"/>
      <c r="J115" s="637"/>
      <c r="K115" s="641"/>
      <c r="L115" s="641"/>
      <c r="M115" s="641"/>
      <c r="N115" s="665"/>
    </row>
    <row r="116" spans="2:14">
      <c r="B116" s="637"/>
      <c r="C116" s="637"/>
      <c r="D116" s="637"/>
      <c r="E116" s="639"/>
      <c r="F116" s="639"/>
      <c r="G116" s="639"/>
      <c r="H116" s="637"/>
      <c r="I116" s="637"/>
      <c r="J116" s="637"/>
      <c r="K116" s="641"/>
      <c r="L116" s="641"/>
      <c r="M116" s="641"/>
      <c r="N116" s="665"/>
    </row>
    <row r="117" spans="2:14">
      <c r="B117" s="637"/>
      <c r="C117" s="637"/>
      <c r="D117" s="637"/>
      <c r="E117" s="639"/>
      <c r="F117" s="639"/>
      <c r="G117" s="639"/>
      <c r="H117" s="637"/>
      <c r="I117" s="637"/>
      <c r="J117" s="637"/>
      <c r="K117" s="641"/>
      <c r="L117" s="641"/>
      <c r="M117" s="641"/>
      <c r="N117" s="665"/>
    </row>
    <row r="118" spans="2:14">
      <c r="B118" s="637"/>
      <c r="C118" s="637"/>
      <c r="D118" s="637"/>
      <c r="E118" s="639"/>
      <c r="F118" s="639"/>
      <c r="G118" s="639"/>
      <c r="H118" s="637"/>
      <c r="I118" s="637"/>
      <c r="J118" s="637"/>
      <c r="K118" s="641"/>
      <c r="L118" s="641"/>
      <c r="M118" s="641"/>
      <c r="N118" s="665"/>
    </row>
    <row r="119" spans="2:14">
      <c r="B119" s="637"/>
      <c r="C119" s="637"/>
      <c r="D119" s="637"/>
      <c r="E119" s="639"/>
      <c r="F119" s="639"/>
      <c r="G119" s="639"/>
      <c r="H119" s="637"/>
      <c r="I119" s="637"/>
      <c r="J119" s="637"/>
      <c r="K119" s="641"/>
      <c r="L119" s="641"/>
      <c r="M119" s="641"/>
      <c r="N119" s="665"/>
    </row>
    <row r="120" spans="2:14">
      <c r="B120" s="637"/>
      <c r="C120" s="637"/>
      <c r="D120" s="637"/>
      <c r="E120" s="639"/>
      <c r="F120" s="639"/>
      <c r="G120" s="639"/>
      <c r="H120" s="637"/>
      <c r="I120" s="637"/>
      <c r="J120" s="637"/>
      <c r="K120" s="641"/>
      <c r="L120" s="641"/>
      <c r="M120" s="641"/>
      <c r="N120" s="665"/>
    </row>
    <row r="121" spans="2:14">
      <c r="B121" s="637"/>
      <c r="C121" s="637"/>
      <c r="D121" s="637"/>
      <c r="E121" s="639"/>
      <c r="F121" s="639"/>
      <c r="G121" s="639"/>
      <c r="H121" s="637"/>
      <c r="I121" s="637"/>
      <c r="J121" s="637"/>
      <c r="K121" s="641"/>
      <c r="L121" s="641"/>
      <c r="M121" s="641"/>
      <c r="N121" s="665"/>
    </row>
    <row r="122" spans="2:14">
      <c r="B122" s="637"/>
      <c r="C122" s="637"/>
      <c r="D122" s="637"/>
      <c r="E122" s="639"/>
      <c r="F122" s="639"/>
      <c r="G122" s="639"/>
      <c r="H122" s="637"/>
      <c r="I122" s="637"/>
      <c r="J122" s="637"/>
      <c r="K122" s="641"/>
      <c r="L122" s="641"/>
      <c r="M122" s="641"/>
      <c r="N122" s="665"/>
    </row>
    <row r="123" spans="2:14">
      <c r="B123" s="637"/>
      <c r="C123" s="637"/>
      <c r="D123" s="637"/>
      <c r="E123" s="639"/>
      <c r="F123" s="639"/>
      <c r="G123" s="639"/>
      <c r="H123" s="637"/>
      <c r="I123" s="637"/>
      <c r="J123" s="637"/>
      <c r="K123" s="641"/>
      <c r="L123" s="641"/>
      <c r="M123" s="641"/>
      <c r="N123" s="665"/>
    </row>
    <row r="124" spans="2:14">
      <c r="B124" s="637"/>
      <c r="C124" s="637"/>
      <c r="D124" s="637"/>
      <c r="E124" s="639"/>
      <c r="F124" s="639"/>
      <c r="G124" s="639"/>
      <c r="H124" s="637"/>
      <c r="I124" s="637"/>
      <c r="J124" s="637"/>
      <c r="K124" s="641"/>
      <c r="L124" s="641"/>
      <c r="M124" s="641"/>
      <c r="N124" s="665"/>
    </row>
    <row r="125" spans="2:14">
      <c r="B125" s="637"/>
      <c r="C125" s="637"/>
      <c r="D125" s="637"/>
      <c r="E125" s="639"/>
      <c r="F125" s="639"/>
      <c r="G125" s="639"/>
      <c r="H125" s="637"/>
      <c r="I125" s="637"/>
      <c r="J125" s="637"/>
      <c r="K125" s="641"/>
      <c r="L125" s="641"/>
      <c r="M125" s="641"/>
      <c r="N125" s="665"/>
    </row>
    <row r="126" spans="2:14">
      <c r="B126" s="637"/>
      <c r="C126" s="637"/>
      <c r="D126" s="637"/>
      <c r="E126" s="639"/>
      <c r="F126" s="639"/>
      <c r="G126" s="639"/>
      <c r="H126" s="637"/>
      <c r="I126" s="637"/>
      <c r="J126" s="637"/>
      <c r="K126" s="641"/>
      <c r="L126" s="641"/>
      <c r="M126" s="641"/>
      <c r="N126" s="665"/>
    </row>
    <row r="127" spans="2:14">
      <c r="B127" s="637"/>
      <c r="C127" s="637"/>
      <c r="D127" s="637"/>
      <c r="E127" s="639"/>
      <c r="F127" s="639"/>
      <c r="G127" s="639"/>
      <c r="H127" s="637"/>
      <c r="I127" s="637"/>
      <c r="J127" s="637"/>
      <c r="K127" s="641"/>
      <c r="L127" s="641"/>
      <c r="M127" s="641"/>
      <c r="N127" s="665"/>
    </row>
    <row r="128" spans="2:14">
      <c r="B128" s="637"/>
      <c r="C128" s="637"/>
      <c r="D128" s="637"/>
      <c r="E128" s="639"/>
      <c r="F128" s="639"/>
      <c r="G128" s="639"/>
      <c r="H128" s="637"/>
      <c r="I128" s="637"/>
      <c r="J128" s="637"/>
      <c r="K128" s="641"/>
      <c r="L128" s="641"/>
      <c r="M128" s="641"/>
      <c r="N128" s="665"/>
    </row>
    <row r="129" spans="2:14">
      <c r="B129" s="637"/>
      <c r="C129" s="637"/>
      <c r="D129" s="637"/>
      <c r="E129" s="639"/>
      <c r="F129" s="639"/>
      <c r="G129" s="639"/>
      <c r="H129" s="637"/>
      <c r="I129" s="637"/>
      <c r="J129" s="637"/>
      <c r="K129" s="641"/>
      <c r="L129" s="641"/>
      <c r="M129" s="641"/>
      <c r="N129" s="665"/>
    </row>
    <row r="130" spans="2:14">
      <c r="B130" s="637"/>
      <c r="C130" s="637"/>
      <c r="D130" s="637"/>
      <c r="E130" s="639"/>
      <c r="F130" s="639"/>
      <c r="G130" s="639"/>
      <c r="H130" s="637"/>
      <c r="I130" s="637"/>
      <c r="J130" s="637"/>
      <c r="K130" s="641"/>
      <c r="L130" s="641"/>
      <c r="M130" s="641"/>
      <c r="N130" s="665"/>
    </row>
    <row r="131" spans="2:14">
      <c r="B131" s="637"/>
      <c r="C131" s="637"/>
      <c r="D131" s="637"/>
      <c r="E131" s="639"/>
      <c r="F131" s="639"/>
      <c r="G131" s="639"/>
      <c r="H131" s="637"/>
      <c r="I131" s="637"/>
      <c r="J131" s="637"/>
      <c r="K131" s="641"/>
      <c r="L131" s="641"/>
      <c r="M131" s="641"/>
      <c r="N131" s="665"/>
    </row>
    <row r="132" spans="2:14">
      <c r="B132" s="637"/>
      <c r="C132" s="637"/>
      <c r="D132" s="637"/>
      <c r="E132" s="639"/>
      <c r="F132" s="639"/>
      <c r="G132" s="639"/>
      <c r="H132" s="637"/>
      <c r="I132" s="637"/>
      <c r="J132" s="637"/>
      <c r="K132" s="641"/>
      <c r="L132" s="641"/>
      <c r="M132" s="641"/>
      <c r="N132" s="665"/>
    </row>
    <row r="133" spans="2:14">
      <c r="B133" s="637"/>
      <c r="C133" s="637"/>
      <c r="D133" s="637"/>
      <c r="E133" s="639"/>
      <c r="F133" s="639"/>
      <c r="G133" s="639"/>
      <c r="H133" s="637"/>
      <c r="I133" s="637"/>
      <c r="J133" s="637"/>
      <c r="K133" s="641"/>
      <c r="L133" s="641"/>
      <c r="M133" s="641"/>
      <c r="N133" s="665"/>
    </row>
    <row r="134" spans="2:14">
      <c r="B134" s="637"/>
      <c r="C134" s="637"/>
      <c r="D134" s="637"/>
      <c r="E134" s="639"/>
      <c r="F134" s="639"/>
      <c r="G134" s="639"/>
      <c r="H134" s="637"/>
      <c r="I134" s="637"/>
      <c r="J134" s="637"/>
      <c r="K134" s="641"/>
      <c r="L134" s="641"/>
      <c r="M134" s="641"/>
      <c r="N134" s="665"/>
    </row>
    <row r="135" spans="2:14">
      <c r="B135" s="637"/>
      <c r="C135" s="637"/>
      <c r="D135" s="637"/>
      <c r="E135" s="639"/>
      <c r="F135" s="639"/>
      <c r="G135" s="639"/>
      <c r="H135" s="637"/>
      <c r="I135" s="637"/>
      <c r="J135" s="637"/>
      <c r="K135" s="641"/>
      <c r="L135" s="641"/>
      <c r="M135" s="641"/>
      <c r="N135" s="665"/>
    </row>
    <row r="136" spans="2:14">
      <c r="B136" s="637"/>
      <c r="C136" s="637"/>
      <c r="D136" s="637"/>
      <c r="E136" s="639"/>
      <c r="F136" s="639"/>
      <c r="G136" s="639"/>
      <c r="H136" s="637"/>
      <c r="I136" s="637"/>
      <c r="J136" s="637"/>
      <c r="K136" s="641"/>
      <c r="L136" s="641"/>
      <c r="M136" s="641"/>
      <c r="N136" s="665"/>
    </row>
    <row r="137" spans="2:14">
      <c r="B137" s="637"/>
      <c r="C137" s="637"/>
      <c r="D137" s="637"/>
      <c r="E137" s="639"/>
      <c r="F137" s="639"/>
      <c r="G137" s="639"/>
      <c r="H137" s="637"/>
      <c r="I137" s="637"/>
      <c r="J137" s="637"/>
      <c r="K137" s="641"/>
      <c r="L137" s="641"/>
      <c r="M137" s="641"/>
      <c r="N137" s="665"/>
    </row>
    <row r="138" spans="2:14">
      <c r="B138" s="637"/>
      <c r="C138" s="637"/>
      <c r="D138" s="637"/>
      <c r="E138" s="639"/>
      <c r="F138" s="639"/>
      <c r="G138" s="639"/>
      <c r="H138" s="637"/>
      <c r="I138" s="637"/>
      <c r="J138" s="637"/>
      <c r="K138" s="641"/>
      <c r="L138" s="641"/>
      <c r="M138" s="641"/>
      <c r="N138" s="665"/>
    </row>
    <row r="139" spans="2:14">
      <c r="B139" s="637"/>
      <c r="C139" s="637"/>
      <c r="D139" s="637"/>
      <c r="E139" s="639"/>
      <c r="F139" s="639"/>
      <c r="G139" s="639"/>
      <c r="H139" s="637"/>
      <c r="I139" s="637"/>
      <c r="J139" s="637"/>
      <c r="K139" s="641"/>
      <c r="L139" s="641"/>
      <c r="M139" s="641"/>
      <c r="N139" s="665"/>
    </row>
    <row r="140" spans="2:14">
      <c r="B140" s="637"/>
      <c r="C140" s="637"/>
      <c r="D140" s="637"/>
      <c r="E140" s="639"/>
      <c r="F140" s="639"/>
      <c r="G140" s="639"/>
      <c r="H140" s="637"/>
      <c r="I140" s="637"/>
      <c r="J140" s="637"/>
      <c r="K140" s="641"/>
      <c r="L140" s="641"/>
      <c r="M140" s="641"/>
      <c r="N140" s="665"/>
    </row>
    <row r="141" spans="2:14">
      <c r="B141" s="637"/>
      <c r="C141" s="637"/>
      <c r="D141" s="637"/>
      <c r="E141" s="639"/>
      <c r="F141" s="639"/>
      <c r="G141" s="639"/>
      <c r="H141" s="637"/>
      <c r="I141" s="637"/>
      <c r="J141" s="637"/>
      <c r="K141" s="641"/>
      <c r="L141" s="641"/>
      <c r="M141" s="641"/>
      <c r="N141" s="665"/>
    </row>
    <row r="142" spans="2:14">
      <c r="B142" s="637"/>
      <c r="C142" s="637"/>
      <c r="D142" s="637"/>
      <c r="E142" s="639"/>
      <c r="F142" s="639"/>
      <c r="G142" s="639"/>
      <c r="H142" s="637"/>
      <c r="I142" s="637"/>
      <c r="J142" s="637"/>
      <c r="K142" s="641"/>
      <c r="L142" s="641"/>
      <c r="M142" s="641"/>
      <c r="N142" s="665"/>
    </row>
    <row r="143" spans="2:14">
      <c r="B143" s="637"/>
      <c r="C143" s="637"/>
      <c r="D143" s="637"/>
      <c r="E143" s="639"/>
      <c r="F143" s="639"/>
      <c r="G143" s="639"/>
      <c r="H143" s="637"/>
      <c r="I143" s="637"/>
      <c r="J143" s="637"/>
      <c r="K143" s="641"/>
      <c r="L143" s="641"/>
      <c r="M143" s="641"/>
      <c r="N143" s="665"/>
    </row>
    <row r="144" spans="2:14">
      <c r="B144" s="637"/>
      <c r="C144" s="637"/>
      <c r="D144" s="637"/>
      <c r="E144" s="639"/>
      <c r="F144" s="639"/>
      <c r="G144" s="639"/>
      <c r="H144" s="637"/>
      <c r="I144" s="637"/>
      <c r="J144" s="637"/>
      <c r="K144" s="641"/>
      <c r="L144" s="641"/>
      <c r="M144" s="641"/>
      <c r="N144" s="665"/>
    </row>
    <row r="145" spans="2:14">
      <c r="B145" s="637"/>
      <c r="C145" s="637"/>
      <c r="D145" s="637"/>
      <c r="E145" s="639"/>
      <c r="F145" s="639"/>
      <c r="G145" s="639"/>
      <c r="H145" s="637"/>
      <c r="I145" s="637"/>
      <c r="J145" s="637"/>
      <c r="K145" s="641"/>
      <c r="L145" s="641"/>
      <c r="M145" s="641"/>
      <c r="N145" s="665"/>
    </row>
    <row r="146" spans="2:14">
      <c r="B146" s="637"/>
      <c r="C146" s="637"/>
      <c r="D146" s="637"/>
      <c r="E146" s="639"/>
      <c r="F146" s="639"/>
      <c r="G146" s="639"/>
      <c r="H146" s="637"/>
      <c r="I146" s="637"/>
      <c r="J146" s="637"/>
      <c r="K146" s="641"/>
      <c r="L146" s="641"/>
      <c r="M146" s="641"/>
      <c r="N146" s="665"/>
    </row>
    <row r="147" spans="2:14">
      <c r="B147" s="637"/>
      <c r="C147" s="637"/>
      <c r="D147" s="637"/>
      <c r="E147" s="639"/>
      <c r="F147" s="639"/>
      <c r="G147" s="639"/>
      <c r="H147" s="637"/>
      <c r="I147" s="637"/>
      <c r="J147" s="637"/>
      <c r="K147" s="641"/>
      <c r="L147" s="641"/>
      <c r="M147" s="641"/>
      <c r="N147" s="665"/>
    </row>
    <row r="148" spans="2:14">
      <c r="B148" s="637"/>
      <c r="C148" s="637"/>
      <c r="D148" s="637"/>
      <c r="E148" s="639"/>
      <c r="F148" s="639"/>
      <c r="G148" s="639"/>
      <c r="H148" s="637"/>
      <c r="I148" s="637"/>
      <c r="J148" s="637"/>
      <c r="K148" s="641"/>
      <c r="L148" s="641"/>
      <c r="M148" s="641"/>
      <c r="N148" s="665"/>
    </row>
    <row r="149" spans="2:14">
      <c r="B149" s="637"/>
      <c r="C149" s="637"/>
      <c r="D149" s="637"/>
      <c r="E149" s="639"/>
      <c r="F149" s="639"/>
      <c r="G149" s="639"/>
      <c r="H149" s="637"/>
      <c r="I149" s="637"/>
      <c r="J149" s="637"/>
      <c r="K149" s="641"/>
      <c r="L149" s="641"/>
      <c r="M149" s="641"/>
      <c r="N149" s="665"/>
    </row>
    <row r="150" spans="2:14">
      <c r="B150" s="637"/>
      <c r="C150" s="637"/>
      <c r="D150" s="637"/>
      <c r="E150" s="639"/>
      <c r="F150" s="639"/>
      <c r="G150" s="639"/>
      <c r="H150" s="637"/>
      <c r="I150" s="637"/>
      <c r="J150" s="637"/>
      <c r="K150" s="641"/>
      <c r="L150" s="641"/>
      <c r="M150" s="641"/>
      <c r="N150" s="665"/>
    </row>
    <row r="151" spans="2:14">
      <c r="B151" s="637"/>
      <c r="C151" s="637"/>
      <c r="D151" s="637"/>
      <c r="E151" s="639"/>
      <c r="F151" s="639"/>
      <c r="G151" s="639"/>
      <c r="H151" s="637"/>
      <c r="I151" s="637"/>
      <c r="J151" s="637"/>
      <c r="K151" s="641"/>
      <c r="L151" s="641"/>
      <c r="M151" s="641"/>
      <c r="N151" s="665"/>
    </row>
    <row r="152" spans="2:14">
      <c r="B152" s="637"/>
      <c r="C152" s="637"/>
      <c r="D152" s="637"/>
      <c r="E152" s="639"/>
      <c r="F152" s="639"/>
      <c r="G152" s="639"/>
      <c r="H152" s="637"/>
      <c r="I152" s="637"/>
      <c r="J152" s="637"/>
      <c r="K152" s="641"/>
      <c r="L152" s="641"/>
      <c r="M152" s="641"/>
      <c r="N152" s="665"/>
    </row>
    <row r="153" spans="2:14">
      <c r="B153" s="637"/>
      <c r="C153" s="637"/>
      <c r="D153" s="637"/>
      <c r="E153" s="639"/>
      <c r="F153" s="639"/>
      <c r="G153" s="639"/>
      <c r="H153" s="637"/>
      <c r="I153" s="637"/>
      <c r="J153" s="637"/>
      <c r="K153" s="641"/>
      <c r="L153" s="641"/>
      <c r="M153" s="641"/>
      <c r="N153" s="665"/>
    </row>
    <row r="154" spans="2:14">
      <c r="B154" s="637"/>
      <c r="C154" s="637"/>
      <c r="D154" s="637"/>
      <c r="E154" s="639"/>
      <c r="F154" s="639"/>
      <c r="G154" s="639"/>
      <c r="H154" s="637"/>
      <c r="I154" s="637"/>
      <c r="J154" s="637"/>
      <c r="K154" s="641"/>
      <c r="L154" s="641"/>
      <c r="M154" s="641"/>
      <c r="N154" s="665"/>
    </row>
    <row r="155" spans="2:14">
      <c r="B155" s="637"/>
      <c r="C155" s="637"/>
      <c r="D155" s="637"/>
      <c r="E155" s="639"/>
      <c r="F155" s="639"/>
      <c r="G155" s="639"/>
      <c r="H155" s="637"/>
      <c r="I155" s="637"/>
      <c r="J155" s="637"/>
      <c r="K155" s="641"/>
      <c r="L155" s="641"/>
      <c r="M155" s="641"/>
      <c r="N155" s="665"/>
    </row>
    <row r="156" spans="2:14">
      <c r="B156" s="637"/>
      <c r="C156" s="637"/>
      <c r="D156" s="637"/>
      <c r="E156" s="639"/>
      <c r="F156" s="639"/>
      <c r="G156" s="639"/>
      <c r="H156" s="637"/>
      <c r="I156" s="637"/>
      <c r="J156" s="637"/>
      <c r="K156" s="641"/>
      <c r="L156" s="641"/>
      <c r="M156" s="641"/>
      <c r="N156" s="665"/>
    </row>
    <row r="157" spans="2:14">
      <c r="B157" s="637"/>
      <c r="C157" s="637"/>
      <c r="D157" s="637"/>
      <c r="E157" s="639"/>
      <c r="F157" s="639"/>
      <c r="G157" s="639"/>
      <c r="H157" s="637"/>
      <c r="I157" s="637"/>
      <c r="J157" s="637"/>
      <c r="K157" s="641"/>
      <c r="L157" s="641"/>
      <c r="M157" s="641"/>
      <c r="N157" s="665"/>
    </row>
    <row r="158" spans="2:14">
      <c r="B158" s="637"/>
      <c r="C158" s="637"/>
      <c r="D158" s="637"/>
      <c r="E158" s="639"/>
      <c r="F158" s="639"/>
      <c r="G158" s="639"/>
      <c r="H158" s="637"/>
      <c r="I158" s="637"/>
      <c r="J158" s="637"/>
      <c r="K158" s="641"/>
      <c r="L158" s="641"/>
      <c r="M158" s="641"/>
      <c r="N158" s="665"/>
    </row>
    <row r="159" spans="2:14">
      <c r="B159" s="637"/>
      <c r="C159" s="637"/>
      <c r="D159" s="637"/>
      <c r="E159" s="639"/>
      <c r="F159" s="639"/>
      <c r="G159" s="639"/>
      <c r="H159" s="637"/>
      <c r="I159" s="637"/>
      <c r="J159" s="637"/>
      <c r="K159" s="641"/>
      <c r="L159" s="641"/>
      <c r="M159" s="641"/>
      <c r="N159" s="665"/>
    </row>
    <row r="160" spans="2:14">
      <c r="B160" s="637"/>
      <c r="C160" s="637"/>
      <c r="D160" s="637"/>
      <c r="E160" s="639"/>
      <c r="F160" s="639"/>
      <c r="G160" s="639"/>
      <c r="H160" s="637"/>
      <c r="I160" s="637"/>
      <c r="J160" s="637"/>
      <c r="K160" s="641"/>
      <c r="L160" s="641"/>
      <c r="M160" s="641"/>
      <c r="N160" s="665"/>
    </row>
    <row r="161" spans="2:14">
      <c r="B161" s="637"/>
      <c r="C161" s="637"/>
      <c r="D161" s="637"/>
      <c r="E161" s="639"/>
      <c r="F161" s="639"/>
      <c r="G161" s="639"/>
      <c r="H161" s="637"/>
      <c r="I161" s="637"/>
      <c r="J161" s="637"/>
      <c r="K161" s="641"/>
      <c r="L161" s="641"/>
      <c r="M161" s="641"/>
      <c r="N161" s="665"/>
    </row>
    <row r="162" spans="2:14">
      <c r="B162" s="637"/>
      <c r="C162" s="637"/>
      <c r="D162" s="637"/>
      <c r="E162" s="639"/>
      <c r="F162" s="639"/>
      <c r="G162" s="639"/>
      <c r="H162" s="637"/>
      <c r="I162" s="637"/>
      <c r="J162" s="637"/>
      <c r="K162" s="641"/>
      <c r="L162" s="641"/>
      <c r="M162" s="641"/>
      <c r="N162" s="665"/>
    </row>
    <row r="163" spans="2:14">
      <c r="B163" s="637"/>
      <c r="C163" s="637"/>
      <c r="D163" s="637"/>
      <c r="E163" s="639"/>
      <c r="F163" s="639"/>
      <c r="G163" s="639"/>
      <c r="H163" s="637"/>
      <c r="I163" s="637"/>
      <c r="J163" s="637"/>
      <c r="K163" s="641"/>
      <c r="L163" s="641"/>
      <c r="M163" s="641"/>
      <c r="N163" s="665"/>
    </row>
    <row r="164" spans="2:14">
      <c r="B164" s="637"/>
      <c r="C164" s="637"/>
      <c r="D164" s="637"/>
      <c r="E164" s="639"/>
      <c r="F164" s="639"/>
      <c r="G164" s="639"/>
      <c r="H164" s="637"/>
      <c r="I164" s="637"/>
      <c r="J164" s="637"/>
      <c r="K164" s="641"/>
      <c r="L164" s="641"/>
      <c r="M164" s="641"/>
      <c r="N164" s="665"/>
    </row>
    <row r="165" spans="2:14">
      <c r="B165" s="637"/>
      <c r="C165" s="637"/>
      <c r="D165" s="637"/>
      <c r="E165" s="639"/>
      <c r="F165" s="639"/>
      <c r="G165" s="639"/>
      <c r="H165" s="637"/>
      <c r="I165" s="637"/>
      <c r="J165" s="637"/>
      <c r="K165" s="641"/>
      <c r="L165" s="641"/>
      <c r="M165" s="641"/>
      <c r="N165" s="665"/>
    </row>
    <row r="166" spans="2:14">
      <c r="B166" s="637"/>
      <c r="C166" s="637"/>
      <c r="D166" s="637"/>
      <c r="E166" s="639"/>
      <c r="F166" s="639"/>
      <c r="G166" s="639"/>
      <c r="H166" s="637"/>
      <c r="I166" s="637"/>
      <c r="J166" s="637"/>
      <c r="K166" s="641"/>
      <c r="L166" s="641"/>
      <c r="M166" s="641"/>
      <c r="N166" s="665"/>
    </row>
    <row r="167" spans="2:14">
      <c r="B167" s="637"/>
      <c r="C167" s="637"/>
      <c r="D167" s="637"/>
      <c r="E167" s="639"/>
      <c r="F167" s="639"/>
      <c r="G167" s="639"/>
      <c r="H167" s="637"/>
      <c r="I167" s="637"/>
      <c r="J167" s="637"/>
      <c r="K167" s="641"/>
      <c r="L167" s="641"/>
      <c r="M167" s="641"/>
      <c r="N167" s="665"/>
    </row>
    <row r="168" spans="2:14">
      <c r="B168" s="637"/>
      <c r="C168" s="637"/>
      <c r="D168" s="637"/>
      <c r="E168" s="639"/>
      <c r="F168" s="639"/>
      <c r="G168" s="639"/>
      <c r="H168" s="637"/>
      <c r="I168" s="637"/>
      <c r="J168" s="637"/>
      <c r="K168" s="641"/>
      <c r="L168" s="641"/>
      <c r="M168" s="641"/>
      <c r="N168" s="665"/>
    </row>
    <row r="169" spans="2:14">
      <c r="B169" s="637"/>
      <c r="C169" s="637"/>
      <c r="D169" s="637"/>
      <c r="E169" s="639"/>
      <c r="F169" s="639"/>
      <c r="G169" s="639"/>
      <c r="H169" s="637"/>
      <c r="I169" s="637"/>
      <c r="J169" s="637"/>
      <c r="K169" s="641"/>
      <c r="L169" s="641"/>
      <c r="M169" s="641"/>
      <c r="N169" s="665"/>
    </row>
    <row r="170" spans="2:14">
      <c r="B170" s="637"/>
      <c r="C170" s="637"/>
      <c r="D170" s="637"/>
      <c r="E170" s="639"/>
      <c r="F170" s="639"/>
      <c r="G170" s="639"/>
      <c r="H170" s="637"/>
      <c r="I170" s="637"/>
      <c r="J170" s="637"/>
      <c r="K170" s="641"/>
      <c r="L170" s="641"/>
      <c r="M170" s="641"/>
      <c r="N170" s="665"/>
    </row>
    <row r="171" spans="2:14">
      <c r="B171" s="637"/>
      <c r="C171" s="637"/>
      <c r="D171" s="637"/>
      <c r="E171" s="639"/>
      <c r="F171" s="639"/>
      <c r="G171" s="639"/>
      <c r="H171" s="637"/>
      <c r="I171" s="637"/>
      <c r="J171" s="637"/>
      <c r="K171" s="641"/>
      <c r="L171" s="641"/>
      <c r="M171" s="641"/>
      <c r="N171" s="665"/>
    </row>
    <row r="172" spans="2:14">
      <c r="B172" s="637"/>
      <c r="C172" s="637"/>
      <c r="D172" s="637"/>
      <c r="E172" s="639"/>
      <c r="F172" s="639"/>
      <c r="G172" s="639"/>
      <c r="H172" s="637"/>
      <c r="I172" s="637"/>
      <c r="J172" s="637"/>
      <c r="K172" s="641"/>
      <c r="L172" s="641"/>
      <c r="M172" s="641"/>
      <c r="N172" s="665"/>
    </row>
    <row r="173" spans="2:14">
      <c r="B173" s="637"/>
      <c r="C173" s="637"/>
      <c r="D173" s="637"/>
      <c r="E173" s="639"/>
      <c r="F173" s="639"/>
      <c r="G173" s="639"/>
      <c r="H173" s="637"/>
      <c r="I173" s="637"/>
      <c r="J173" s="637"/>
      <c r="K173" s="641"/>
      <c r="L173" s="641"/>
      <c r="M173" s="641"/>
      <c r="N173" s="665"/>
    </row>
    <row r="174" spans="2:14">
      <c r="B174" s="637"/>
      <c r="C174" s="637"/>
      <c r="D174" s="637"/>
      <c r="E174" s="639"/>
      <c r="F174" s="639"/>
      <c r="G174" s="639"/>
      <c r="H174" s="637"/>
      <c r="I174" s="637"/>
      <c r="J174" s="637"/>
      <c r="K174" s="641"/>
      <c r="L174" s="641"/>
      <c r="M174" s="641"/>
      <c r="N174" s="665"/>
    </row>
    <row r="175" spans="2:14">
      <c r="B175" s="637"/>
      <c r="C175" s="637"/>
      <c r="D175" s="637"/>
      <c r="E175" s="639"/>
      <c r="F175" s="639"/>
      <c r="G175" s="639"/>
      <c r="H175" s="637"/>
      <c r="I175" s="637"/>
      <c r="J175" s="637"/>
      <c r="K175" s="641"/>
      <c r="L175" s="641"/>
      <c r="M175" s="641"/>
      <c r="N175" s="665"/>
    </row>
    <row r="176" spans="2:14">
      <c r="B176" s="637"/>
      <c r="C176" s="637"/>
      <c r="D176" s="637"/>
      <c r="E176" s="639"/>
      <c r="F176" s="639"/>
      <c r="G176" s="639"/>
      <c r="H176" s="637"/>
      <c r="I176" s="637"/>
      <c r="J176" s="637"/>
      <c r="K176" s="641"/>
      <c r="L176" s="641"/>
      <c r="M176" s="641"/>
      <c r="N176" s="665"/>
    </row>
    <row r="177" spans="2:14">
      <c r="B177" s="637"/>
      <c r="C177" s="637"/>
      <c r="D177" s="637"/>
      <c r="E177" s="639"/>
      <c r="F177" s="639"/>
      <c r="G177" s="639"/>
      <c r="H177" s="637"/>
      <c r="I177" s="637"/>
      <c r="J177" s="637"/>
      <c r="K177" s="641"/>
      <c r="L177" s="641"/>
      <c r="M177" s="641"/>
      <c r="N177" s="665"/>
    </row>
    <row r="178" spans="2:14">
      <c r="B178" s="637"/>
      <c r="C178" s="637"/>
      <c r="D178" s="637"/>
      <c r="E178" s="639"/>
      <c r="F178" s="639"/>
      <c r="G178" s="639"/>
      <c r="H178" s="637"/>
      <c r="I178" s="637"/>
      <c r="J178" s="637"/>
      <c r="K178" s="641"/>
      <c r="L178" s="641"/>
      <c r="M178" s="641"/>
      <c r="N178" s="665"/>
    </row>
    <row r="179" spans="2:14">
      <c r="B179" s="637"/>
      <c r="C179" s="637"/>
      <c r="D179" s="637"/>
      <c r="E179" s="639"/>
      <c r="F179" s="639"/>
      <c r="G179" s="639"/>
      <c r="H179" s="637"/>
      <c r="I179" s="637"/>
      <c r="J179" s="637"/>
      <c r="K179" s="641"/>
      <c r="L179" s="641"/>
      <c r="M179" s="641"/>
      <c r="N179" s="665"/>
    </row>
    <row r="180" spans="2:14">
      <c r="B180" s="637"/>
      <c r="C180" s="637"/>
      <c r="D180" s="637"/>
      <c r="E180" s="639"/>
      <c r="F180" s="639"/>
      <c r="G180" s="639"/>
      <c r="H180" s="637"/>
      <c r="I180" s="637"/>
      <c r="J180" s="637"/>
      <c r="K180" s="641"/>
      <c r="L180" s="641"/>
      <c r="M180" s="641"/>
      <c r="N180" s="665"/>
    </row>
    <row r="181" spans="2:14">
      <c r="B181" s="637"/>
      <c r="C181" s="637"/>
      <c r="D181" s="637"/>
      <c r="E181" s="639"/>
      <c r="F181" s="639"/>
      <c r="G181" s="639"/>
      <c r="H181" s="637"/>
      <c r="I181" s="637"/>
      <c r="J181" s="637"/>
      <c r="K181" s="641"/>
      <c r="L181" s="641"/>
      <c r="M181" s="641"/>
      <c r="N181" s="665"/>
    </row>
    <row r="182" spans="2:14">
      <c r="B182" s="637"/>
      <c r="C182" s="637"/>
      <c r="D182" s="637"/>
      <c r="E182" s="639"/>
      <c r="F182" s="639"/>
      <c r="G182" s="639"/>
      <c r="H182" s="637"/>
      <c r="I182" s="637"/>
      <c r="J182" s="637"/>
      <c r="K182" s="641"/>
      <c r="L182" s="641"/>
      <c r="M182" s="641"/>
      <c r="N182" s="665"/>
    </row>
    <row r="183" spans="2:14">
      <c r="B183" s="637"/>
      <c r="C183" s="637"/>
      <c r="D183" s="637"/>
      <c r="E183" s="639"/>
      <c r="F183" s="639"/>
      <c r="G183" s="639"/>
      <c r="H183" s="637"/>
      <c r="I183" s="637"/>
      <c r="J183" s="637"/>
      <c r="K183" s="641"/>
      <c r="L183" s="641"/>
      <c r="M183" s="641"/>
      <c r="N183" s="665"/>
    </row>
    <row r="184" spans="2:14">
      <c r="B184" s="637"/>
      <c r="C184" s="637"/>
      <c r="D184" s="637"/>
      <c r="E184" s="639"/>
      <c r="F184" s="639"/>
      <c r="G184" s="639"/>
      <c r="H184" s="637"/>
      <c r="I184" s="637"/>
      <c r="J184" s="637"/>
      <c r="K184" s="641"/>
      <c r="L184" s="641"/>
      <c r="M184" s="641"/>
      <c r="N184" s="665"/>
    </row>
    <row r="185" spans="2:14">
      <c r="B185" s="637"/>
      <c r="C185" s="637"/>
      <c r="D185" s="637"/>
      <c r="E185" s="639"/>
      <c r="F185" s="639"/>
      <c r="G185" s="639"/>
      <c r="H185" s="637"/>
      <c r="I185" s="637"/>
      <c r="J185" s="637"/>
      <c r="K185" s="641"/>
      <c r="L185" s="641"/>
      <c r="M185" s="641"/>
      <c r="N185" s="665"/>
    </row>
    <row r="186" spans="2:14">
      <c r="B186" s="637"/>
      <c r="C186" s="637"/>
      <c r="D186" s="637"/>
      <c r="E186" s="639"/>
      <c r="F186" s="639"/>
      <c r="G186" s="639"/>
      <c r="H186" s="637"/>
      <c r="I186" s="637"/>
      <c r="J186" s="637"/>
      <c r="K186" s="641"/>
      <c r="L186" s="641"/>
      <c r="M186" s="641"/>
      <c r="N186" s="665"/>
    </row>
    <row r="187" spans="2:14">
      <c r="B187" s="637"/>
      <c r="C187" s="637"/>
      <c r="D187" s="637"/>
      <c r="E187" s="639"/>
      <c r="F187" s="639"/>
      <c r="G187" s="639"/>
      <c r="H187" s="637"/>
      <c r="I187" s="637"/>
      <c r="J187" s="637"/>
      <c r="K187" s="641"/>
      <c r="L187" s="641"/>
      <c r="M187" s="641"/>
      <c r="N187" s="665"/>
    </row>
    <row r="188" spans="2:14">
      <c r="B188" s="637"/>
      <c r="C188" s="637"/>
      <c r="D188" s="637"/>
      <c r="E188" s="639"/>
      <c r="F188" s="639"/>
      <c r="G188" s="639"/>
      <c r="H188" s="637"/>
      <c r="I188" s="637"/>
      <c r="J188" s="637"/>
      <c r="K188" s="641"/>
      <c r="L188" s="641"/>
      <c r="M188" s="641"/>
      <c r="N188" s="665"/>
    </row>
    <row r="189" spans="2:14">
      <c r="B189" s="637"/>
      <c r="C189" s="637"/>
      <c r="D189" s="637"/>
      <c r="E189" s="639"/>
      <c r="F189" s="639"/>
      <c r="G189" s="639"/>
      <c r="H189" s="637"/>
      <c r="I189" s="637"/>
      <c r="J189" s="637"/>
      <c r="K189" s="641"/>
      <c r="L189" s="641"/>
      <c r="M189" s="641"/>
      <c r="N189" s="665"/>
    </row>
    <row r="190" spans="2:14">
      <c r="B190" s="637"/>
      <c r="C190" s="637"/>
      <c r="D190" s="637"/>
      <c r="E190" s="639"/>
      <c r="F190" s="639"/>
      <c r="G190" s="639"/>
      <c r="H190" s="637"/>
      <c r="I190" s="637"/>
      <c r="J190" s="637"/>
      <c r="K190" s="641"/>
      <c r="L190" s="641"/>
      <c r="M190" s="641"/>
      <c r="N190" s="665"/>
    </row>
    <row r="191" spans="2:14">
      <c r="B191" s="637"/>
      <c r="C191" s="637"/>
      <c r="D191" s="637"/>
      <c r="E191" s="639"/>
      <c r="F191" s="639"/>
      <c r="G191" s="639"/>
      <c r="H191" s="637"/>
      <c r="I191" s="637"/>
      <c r="J191" s="637"/>
      <c r="K191" s="641"/>
      <c r="L191" s="641"/>
      <c r="M191" s="641"/>
      <c r="N191" s="665"/>
    </row>
    <row r="192" spans="2:14">
      <c r="B192" s="637"/>
      <c r="C192" s="637"/>
      <c r="D192" s="637"/>
      <c r="E192" s="639"/>
      <c r="F192" s="639"/>
      <c r="G192" s="639"/>
      <c r="H192" s="637"/>
      <c r="I192" s="637"/>
      <c r="J192" s="637"/>
      <c r="K192" s="641"/>
      <c r="L192" s="641"/>
      <c r="M192" s="641"/>
      <c r="N192" s="665"/>
    </row>
    <row r="193" spans="2:14">
      <c r="B193" s="637"/>
      <c r="C193" s="637"/>
      <c r="D193" s="637"/>
      <c r="E193" s="639"/>
      <c r="F193" s="639"/>
      <c r="G193" s="639"/>
      <c r="H193" s="637"/>
      <c r="I193" s="637"/>
      <c r="J193" s="637"/>
      <c r="K193" s="641"/>
      <c r="L193" s="641"/>
      <c r="M193" s="641"/>
      <c r="N193" s="665"/>
    </row>
    <row r="194" spans="2:14">
      <c r="B194" s="637"/>
      <c r="C194" s="637"/>
      <c r="D194" s="637"/>
      <c r="E194" s="639"/>
      <c r="F194" s="639"/>
      <c r="G194" s="639"/>
      <c r="H194" s="637"/>
      <c r="I194" s="637"/>
      <c r="J194" s="637"/>
      <c r="K194" s="641"/>
      <c r="L194" s="641"/>
      <c r="M194" s="641"/>
      <c r="N194" s="665"/>
    </row>
    <row r="195" spans="2:14">
      <c r="B195" s="637"/>
      <c r="C195" s="637"/>
      <c r="D195" s="637"/>
      <c r="E195" s="639"/>
      <c r="F195" s="639"/>
      <c r="G195" s="639"/>
      <c r="H195" s="637"/>
      <c r="I195" s="637"/>
      <c r="J195" s="637"/>
      <c r="K195" s="641"/>
      <c r="L195" s="641"/>
      <c r="M195" s="641"/>
      <c r="N195" s="665"/>
    </row>
    <row r="196" spans="2:14">
      <c r="B196" s="637"/>
      <c r="C196" s="637"/>
      <c r="D196" s="637"/>
      <c r="E196" s="639"/>
      <c r="F196" s="639"/>
      <c r="G196" s="639"/>
      <c r="H196" s="637"/>
      <c r="I196" s="637"/>
      <c r="J196" s="637"/>
      <c r="K196" s="641"/>
      <c r="L196" s="641"/>
      <c r="M196" s="641"/>
      <c r="N196" s="665"/>
    </row>
    <row r="197" spans="2:14">
      <c r="B197" s="637"/>
      <c r="C197" s="637"/>
      <c r="D197" s="637"/>
      <c r="E197" s="639"/>
      <c r="F197" s="639"/>
      <c r="G197" s="639"/>
      <c r="H197" s="637"/>
      <c r="I197" s="637"/>
      <c r="J197" s="637"/>
      <c r="K197" s="641"/>
      <c r="L197" s="641"/>
      <c r="M197" s="641"/>
      <c r="N197" s="665"/>
    </row>
    <row r="198" spans="2:14">
      <c r="B198" s="637"/>
      <c r="C198" s="637"/>
      <c r="D198" s="637"/>
      <c r="E198" s="639"/>
      <c r="F198" s="639"/>
      <c r="G198" s="639"/>
      <c r="H198" s="637"/>
      <c r="I198" s="637"/>
      <c r="J198" s="637"/>
      <c r="K198" s="641"/>
      <c r="L198" s="641"/>
      <c r="M198" s="641"/>
      <c r="N198" s="665"/>
    </row>
    <row r="199" spans="2:14">
      <c r="B199" s="637"/>
      <c r="C199" s="637"/>
      <c r="D199" s="637"/>
      <c r="E199" s="639"/>
      <c r="F199" s="639"/>
      <c r="G199" s="639"/>
      <c r="H199" s="637"/>
      <c r="I199" s="637"/>
      <c r="J199" s="637"/>
      <c r="K199" s="641"/>
      <c r="L199" s="641"/>
      <c r="M199" s="641"/>
      <c r="N199" s="665"/>
    </row>
    <row r="200" spans="2:14">
      <c r="B200" s="637"/>
      <c r="C200" s="637"/>
      <c r="D200" s="637"/>
      <c r="E200" s="639"/>
      <c r="F200" s="639"/>
      <c r="G200" s="639"/>
      <c r="H200" s="637"/>
      <c r="I200" s="637"/>
      <c r="J200" s="637"/>
      <c r="K200" s="641"/>
      <c r="L200" s="641"/>
      <c r="M200" s="641"/>
      <c r="N200" s="665"/>
    </row>
    <row r="201" spans="2:14">
      <c r="B201" s="637"/>
      <c r="C201" s="637"/>
      <c r="D201" s="637"/>
      <c r="E201" s="639"/>
      <c r="F201" s="639"/>
      <c r="G201" s="639"/>
      <c r="H201" s="637"/>
      <c r="I201" s="637"/>
      <c r="J201" s="637"/>
      <c r="K201" s="641"/>
      <c r="L201" s="641"/>
      <c r="M201" s="641"/>
      <c r="N201" s="665"/>
    </row>
    <row r="202" spans="2:14">
      <c r="B202" s="637"/>
      <c r="C202" s="637"/>
      <c r="D202" s="637"/>
      <c r="E202" s="639"/>
      <c r="F202" s="639"/>
      <c r="G202" s="639"/>
      <c r="H202" s="637"/>
      <c r="I202" s="637"/>
      <c r="J202" s="637"/>
      <c r="K202" s="641"/>
      <c r="L202" s="641"/>
      <c r="M202" s="641"/>
      <c r="N202" s="665"/>
    </row>
    <row r="203" spans="2:14">
      <c r="B203" s="637"/>
      <c r="C203" s="637"/>
      <c r="D203" s="637"/>
      <c r="E203" s="639"/>
      <c r="F203" s="639"/>
      <c r="G203" s="639"/>
      <c r="H203" s="637"/>
      <c r="I203" s="637"/>
      <c r="J203" s="637"/>
      <c r="K203" s="641"/>
      <c r="L203" s="641"/>
      <c r="M203" s="641"/>
      <c r="N203" s="665"/>
    </row>
    <row r="204" spans="2:14">
      <c r="B204" s="637"/>
      <c r="C204" s="637"/>
      <c r="D204" s="637"/>
      <c r="E204" s="639"/>
      <c r="F204" s="639"/>
      <c r="G204" s="639"/>
      <c r="H204" s="637"/>
      <c r="I204" s="637"/>
      <c r="J204" s="637"/>
      <c r="K204" s="641"/>
      <c r="L204" s="641"/>
      <c r="M204" s="641"/>
      <c r="N204" s="665"/>
    </row>
    <row r="205" spans="2:14">
      <c r="B205" s="637"/>
      <c r="C205" s="637"/>
      <c r="D205" s="637"/>
      <c r="E205" s="639"/>
      <c r="F205" s="639"/>
      <c r="G205" s="639"/>
      <c r="H205" s="637"/>
      <c r="I205" s="637"/>
      <c r="J205" s="637"/>
      <c r="K205" s="641"/>
      <c r="L205" s="641"/>
      <c r="M205" s="641"/>
      <c r="N205" s="665"/>
    </row>
    <row r="206" spans="2:14">
      <c r="B206" s="637"/>
      <c r="C206" s="637"/>
      <c r="D206" s="637"/>
      <c r="E206" s="639"/>
      <c r="F206" s="639"/>
      <c r="G206" s="639"/>
      <c r="H206" s="637"/>
      <c r="I206" s="637"/>
      <c r="J206" s="637"/>
      <c r="K206" s="641"/>
      <c r="L206" s="641"/>
      <c r="M206" s="641"/>
      <c r="N206" s="665"/>
    </row>
    <row r="207" spans="2:14">
      <c r="B207" s="637"/>
      <c r="C207" s="637"/>
      <c r="D207" s="637"/>
      <c r="E207" s="639"/>
      <c r="F207" s="639"/>
      <c r="G207" s="639"/>
      <c r="H207" s="637"/>
      <c r="I207" s="637"/>
      <c r="J207" s="637"/>
      <c r="K207" s="641"/>
      <c r="L207" s="641"/>
      <c r="M207" s="641"/>
      <c r="N207" s="665"/>
    </row>
    <row r="208" spans="2:14">
      <c r="B208" s="637"/>
      <c r="C208" s="637"/>
      <c r="D208" s="637"/>
      <c r="E208" s="639"/>
      <c r="F208" s="639"/>
      <c r="G208" s="639"/>
      <c r="H208" s="637"/>
      <c r="I208" s="637"/>
      <c r="J208" s="637"/>
      <c r="K208" s="641"/>
      <c r="L208" s="641"/>
      <c r="M208" s="641"/>
      <c r="N208" s="665"/>
    </row>
    <row r="209" spans="2:14">
      <c r="B209" s="637"/>
      <c r="C209" s="637"/>
      <c r="D209" s="637"/>
      <c r="E209" s="639"/>
      <c r="F209" s="639"/>
      <c r="G209" s="639"/>
      <c r="H209" s="637"/>
      <c r="I209" s="637"/>
      <c r="J209" s="637"/>
      <c r="K209" s="641"/>
      <c r="L209" s="641"/>
      <c r="M209" s="641"/>
      <c r="N209" s="665"/>
    </row>
    <row r="210" spans="2:14">
      <c r="B210" s="637"/>
      <c r="C210" s="637"/>
      <c r="D210" s="637"/>
      <c r="E210" s="639"/>
      <c r="F210" s="639"/>
      <c r="G210" s="639"/>
      <c r="H210" s="637"/>
      <c r="I210" s="637"/>
      <c r="J210" s="637"/>
      <c r="K210" s="641"/>
      <c r="L210" s="641"/>
      <c r="M210" s="641"/>
      <c r="N210" s="665"/>
    </row>
    <row r="211" spans="2:14">
      <c r="B211" s="637"/>
      <c r="C211" s="637"/>
      <c r="D211" s="637"/>
      <c r="E211" s="639"/>
      <c r="F211" s="639"/>
      <c r="G211" s="639"/>
      <c r="H211" s="637"/>
      <c r="I211" s="637"/>
      <c r="J211" s="637"/>
      <c r="K211" s="641"/>
      <c r="L211" s="641"/>
      <c r="M211" s="641"/>
      <c r="N211" s="665"/>
    </row>
    <row r="212" spans="2:14">
      <c r="B212" s="637"/>
      <c r="C212" s="637"/>
      <c r="D212" s="637"/>
      <c r="E212" s="639"/>
      <c r="F212" s="639"/>
      <c r="G212" s="639"/>
      <c r="H212" s="637"/>
      <c r="I212" s="637"/>
      <c r="J212" s="637"/>
      <c r="K212" s="641"/>
      <c r="L212" s="641"/>
      <c r="M212" s="641"/>
      <c r="N212" s="665"/>
    </row>
    <row r="213" spans="2:14">
      <c r="B213" s="637"/>
      <c r="C213" s="637"/>
      <c r="D213" s="637"/>
      <c r="E213" s="639"/>
      <c r="F213" s="639"/>
      <c r="G213" s="639"/>
      <c r="H213" s="637"/>
      <c r="I213" s="637"/>
      <c r="J213" s="637"/>
      <c r="K213" s="641"/>
      <c r="L213" s="641"/>
      <c r="M213" s="641"/>
      <c r="N213" s="665"/>
    </row>
    <row r="214" spans="2:14">
      <c r="B214" s="637"/>
      <c r="C214" s="637"/>
      <c r="D214" s="637"/>
      <c r="E214" s="639"/>
      <c r="F214" s="639"/>
      <c r="G214" s="639"/>
      <c r="H214" s="637"/>
      <c r="I214" s="637"/>
      <c r="J214" s="637"/>
      <c r="K214" s="641"/>
      <c r="L214" s="641"/>
      <c r="M214" s="641"/>
      <c r="N214" s="665"/>
    </row>
    <row r="215" spans="2:14">
      <c r="B215" s="637"/>
      <c r="C215" s="637"/>
      <c r="D215" s="637"/>
      <c r="E215" s="639"/>
      <c r="F215" s="639"/>
      <c r="G215" s="639"/>
      <c r="H215" s="637"/>
      <c r="I215" s="637"/>
      <c r="J215" s="637"/>
      <c r="K215" s="641"/>
      <c r="L215" s="641"/>
      <c r="M215" s="641"/>
      <c r="N215" s="665"/>
    </row>
    <row r="216" spans="2:14">
      <c r="B216" s="637"/>
      <c r="C216" s="637"/>
      <c r="D216" s="637"/>
      <c r="E216" s="639"/>
      <c r="F216" s="639"/>
      <c r="G216" s="639"/>
      <c r="H216" s="637"/>
      <c r="I216" s="637"/>
      <c r="J216" s="637"/>
      <c r="K216" s="641"/>
      <c r="L216" s="641"/>
      <c r="M216" s="641"/>
      <c r="N216" s="665"/>
    </row>
    <row r="217" spans="2:14">
      <c r="B217" s="637"/>
      <c r="C217" s="637"/>
      <c r="D217" s="637"/>
      <c r="E217" s="639"/>
      <c r="F217" s="639"/>
      <c r="G217" s="639"/>
      <c r="H217" s="637"/>
      <c r="I217" s="637"/>
      <c r="J217" s="637"/>
      <c r="K217" s="641"/>
      <c r="L217" s="641"/>
      <c r="M217" s="641"/>
      <c r="N217" s="665"/>
    </row>
    <row r="218" spans="2:14">
      <c r="B218" s="637"/>
      <c r="C218" s="637"/>
      <c r="D218" s="637"/>
      <c r="E218" s="639"/>
      <c r="F218" s="639"/>
      <c r="G218" s="639"/>
      <c r="H218" s="637"/>
      <c r="I218" s="637"/>
      <c r="J218" s="637"/>
      <c r="K218" s="641"/>
      <c r="L218" s="641"/>
      <c r="M218" s="641"/>
      <c r="N218" s="665"/>
    </row>
    <row r="219" spans="2:14">
      <c r="B219" s="637"/>
      <c r="C219" s="637"/>
      <c r="D219" s="637"/>
      <c r="E219" s="639"/>
      <c r="F219" s="639"/>
      <c r="G219" s="639"/>
      <c r="H219" s="637"/>
      <c r="I219" s="637"/>
      <c r="J219" s="637"/>
      <c r="K219" s="641"/>
      <c r="L219" s="641"/>
      <c r="M219" s="641"/>
      <c r="N219" s="665"/>
    </row>
    <row r="220" spans="2:14">
      <c r="B220" s="637"/>
      <c r="C220" s="637"/>
      <c r="D220" s="637"/>
      <c r="E220" s="639"/>
      <c r="F220" s="639"/>
      <c r="G220" s="639"/>
      <c r="H220" s="637"/>
      <c r="I220" s="637"/>
      <c r="J220" s="637"/>
      <c r="K220" s="641"/>
      <c r="L220" s="641"/>
      <c r="M220" s="641"/>
      <c r="N220" s="665"/>
    </row>
    <row r="221" spans="2:14">
      <c r="B221" s="637"/>
      <c r="C221" s="637"/>
      <c r="D221" s="637"/>
      <c r="E221" s="639"/>
      <c r="F221" s="639"/>
      <c r="G221" s="639"/>
      <c r="H221" s="637"/>
      <c r="I221" s="637"/>
      <c r="J221" s="637"/>
      <c r="K221" s="641"/>
      <c r="L221" s="641"/>
      <c r="M221" s="641"/>
      <c r="N221" s="665"/>
    </row>
    <row r="222" spans="2:14">
      <c r="B222" s="637"/>
      <c r="C222" s="637"/>
      <c r="D222" s="637"/>
      <c r="E222" s="639"/>
      <c r="F222" s="639"/>
      <c r="G222" s="639"/>
      <c r="H222" s="637"/>
      <c r="I222" s="637"/>
      <c r="J222" s="637"/>
      <c r="K222" s="641"/>
      <c r="L222" s="641"/>
      <c r="M222" s="641"/>
      <c r="N222" s="665"/>
    </row>
    <row r="223" spans="2:14">
      <c r="B223" s="637"/>
      <c r="C223" s="637"/>
      <c r="D223" s="637"/>
      <c r="E223" s="639"/>
      <c r="F223" s="639"/>
      <c r="G223" s="639"/>
      <c r="H223" s="637"/>
      <c r="I223" s="637"/>
      <c r="J223" s="637"/>
      <c r="K223" s="641"/>
      <c r="L223" s="641"/>
      <c r="M223" s="641"/>
      <c r="N223" s="665"/>
    </row>
    <row r="224" spans="2:14">
      <c r="B224" s="637"/>
      <c r="C224" s="637"/>
      <c r="D224" s="637"/>
      <c r="E224" s="639"/>
      <c r="F224" s="639"/>
      <c r="G224" s="639"/>
      <c r="H224" s="637"/>
      <c r="I224" s="637"/>
      <c r="J224" s="637"/>
      <c r="K224" s="641"/>
      <c r="L224" s="641"/>
      <c r="M224" s="641"/>
      <c r="N224" s="665"/>
    </row>
    <row r="225" spans="2:14">
      <c r="B225" s="637"/>
      <c r="C225" s="637"/>
      <c r="D225" s="637"/>
      <c r="E225" s="639"/>
      <c r="F225" s="639"/>
      <c r="G225" s="639"/>
      <c r="H225" s="637"/>
      <c r="I225" s="637"/>
      <c r="J225" s="637"/>
      <c r="K225" s="641"/>
      <c r="L225" s="641"/>
      <c r="M225" s="641"/>
      <c r="N225" s="665"/>
    </row>
    <row r="226" spans="2:14">
      <c r="B226" s="637"/>
      <c r="C226" s="637"/>
      <c r="D226" s="637"/>
      <c r="E226" s="639"/>
      <c r="F226" s="639"/>
      <c r="G226" s="639"/>
      <c r="H226" s="637"/>
      <c r="I226" s="637"/>
      <c r="J226" s="637"/>
      <c r="K226" s="641"/>
      <c r="L226" s="641"/>
      <c r="M226" s="641"/>
      <c r="N226" s="665"/>
    </row>
    <row r="227" spans="2:14">
      <c r="B227" s="637"/>
      <c r="C227" s="637"/>
      <c r="D227" s="637"/>
      <c r="E227" s="639"/>
      <c r="F227" s="639"/>
      <c r="G227" s="639"/>
      <c r="H227" s="637"/>
      <c r="I227" s="637"/>
      <c r="J227" s="637"/>
      <c r="K227" s="641"/>
      <c r="L227" s="641"/>
      <c r="M227" s="641"/>
      <c r="N227" s="665"/>
    </row>
    <row r="228" spans="2:14">
      <c r="B228" s="637"/>
      <c r="C228" s="637"/>
      <c r="D228" s="637"/>
      <c r="E228" s="639"/>
      <c r="F228" s="639"/>
      <c r="G228" s="639"/>
      <c r="H228" s="637"/>
      <c r="I228" s="637"/>
      <c r="J228" s="637"/>
      <c r="K228" s="641"/>
      <c r="L228" s="641"/>
      <c r="M228" s="641"/>
      <c r="N228" s="665"/>
    </row>
    <row r="229" spans="2:14">
      <c r="B229" s="637"/>
      <c r="C229" s="637"/>
      <c r="D229" s="637"/>
      <c r="E229" s="639"/>
      <c r="F229" s="639"/>
      <c r="G229" s="639"/>
      <c r="H229" s="637"/>
      <c r="I229" s="637"/>
      <c r="J229" s="637"/>
      <c r="K229" s="641"/>
      <c r="L229" s="641"/>
      <c r="M229" s="641"/>
      <c r="N229" s="665"/>
    </row>
    <row r="230" spans="2:14">
      <c r="B230" s="637"/>
      <c r="C230" s="637"/>
      <c r="D230" s="637"/>
      <c r="E230" s="639"/>
      <c r="F230" s="639"/>
      <c r="G230" s="639"/>
      <c r="H230" s="637"/>
      <c r="I230" s="637"/>
      <c r="J230" s="637"/>
      <c r="K230" s="641"/>
      <c r="L230" s="641"/>
      <c r="M230" s="641"/>
      <c r="N230" s="665"/>
    </row>
    <row r="231" spans="2:14">
      <c r="B231" s="637"/>
      <c r="C231" s="637"/>
      <c r="D231" s="637"/>
      <c r="E231" s="639"/>
      <c r="F231" s="639"/>
      <c r="G231" s="639"/>
      <c r="H231" s="637"/>
      <c r="I231" s="637"/>
      <c r="J231" s="637"/>
      <c r="K231" s="641"/>
      <c r="L231" s="641"/>
      <c r="M231" s="641"/>
      <c r="N231" s="665"/>
    </row>
    <row r="232" spans="2:14">
      <c r="B232" s="637"/>
      <c r="C232" s="637"/>
      <c r="D232" s="637"/>
      <c r="E232" s="639"/>
      <c r="F232" s="639"/>
      <c r="G232" s="639"/>
      <c r="H232" s="637"/>
      <c r="I232" s="637"/>
      <c r="J232" s="637"/>
      <c r="K232" s="641"/>
      <c r="L232" s="641"/>
      <c r="M232" s="641"/>
      <c r="N232" s="665"/>
    </row>
    <row r="233" spans="2:14">
      <c r="B233" s="637"/>
      <c r="C233" s="637"/>
      <c r="D233" s="637"/>
      <c r="E233" s="639"/>
      <c r="F233" s="639"/>
      <c r="G233" s="639"/>
      <c r="H233" s="637"/>
      <c r="I233" s="637"/>
      <c r="J233" s="637"/>
      <c r="K233" s="641"/>
      <c r="L233" s="641"/>
      <c r="M233" s="641"/>
      <c r="N233" s="665"/>
    </row>
    <row r="234" spans="2:14">
      <c r="B234" s="637"/>
      <c r="C234" s="637"/>
      <c r="D234" s="637"/>
      <c r="E234" s="639"/>
      <c r="F234" s="639"/>
      <c r="G234" s="639"/>
      <c r="H234" s="637"/>
      <c r="I234" s="637"/>
      <c r="J234" s="637"/>
      <c r="K234" s="641"/>
      <c r="L234" s="641"/>
      <c r="M234" s="641"/>
      <c r="N234" s="665"/>
    </row>
    <row r="235" spans="2:14">
      <c r="B235" s="637"/>
      <c r="C235" s="637"/>
      <c r="D235" s="637"/>
      <c r="E235" s="639"/>
      <c r="F235" s="639"/>
      <c r="G235" s="639"/>
      <c r="H235" s="637"/>
      <c r="I235" s="637"/>
      <c r="J235" s="637"/>
      <c r="K235" s="641"/>
      <c r="L235" s="641"/>
      <c r="M235" s="641"/>
      <c r="N235" s="665"/>
    </row>
    <row r="236" spans="2:14">
      <c r="B236" s="637"/>
      <c r="C236" s="637"/>
      <c r="D236" s="637"/>
      <c r="E236" s="639"/>
      <c r="F236" s="639"/>
      <c r="G236" s="639"/>
      <c r="H236" s="637"/>
      <c r="I236" s="637"/>
      <c r="J236" s="637"/>
      <c r="K236" s="641"/>
      <c r="L236" s="641"/>
      <c r="M236" s="641"/>
      <c r="N236" s="665"/>
    </row>
    <row r="237" spans="2:14">
      <c r="B237" s="637"/>
      <c r="C237" s="637"/>
      <c r="D237" s="637"/>
      <c r="E237" s="639"/>
      <c r="F237" s="639"/>
      <c r="G237" s="639"/>
      <c r="H237" s="637"/>
      <c r="I237" s="637"/>
      <c r="J237" s="637"/>
      <c r="K237" s="641"/>
      <c r="L237" s="641"/>
      <c r="M237" s="641"/>
      <c r="N237" s="665"/>
    </row>
    <row r="238" spans="2:14">
      <c r="B238" s="637"/>
      <c r="C238" s="637"/>
      <c r="D238" s="637"/>
      <c r="E238" s="639"/>
      <c r="F238" s="639"/>
      <c r="G238" s="639"/>
      <c r="H238" s="637"/>
      <c r="I238" s="637"/>
      <c r="J238" s="637"/>
      <c r="K238" s="641"/>
      <c r="L238" s="641"/>
      <c r="M238" s="641"/>
      <c r="N238" s="665"/>
    </row>
    <row r="239" spans="2:14">
      <c r="B239" s="637"/>
      <c r="C239" s="637"/>
      <c r="D239" s="637"/>
      <c r="E239" s="639"/>
      <c r="F239" s="639"/>
      <c r="G239" s="639"/>
      <c r="H239" s="637"/>
      <c r="I239" s="637"/>
      <c r="J239" s="637"/>
      <c r="K239" s="641"/>
      <c r="L239" s="641"/>
      <c r="M239" s="641"/>
      <c r="N239" s="665"/>
    </row>
    <row r="240" spans="2:14">
      <c r="B240" s="637"/>
      <c r="C240" s="637"/>
      <c r="D240" s="637"/>
      <c r="E240" s="639"/>
      <c r="F240" s="639"/>
      <c r="G240" s="639"/>
      <c r="H240" s="637"/>
      <c r="I240" s="637"/>
      <c r="J240" s="637"/>
      <c r="K240" s="641"/>
      <c r="L240" s="641"/>
      <c r="M240" s="641"/>
      <c r="N240" s="665"/>
    </row>
    <row r="241" spans="2:14">
      <c r="B241" s="637"/>
      <c r="C241" s="637"/>
      <c r="D241" s="637"/>
      <c r="E241" s="639"/>
      <c r="F241" s="639"/>
      <c r="G241" s="639"/>
      <c r="H241" s="637"/>
      <c r="I241" s="637"/>
      <c r="J241" s="637"/>
      <c r="K241" s="641"/>
      <c r="L241" s="641"/>
      <c r="M241" s="641"/>
      <c r="N241" s="665"/>
    </row>
    <row r="242" spans="2:14">
      <c r="B242" s="637"/>
      <c r="C242" s="637"/>
      <c r="D242" s="637"/>
      <c r="E242" s="639"/>
      <c r="F242" s="639"/>
      <c r="G242" s="639"/>
      <c r="H242" s="637"/>
      <c r="I242" s="637"/>
      <c r="J242" s="637"/>
      <c r="K242" s="641"/>
      <c r="L242" s="641"/>
      <c r="M242" s="641"/>
      <c r="N242" s="665"/>
    </row>
    <row r="243" spans="2:14">
      <c r="B243" s="637"/>
      <c r="C243" s="637"/>
      <c r="D243" s="637"/>
      <c r="E243" s="639"/>
      <c r="F243" s="639"/>
      <c r="G243" s="639"/>
      <c r="H243" s="637"/>
      <c r="I243" s="637"/>
      <c r="J243" s="637"/>
      <c r="K243" s="641"/>
      <c r="L243" s="641"/>
      <c r="M243" s="641"/>
      <c r="N243" s="665"/>
    </row>
    <row r="244" spans="2:14">
      <c r="B244" s="637"/>
      <c r="C244" s="637"/>
      <c r="D244" s="637"/>
      <c r="E244" s="639"/>
      <c r="F244" s="639"/>
      <c r="G244" s="639"/>
      <c r="H244" s="637"/>
      <c r="I244" s="637"/>
      <c r="J244" s="637"/>
      <c r="K244" s="641"/>
      <c r="L244" s="641"/>
      <c r="M244" s="641"/>
      <c r="N244" s="665"/>
    </row>
    <row r="245" spans="2:14">
      <c r="B245" s="637"/>
      <c r="C245" s="637"/>
      <c r="D245" s="637"/>
      <c r="E245" s="639"/>
      <c r="F245" s="639"/>
      <c r="G245" s="639"/>
      <c r="H245" s="637"/>
      <c r="I245" s="637"/>
      <c r="J245" s="637"/>
      <c r="K245" s="641"/>
      <c r="L245" s="641"/>
      <c r="M245" s="641"/>
      <c r="N245" s="665"/>
    </row>
    <row r="246" spans="2:14">
      <c r="B246" s="637"/>
      <c r="C246" s="637"/>
      <c r="D246" s="637"/>
      <c r="E246" s="639"/>
      <c r="F246" s="639"/>
      <c r="G246" s="639"/>
      <c r="H246" s="637"/>
      <c r="I246" s="637"/>
      <c r="J246" s="637"/>
      <c r="K246" s="641"/>
      <c r="L246" s="641"/>
      <c r="M246" s="641"/>
      <c r="N246" s="665"/>
    </row>
    <row r="247" spans="2:14">
      <c r="B247" s="637"/>
      <c r="C247" s="637"/>
      <c r="D247" s="637"/>
      <c r="E247" s="639"/>
      <c r="F247" s="639"/>
      <c r="G247" s="639"/>
      <c r="H247" s="637"/>
      <c r="I247" s="637"/>
      <c r="J247" s="637"/>
      <c r="K247" s="641"/>
      <c r="L247" s="641"/>
      <c r="M247" s="641"/>
      <c r="N247" s="665"/>
    </row>
    <row r="248" spans="2:14">
      <c r="B248" s="637"/>
      <c r="C248" s="637"/>
      <c r="D248" s="637"/>
      <c r="E248" s="639"/>
      <c r="F248" s="639"/>
      <c r="G248" s="639"/>
      <c r="H248" s="637"/>
      <c r="I248" s="637"/>
      <c r="J248" s="637"/>
      <c r="K248" s="641"/>
      <c r="L248" s="641"/>
      <c r="M248" s="641"/>
      <c r="N248" s="665"/>
    </row>
    <row r="249" spans="2:14">
      <c r="B249" s="637"/>
      <c r="C249" s="637"/>
      <c r="D249" s="637"/>
      <c r="E249" s="639"/>
      <c r="F249" s="639"/>
      <c r="G249" s="639"/>
      <c r="H249" s="637"/>
      <c r="I249" s="637"/>
      <c r="J249" s="637"/>
      <c r="K249" s="641"/>
      <c r="L249" s="641"/>
      <c r="M249" s="641"/>
      <c r="N249" s="665"/>
    </row>
    <row r="250" spans="2:14">
      <c r="B250" s="637"/>
      <c r="C250" s="637"/>
      <c r="D250" s="637"/>
      <c r="E250" s="639"/>
      <c r="F250" s="639"/>
      <c r="G250" s="639"/>
      <c r="H250" s="637"/>
      <c r="I250" s="637"/>
      <c r="J250" s="637"/>
      <c r="K250" s="641"/>
      <c r="L250" s="641"/>
      <c r="M250" s="641"/>
      <c r="N250" s="665"/>
    </row>
    <row r="251" spans="2:14">
      <c r="B251" s="637"/>
      <c r="C251" s="637"/>
      <c r="D251" s="637"/>
      <c r="E251" s="639"/>
      <c r="F251" s="639"/>
      <c r="G251" s="639"/>
      <c r="H251" s="637"/>
      <c r="I251" s="637"/>
      <c r="J251" s="637"/>
      <c r="K251" s="641"/>
      <c r="L251" s="641"/>
      <c r="M251" s="641"/>
      <c r="N251" s="665"/>
    </row>
    <row r="252" spans="2:14">
      <c r="B252" s="637"/>
      <c r="C252" s="637"/>
      <c r="D252" s="637"/>
      <c r="E252" s="639"/>
      <c r="F252" s="639"/>
      <c r="G252" s="639"/>
      <c r="H252" s="637"/>
      <c r="I252" s="637"/>
      <c r="J252" s="637"/>
      <c r="K252" s="641"/>
      <c r="L252" s="641"/>
      <c r="M252" s="641"/>
      <c r="N252" s="665"/>
    </row>
    <row r="253" spans="2:14">
      <c r="B253" s="637"/>
      <c r="C253" s="637"/>
      <c r="D253" s="637"/>
      <c r="E253" s="639"/>
      <c r="F253" s="639"/>
      <c r="G253" s="639"/>
      <c r="H253" s="637"/>
      <c r="I253" s="637"/>
      <c r="J253" s="637"/>
      <c r="K253" s="641"/>
      <c r="L253" s="641"/>
      <c r="M253" s="641"/>
      <c r="N253" s="665"/>
    </row>
    <row r="254" spans="2:14">
      <c r="B254" s="637"/>
      <c r="C254" s="637"/>
      <c r="D254" s="637"/>
      <c r="E254" s="639"/>
      <c r="F254" s="639"/>
      <c r="G254" s="639"/>
      <c r="H254" s="637"/>
      <c r="I254" s="637"/>
      <c r="J254" s="637"/>
      <c r="K254" s="641"/>
      <c r="L254" s="641"/>
      <c r="M254" s="641"/>
      <c r="N254" s="665"/>
    </row>
    <row r="255" spans="2:14">
      <c r="B255" s="637"/>
      <c r="C255" s="637"/>
      <c r="D255" s="637"/>
      <c r="E255" s="639"/>
      <c r="F255" s="639"/>
      <c r="G255" s="639"/>
      <c r="H255" s="637"/>
      <c r="I255" s="637"/>
      <c r="J255" s="637"/>
      <c r="K255" s="641"/>
      <c r="L255" s="641"/>
      <c r="M255" s="641"/>
      <c r="N255" s="665"/>
    </row>
    <row r="256" spans="2:14">
      <c r="B256" s="637"/>
      <c r="C256" s="637"/>
      <c r="D256" s="637"/>
      <c r="E256" s="639"/>
      <c r="F256" s="639"/>
      <c r="G256" s="639"/>
      <c r="H256" s="637"/>
      <c r="I256" s="637"/>
      <c r="J256" s="637"/>
      <c r="K256" s="641"/>
      <c r="L256" s="641"/>
      <c r="M256" s="641"/>
      <c r="N256" s="665"/>
    </row>
    <row r="257" spans="2:14">
      <c r="B257" s="637"/>
      <c r="C257" s="637"/>
      <c r="D257" s="637"/>
      <c r="E257" s="639"/>
      <c r="F257" s="639"/>
      <c r="G257" s="639"/>
      <c r="H257" s="637"/>
      <c r="I257" s="637"/>
      <c r="J257" s="637"/>
      <c r="K257" s="641"/>
      <c r="L257" s="641"/>
      <c r="M257" s="641"/>
      <c r="N257" s="665"/>
    </row>
    <row r="258" spans="2:14">
      <c r="B258" s="637"/>
      <c r="C258" s="637"/>
      <c r="D258" s="637"/>
      <c r="E258" s="639"/>
      <c r="F258" s="639"/>
      <c r="G258" s="639"/>
      <c r="H258" s="637"/>
      <c r="I258" s="637"/>
      <c r="J258" s="637"/>
      <c r="K258" s="641"/>
      <c r="L258" s="641"/>
      <c r="M258" s="641"/>
      <c r="N258" s="665"/>
    </row>
    <row r="259" spans="2:14">
      <c r="B259" s="637"/>
      <c r="C259" s="637"/>
      <c r="D259" s="637"/>
      <c r="E259" s="639"/>
      <c r="F259" s="639"/>
      <c r="G259" s="639"/>
      <c r="H259" s="637"/>
      <c r="I259" s="637"/>
      <c r="J259" s="637"/>
      <c r="K259" s="641"/>
      <c r="L259" s="641"/>
      <c r="M259" s="641"/>
      <c r="N259" s="665"/>
    </row>
    <row r="260" spans="2:14">
      <c r="B260" s="637"/>
      <c r="C260" s="637"/>
      <c r="D260" s="637"/>
      <c r="E260" s="639"/>
      <c r="F260" s="639"/>
      <c r="G260" s="639"/>
      <c r="H260" s="637"/>
      <c r="I260" s="637"/>
      <c r="J260" s="637"/>
      <c r="K260" s="641"/>
      <c r="L260" s="641"/>
      <c r="M260" s="641"/>
      <c r="N260" s="665"/>
    </row>
    <row r="261" spans="2:14">
      <c r="B261" s="637"/>
      <c r="C261" s="637"/>
      <c r="D261" s="637"/>
      <c r="E261" s="639"/>
      <c r="F261" s="639"/>
      <c r="G261" s="639"/>
      <c r="H261" s="637"/>
      <c r="I261" s="637"/>
      <c r="J261" s="637"/>
      <c r="K261" s="641"/>
      <c r="L261" s="641"/>
      <c r="M261" s="641"/>
      <c r="N261" s="665"/>
    </row>
    <row r="262" spans="2:14">
      <c r="B262" s="637"/>
      <c r="C262" s="637"/>
      <c r="D262" s="637"/>
      <c r="E262" s="639"/>
      <c r="F262" s="639"/>
      <c r="G262" s="639"/>
      <c r="H262" s="637"/>
      <c r="I262" s="637"/>
      <c r="J262" s="637"/>
      <c r="K262" s="641"/>
      <c r="L262" s="641"/>
      <c r="M262" s="641"/>
      <c r="N262" s="665"/>
    </row>
    <row r="263" spans="2:14">
      <c r="B263" s="637"/>
      <c r="C263" s="637"/>
      <c r="D263" s="637"/>
      <c r="E263" s="639"/>
      <c r="F263" s="639"/>
      <c r="G263" s="639"/>
      <c r="H263" s="637"/>
      <c r="I263" s="637"/>
      <c r="J263" s="637"/>
      <c r="K263" s="641"/>
      <c r="L263" s="641"/>
      <c r="M263" s="641"/>
      <c r="N263" s="665"/>
    </row>
    <row r="264" spans="2:14">
      <c r="B264" s="637"/>
      <c r="C264" s="637"/>
      <c r="D264" s="637"/>
      <c r="E264" s="639"/>
      <c r="F264" s="639"/>
      <c r="G264" s="639"/>
      <c r="H264" s="637"/>
      <c r="I264" s="637"/>
      <c r="J264" s="637"/>
      <c r="K264" s="641"/>
      <c r="L264" s="641"/>
      <c r="M264" s="641"/>
      <c r="N264" s="665"/>
    </row>
    <row r="265" spans="2:14">
      <c r="B265" s="637"/>
      <c r="C265" s="637"/>
      <c r="D265" s="637"/>
      <c r="E265" s="639"/>
      <c r="F265" s="639"/>
      <c r="G265" s="639"/>
      <c r="H265" s="637"/>
      <c r="I265" s="637"/>
      <c r="J265" s="637"/>
      <c r="K265" s="641"/>
      <c r="L265" s="641"/>
      <c r="M265" s="641"/>
      <c r="N265" s="665"/>
    </row>
    <row r="266" spans="2:14">
      <c r="B266" s="637"/>
      <c r="C266" s="637"/>
      <c r="D266" s="637"/>
      <c r="E266" s="639"/>
      <c r="F266" s="639"/>
      <c r="G266" s="639"/>
      <c r="H266" s="637"/>
      <c r="I266" s="637"/>
      <c r="J266" s="637"/>
      <c r="K266" s="641"/>
      <c r="L266" s="641"/>
      <c r="M266" s="641"/>
      <c r="N266" s="665"/>
    </row>
    <row r="267" spans="2:14">
      <c r="B267" s="637"/>
      <c r="C267" s="637"/>
      <c r="D267" s="637"/>
      <c r="E267" s="639"/>
      <c r="F267" s="639"/>
      <c r="G267" s="639"/>
      <c r="H267" s="637"/>
      <c r="I267" s="637"/>
      <c r="J267" s="637"/>
      <c r="K267" s="641"/>
      <c r="L267" s="641"/>
      <c r="M267" s="641"/>
      <c r="N267" s="665"/>
    </row>
    <row r="268" spans="2:14">
      <c r="B268" s="637"/>
      <c r="C268" s="637"/>
      <c r="D268" s="637"/>
      <c r="E268" s="639"/>
      <c r="F268" s="639"/>
      <c r="G268" s="639"/>
      <c r="H268" s="637"/>
      <c r="I268" s="637"/>
      <c r="J268" s="637"/>
      <c r="K268" s="641"/>
      <c r="L268" s="641"/>
      <c r="M268" s="641"/>
      <c r="N268" s="665"/>
    </row>
    <row r="269" spans="2:14">
      <c r="B269" s="637"/>
      <c r="C269" s="637"/>
      <c r="D269" s="637"/>
      <c r="E269" s="639"/>
      <c r="F269" s="639"/>
      <c r="G269" s="639"/>
      <c r="H269" s="637"/>
      <c r="I269" s="637"/>
      <c r="J269" s="637"/>
      <c r="K269" s="641"/>
      <c r="L269" s="641"/>
      <c r="M269" s="641"/>
      <c r="N269" s="665"/>
    </row>
    <row r="270" spans="2:14">
      <c r="B270" s="637"/>
      <c r="C270" s="637"/>
      <c r="D270" s="637"/>
      <c r="E270" s="639"/>
      <c r="F270" s="639"/>
      <c r="G270" s="639"/>
      <c r="H270" s="637"/>
      <c r="I270" s="637"/>
      <c r="J270" s="637"/>
      <c r="K270" s="641"/>
      <c r="L270" s="641"/>
      <c r="M270" s="641"/>
      <c r="N270" s="665"/>
    </row>
    <row r="271" spans="2:14">
      <c r="B271" s="637"/>
      <c r="C271" s="637"/>
      <c r="D271" s="637"/>
      <c r="E271" s="639"/>
      <c r="F271" s="639"/>
      <c r="G271" s="639"/>
      <c r="H271" s="637"/>
      <c r="I271" s="637"/>
      <c r="J271" s="637"/>
      <c r="K271" s="641"/>
      <c r="L271" s="641"/>
      <c r="M271" s="641"/>
      <c r="N271" s="665"/>
    </row>
    <row r="272" spans="2:14">
      <c r="B272" s="637"/>
      <c r="C272" s="637"/>
      <c r="D272" s="637"/>
      <c r="E272" s="639"/>
      <c r="F272" s="639"/>
      <c r="G272" s="639"/>
      <c r="H272" s="637"/>
      <c r="I272" s="637"/>
      <c r="J272" s="637"/>
      <c r="K272" s="641"/>
      <c r="L272" s="641"/>
      <c r="M272" s="641"/>
      <c r="N272" s="665"/>
    </row>
    <row r="273" spans="2:14">
      <c r="B273" s="637"/>
      <c r="C273" s="637"/>
      <c r="D273" s="637"/>
      <c r="E273" s="639"/>
      <c r="F273" s="639"/>
      <c r="G273" s="639"/>
      <c r="H273" s="637"/>
      <c r="I273" s="637"/>
      <c r="J273" s="637"/>
      <c r="K273" s="641"/>
      <c r="L273" s="641"/>
      <c r="M273" s="641"/>
      <c r="N273" s="665"/>
    </row>
    <row r="274" spans="2:14">
      <c r="B274" s="637"/>
      <c r="C274" s="637"/>
      <c r="D274" s="637"/>
      <c r="E274" s="639"/>
      <c r="F274" s="639"/>
      <c r="G274" s="639"/>
      <c r="H274" s="637"/>
      <c r="I274" s="637"/>
      <c r="J274" s="637"/>
      <c r="K274" s="641"/>
      <c r="L274" s="641"/>
      <c r="M274" s="641"/>
      <c r="N274" s="665"/>
    </row>
    <row r="275" spans="2:14">
      <c r="B275" s="637"/>
      <c r="C275" s="637"/>
      <c r="D275" s="637"/>
      <c r="E275" s="639"/>
      <c r="F275" s="639"/>
      <c r="G275" s="639"/>
      <c r="H275" s="637"/>
      <c r="I275" s="637"/>
      <c r="J275" s="637"/>
      <c r="K275" s="641"/>
      <c r="L275" s="641"/>
      <c r="M275" s="641"/>
      <c r="N275" s="665"/>
    </row>
    <row r="276" spans="2:14">
      <c r="B276" s="637"/>
      <c r="C276" s="637"/>
      <c r="D276" s="637"/>
      <c r="E276" s="639"/>
      <c r="F276" s="639"/>
      <c r="G276" s="639"/>
      <c r="H276" s="637"/>
      <c r="I276" s="637"/>
      <c r="J276" s="637"/>
      <c r="K276" s="641"/>
      <c r="L276" s="641"/>
      <c r="M276" s="641"/>
      <c r="N276" s="665"/>
    </row>
    <row r="277" spans="2:14">
      <c r="B277" s="637"/>
      <c r="C277" s="637"/>
      <c r="D277" s="637"/>
      <c r="E277" s="639"/>
      <c r="F277" s="639"/>
      <c r="G277" s="639"/>
      <c r="H277" s="637"/>
      <c r="I277" s="637"/>
      <c r="J277" s="637"/>
      <c r="K277" s="641"/>
      <c r="L277" s="641"/>
      <c r="M277" s="641"/>
      <c r="N277" s="665"/>
    </row>
    <row r="278" spans="2:14">
      <c r="B278" s="637"/>
      <c r="C278" s="637"/>
      <c r="D278" s="637"/>
      <c r="E278" s="639"/>
      <c r="F278" s="639"/>
      <c r="G278" s="639"/>
      <c r="H278" s="637"/>
      <c r="I278" s="637"/>
      <c r="J278" s="637"/>
      <c r="K278" s="641"/>
      <c r="L278" s="641"/>
      <c r="M278" s="641"/>
      <c r="N278" s="665"/>
    </row>
    <row r="279" spans="2:14">
      <c r="B279" s="637"/>
      <c r="C279" s="637"/>
      <c r="D279" s="637"/>
      <c r="E279" s="639"/>
      <c r="F279" s="639"/>
      <c r="G279" s="639"/>
      <c r="H279" s="637"/>
      <c r="I279" s="637"/>
      <c r="J279" s="637"/>
      <c r="K279" s="641"/>
      <c r="L279" s="641"/>
      <c r="M279" s="641"/>
      <c r="N279" s="665"/>
    </row>
    <row r="280" spans="2:14">
      <c r="B280" s="637"/>
      <c r="C280" s="637"/>
      <c r="D280" s="637"/>
      <c r="E280" s="639"/>
      <c r="F280" s="639"/>
      <c r="G280" s="639"/>
      <c r="H280" s="637"/>
      <c r="I280" s="637"/>
      <c r="J280" s="637"/>
      <c r="K280" s="641"/>
      <c r="L280" s="641"/>
      <c r="M280" s="641"/>
      <c r="N280" s="665"/>
    </row>
    <row r="281" spans="2:14">
      <c r="B281" s="637"/>
      <c r="C281" s="637"/>
      <c r="D281" s="637"/>
      <c r="E281" s="639"/>
      <c r="F281" s="639"/>
      <c r="G281" s="639"/>
      <c r="H281" s="637"/>
      <c r="I281" s="637"/>
      <c r="J281" s="637"/>
      <c r="K281" s="641"/>
      <c r="L281" s="641"/>
      <c r="M281" s="641"/>
      <c r="N281" s="665"/>
    </row>
    <row r="282" spans="2:14">
      <c r="B282" s="637"/>
      <c r="C282" s="637"/>
      <c r="D282" s="637"/>
      <c r="E282" s="639"/>
      <c r="F282" s="639"/>
      <c r="G282" s="639"/>
      <c r="H282" s="637"/>
      <c r="I282" s="637"/>
      <c r="J282" s="637"/>
      <c r="K282" s="641"/>
      <c r="L282" s="641"/>
      <c r="M282" s="641"/>
      <c r="N282" s="665"/>
    </row>
    <row r="283" spans="2:14">
      <c r="B283" s="637"/>
      <c r="C283" s="637"/>
      <c r="D283" s="637"/>
      <c r="E283" s="639"/>
      <c r="F283" s="639"/>
      <c r="G283" s="639"/>
      <c r="H283" s="637"/>
      <c r="I283" s="637"/>
      <c r="J283" s="637"/>
      <c r="K283" s="641"/>
      <c r="L283" s="641"/>
      <c r="M283" s="641"/>
      <c r="N283" s="665"/>
    </row>
    <row r="284" spans="2:14">
      <c r="B284" s="637"/>
      <c r="C284" s="637"/>
      <c r="D284" s="637"/>
      <c r="E284" s="639"/>
      <c r="F284" s="639"/>
      <c r="G284" s="639"/>
      <c r="H284" s="637"/>
      <c r="I284" s="637"/>
      <c r="J284" s="637"/>
      <c r="K284" s="641"/>
      <c r="L284" s="641"/>
      <c r="M284" s="641"/>
      <c r="N284" s="665"/>
    </row>
    <row r="285" spans="2:14">
      <c r="B285" s="637"/>
      <c r="C285" s="637"/>
      <c r="D285" s="637"/>
      <c r="E285" s="639"/>
      <c r="F285" s="639"/>
      <c r="G285" s="639"/>
      <c r="H285" s="637"/>
      <c r="I285" s="637"/>
      <c r="J285" s="637"/>
      <c r="K285" s="641"/>
      <c r="L285" s="641"/>
      <c r="M285" s="641"/>
      <c r="N285" s="665"/>
    </row>
    <row r="286" spans="2:14">
      <c r="B286" s="637"/>
      <c r="C286" s="637"/>
      <c r="D286" s="637"/>
      <c r="E286" s="639"/>
      <c r="F286" s="639"/>
      <c r="G286" s="639"/>
      <c r="H286" s="637"/>
      <c r="I286" s="637"/>
      <c r="J286" s="637"/>
      <c r="K286" s="641"/>
      <c r="L286" s="641"/>
      <c r="M286" s="641"/>
      <c r="N286" s="665"/>
    </row>
    <row r="287" spans="2:14">
      <c r="B287" s="637"/>
      <c r="C287" s="637"/>
      <c r="D287" s="637"/>
      <c r="E287" s="639"/>
      <c r="F287" s="639"/>
      <c r="G287" s="639"/>
      <c r="H287" s="637"/>
      <c r="I287" s="637"/>
      <c r="J287" s="637"/>
      <c r="K287" s="641"/>
      <c r="L287" s="641"/>
      <c r="M287" s="641"/>
      <c r="N287" s="665"/>
    </row>
    <row r="288" spans="2:14">
      <c r="B288" s="637"/>
      <c r="C288" s="637"/>
      <c r="D288" s="637"/>
      <c r="E288" s="639"/>
      <c r="F288" s="639"/>
      <c r="G288" s="639"/>
      <c r="H288" s="637"/>
      <c r="I288" s="637"/>
      <c r="J288" s="637"/>
      <c r="K288" s="641"/>
      <c r="L288" s="641"/>
      <c r="M288" s="641"/>
      <c r="N288" s="665"/>
    </row>
    <row r="289" spans="2:24">
      <c r="B289" s="637"/>
      <c r="C289" s="637"/>
      <c r="D289" s="637"/>
      <c r="E289" s="639"/>
      <c r="F289" s="639"/>
      <c r="G289" s="639"/>
      <c r="H289" s="637"/>
      <c r="I289" s="637"/>
      <c r="J289" s="637"/>
      <c r="K289" s="641"/>
      <c r="L289" s="641"/>
      <c r="M289" s="641"/>
      <c r="N289" s="665"/>
    </row>
    <row r="290" spans="2:24">
      <c r="B290" s="637"/>
      <c r="C290" s="637"/>
      <c r="D290" s="637"/>
      <c r="E290" s="639"/>
      <c r="F290" s="639"/>
      <c r="G290" s="639"/>
      <c r="H290" s="637"/>
      <c r="I290" s="637"/>
      <c r="J290" s="637"/>
      <c r="K290" s="641"/>
      <c r="L290" s="641"/>
      <c r="M290" s="641"/>
      <c r="N290" s="665"/>
    </row>
    <row r="291" spans="2:24">
      <c r="B291" s="637"/>
      <c r="C291" s="637"/>
      <c r="D291" s="637"/>
      <c r="E291" s="639"/>
      <c r="F291" s="639"/>
      <c r="G291" s="639"/>
      <c r="H291" s="637"/>
      <c r="I291" s="637"/>
      <c r="J291" s="637"/>
      <c r="K291" s="641"/>
      <c r="L291" s="641"/>
      <c r="M291" s="641"/>
      <c r="N291" s="665"/>
    </row>
    <row r="292" spans="2:24">
      <c r="B292" s="637"/>
      <c r="C292" s="637"/>
      <c r="D292" s="637"/>
      <c r="E292" s="639"/>
      <c r="F292" s="639"/>
      <c r="G292" s="639"/>
      <c r="H292" s="637"/>
      <c r="I292" s="637"/>
      <c r="J292" s="637"/>
      <c r="K292" s="641"/>
      <c r="L292" s="641"/>
      <c r="M292" s="641"/>
      <c r="N292" s="665"/>
    </row>
    <row r="293" spans="2:24">
      <c r="B293" s="637"/>
      <c r="C293" s="637"/>
      <c r="D293" s="637"/>
      <c r="E293" s="639"/>
      <c r="F293" s="639"/>
      <c r="G293" s="639"/>
      <c r="H293" s="637"/>
      <c r="I293" s="637"/>
      <c r="J293" s="637"/>
      <c r="K293" s="641"/>
      <c r="L293" s="641"/>
      <c r="M293" s="641"/>
      <c r="N293" s="665"/>
    </row>
    <row r="294" spans="2:24">
      <c r="B294" s="637"/>
      <c r="C294" s="637"/>
      <c r="D294" s="637"/>
      <c r="E294" s="639"/>
      <c r="F294" s="639"/>
      <c r="G294" s="639"/>
      <c r="H294" s="637"/>
      <c r="I294" s="637"/>
      <c r="J294" s="637"/>
      <c r="K294" s="641"/>
      <c r="L294" s="641"/>
      <c r="M294" s="641"/>
      <c r="N294" s="665"/>
    </row>
    <row r="295" spans="2:24">
      <c r="B295" s="637"/>
      <c r="C295" s="637"/>
      <c r="D295" s="637"/>
      <c r="E295" s="639"/>
      <c r="F295" s="639"/>
      <c r="G295" s="639"/>
      <c r="H295" s="637"/>
      <c r="I295" s="637"/>
      <c r="J295" s="637"/>
      <c r="K295" s="641"/>
      <c r="L295" s="641"/>
      <c r="M295" s="641"/>
      <c r="N295" s="665"/>
    </row>
    <row r="296" spans="2:24">
      <c r="B296" s="637"/>
      <c r="C296" s="637"/>
      <c r="D296" s="637"/>
      <c r="E296" s="639"/>
      <c r="F296" s="639"/>
      <c r="G296" s="639"/>
      <c r="H296" s="637"/>
      <c r="I296" s="637"/>
      <c r="J296" s="637"/>
      <c r="K296" s="641"/>
      <c r="L296" s="641"/>
      <c r="M296" s="641"/>
      <c r="N296" s="665"/>
    </row>
    <row r="297" spans="2:24">
      <c r="B297" s="637"/>
      <c r="C297" s="637"/>
      <c r="D297" s="637"/>
      <c r="E297" s="639"/>
      <c r="F297" s="639"/>
      <c r="G297" s="639"/>
      <c r="H297" s="637"/>
      <c r="I297" s="637"/>
      <c r="J297" s="637"/>
      <c r="K297" s="641"/>
      <c r="L297" s="641"/>
      <c r="M297" s="641"/>
      <c r="N297" s="665"/>
    </row>
    <row r="298" spans="2:24">
      <c r="B298" s="637"/>
      <c r="C298" s="637"/>
      <c r="D298" s="637"/>
      <c r="E298" s="639"/>
      <c r="F298" s="639"/>
      <c r="G298" s="639"/>
      <c r="H298" s="637"/>
      <c r="I298" s="637"/>
      <c r="J298" s="637"/>
      <c r="K298" s="641"/>
      <c r="L298" s="641"/>
      <c r="M298" s="641"/>
      <c r="N298" s="665"/>
    </row>
    <row r="299" spans="2:24">
      <c r="B299" s="637"/>
      <c r="C299" s="637"/>
      <c r="D299" s="637"/>
      <c r="E299" s="639"/>
      <c r="F299" s="639"/>
      <c r="G299" s="639"/>
      <c r="H299" s="637"/>
      <c r="I299" s="637"/>
      <c r="J299" s="637"/>
      <c r="K299" s="641"/>
      <c r="L299" s="641"/>
      <c r="M299" s="641"/>
      <c r="N299" s="665"/>
    </row>
    <row r="300" spans="2:24">
      <c r="B300" s="637"/>
      <c r="C300" s="637"/>
      <c r="D300" s="637"/>
      <c r="E300" s="639"/>
      <c r="F300" s="639"/>
      <c r="G300" s="639"/>
      <c r="H300" s="637"/>
      <c r="I300" s="637"/>
      <c r="J300" s="637"/>
      <c r="K300" s="641"/>
      <c r="L300" s="641"/>
      <c r="M300" s="641"/>
      <c r="N300" s="665"/>
    </row>
    <row r="301" spans="2:24">
      <c r="B301" s="637"/>
      <c r="C301" s="637"/>
      <c r="D301" s="637"/>
      <c r="E301" s="639"/>
      <c r="F301" s="639"/>
      <c r="G301" s="639"/>
      <c r="H301" s="637"/>
      <c r="I301" s="637"/>
      <c r="J301" s="637"/>
      <c r="K301" s="641"/>
      <c r="L301" s="641"/>
      <c r="M301" s="641"/>
      <c r="N301" s="665"/>
    </row>
    <row r="302" spans="2:24">
      <c r="B302" s="637"/>
      <c r="C302" s="637"/>
      <c r="D302" s="637"/>
      <c r="E302" s="639"/>
      <c r="F302" s="639"/>
      <c r="G302" s="639"/>
      <c r="H302" s="637"/>
      <c r="I302" s="637"/>
      <c r="J302" s="637"/>
      <c r="K302" s="641"/>
      <c r="L302" s="641"/>
      <c r="M302" s="641"/>
      <c r="N302" s="665"/>
      <c r="O302" s="382"/>
      <c r="P302" s="382"/>
      <c r="Q302" s="382"/>
      <c r="R302" s="382"/>
      <c r="S302" s="382"/>
      <c r="T302" s="382"/>
      <c r="U302" s="382"/>
      <c r="V302" s="382"/>
      <c r="W302" s="382"/>
      <c r="X302" s="382"/>
    </row>
    <row r="303" spans="2:24">
      <c r="B303" s="637"/>
      <c r="C303" s="637"/>
      <c r="D303" s="637"/>
      <c r="E303" s="639"/>
      <c r="F303" s="639"/>
      <c r="G303" s="639"/>
      <c r="H303" s="637"/>
      <c r="I303" s="637"/>
      <c r="J303" s="637"/>
      <c r="K303" s="641"/>
      <c r="L303" s="641"/>
      <c r="M303" s="641"/>
      <c r="N303" s="665"/>
      <c r="O303" s="382"/>
      <c r="P303" s="382"/>
      <c r="Q303" s="382"/>
      <c r="R303" s="382"/>
      <c r="S303" s="382"/>
      <c r="T303" s="382"/>
      <c r="U303" s="382"/>
      <c r="V303" s="382"/>
      <c r="W303" s="382"/>
      <c r="X303" s="382"/>
    </row>
    <row r="304" spans="2:24">
      <c r="B304" s="637"/>
      <c r="C304" s="637"/>
      <c r="D304" s="637"/>
      <c r="E304" s="639"/>
      <c r="F304" s="639"/>
      <c r="G304" s="639"/>
      <c r="H304" s="637"/>
      <c r="I304" s="637"/>
      <c r="J304" s="637"/>
      <c r="K304" s="641"/>
      <c r="L304" s="641"/>
      <c r="M304" s="641"/>
      <c r="N304" s="665"/>
      <c r="O304" s="382"/>
      <c r="P304" s="382"/>
      <c r="Q304" s="382"/>
      <c r="R304" s="382"/>
      <c r="S304" s="382"/>
      <c r="T304" s="382"/>
      <c r="U304" s="382"/>
      <c r="V304" s="382"/>
      <c r="W304" s="382"/>
      <c r="X304" s="382"/>
    </row>
    <row r="305" spans="2:24">
      <c r="B305" s="637"/>
      <c r="C305" s="637"/>
      <c r="D305" s="637"/>
      <c r="E305" s="639"/>
      <c r="F305" s="639"/>
      <c r="G305" s="639"/>
      <c r="H305" s="637"/>
      <c r="I305" s="637"/>
      <c r="J305" s="637"/>
      <c r="K305" s="641"/>
      <c r="L305" s="641"/>
      <c r="M305" s="641"/>
      <c r="N305" s="665"/>
      <c r="O305" s="382"/>
      <c r="P305" s="382"/>
      <c r="Q305" s="382"/>
      <c r="R305" s="382"/>
      <c r="S305" s="382"/>
      <c r="T305" s="382"/>
      <c r="U305" s="382"/>
      <c r="V305" s="382"/>
      <c r="W305" s="382"/>
      <c r="X305" s="382"/>
    </row>
    <row r="306" spans="2:24">
      <c r="B306" s="637"/>
      <c r="C306" s="637"/>
      <c r="D306" s="637"/>
      <c r="E306" s="639"/>
      <c r="F306" s="639"/>
      <c r="G306" s="639"/>
      <c r="H306" s="637"/>
      <c r="I306" s="637"/>
      <c r="J306" s="637"/>
      <c r="K306" s="641"/>
      <c r="L306" s="641"/>
      <c r="M306" s="641"/>
      <c r="N306" s="665"/>
      <c r="O306" s="382"/>
      <c r="P306" s="382"/>
      <c r="Q306" s="382"/>
      <c r="R306" s="382"/>
      <c r="S306" s="382"/>
      <c r="T306" s="382"/>
      <c r="U306" s="382"/>
      <c r="V306" s="382"/>
      <c r="W306" s="382"/>
      <c r="X306" s="382"/>
    </row>
    <row r="307" spans="2:24">
      <c r="B307" s="637"/>
      <c r="C307" s="637"/>
      <c r="D307" s="637"/>
      <c r="E307" s="639"/>
      <c r="F307" s="639"/>
      <c r="G307" s="639"/>
      <c r="H307" s="637"/>
      <c r="I307" s="637"/>
      <c r="J307" s="637"/>
      <c r="K307" s="641"/>
      <c r="L307" s="641"/>
      <c r="M307" s="641"/>
      <c r="N307" s="665"/>
      <c r="O307" s="382"/>
      <c r="P307" s="382"/>
      <c r="Q307" s="382"/>
      <c r="R307" s="382"/>
      <c r="S307" s="382"/>
      <c r="T307" s="382"/>
      <c r="U307" s="382"/>
      <c r="V307" s="382"/>
      <c r="W307" s="382"/>
      <c r="X307" s="382"/>
    </row>
    <row r="308" spans="2:24">
      <c r="B308" s="637"/>
      <c r="C308" s="637"/>
      <c r="D308" s="637"/>
      <c r="E308" s="639"/>
      <c r="F308" s="639"/>
      <c r="G308" s="639"/>
      <c r="H308" s="637"/>
      <c r="I308" s="637"/>
      <c r="J308" s="637"/>
      <c r="K308" s="641"/>
      <c r="L308" s="641"/>
      <c r="M308" s="641"/>
      <c r="N308" s="665"/>
      <c r="O308" s="382"/>
      <c r="P308" s="382"/>
      <c r="Q308" s="382"/>
      <c r="R308" s="382"/>
      <c r="S308" s="382"/>
      <c r="T308" s="382"/>
      <c r="U308" s="382"/>
      <c r="V308" s="382"/>
      <c r="W308" s="382"/>
      <c r="X308" s="382"/>
    </row>
    <row r="309" spans="2:24">
      <c r="B309" s="637"/>
      <c r="C309" s="637"/>
      <c r="D309" s="637"/>
      <c r="E309" s="639"/>
      <c r="F309" s="639"/>
      <c r="G309" s="639"/>
      <c r="H309" s="637"/>
      <c r="I309" s="637"/>
      <c r="J309" s="637"/>
      <c r="K309" s="641"/>
      <c r="L309" s="641"/>
      <c r="M309" s="641"/>
      <c r="N309" s="665"/>
      <c r="O309" s="382"/>
      <c r="P309" s="382"/>
      <c r="Q309" s="382"/>
      <c r="R309" s="382"/>
      <c r="S309" s="382"/>
      <c r="T309" s="382"/>
      <c r="U309" s="382"/>
      <c r="V309" s="382"/>
      <c r="W309" s="382"/>
      <c r="X309" s="382"/>
    </row>
    <row r="310" spans="2:24">
      <c r="B310" s="637"/>
      <c r="C310" s="637"/>
      <c r="D310" s="637"/>
      <c r="E310" s="639"/>
      <c r="F310" s="639"/>
      <c r="G310" s="639"/>
      <c r="H310" s="637"/>
      <c r="I310" s="637"/>
      <c r="J310" s="637"/>
      <c r="K310" s="641"/>
      <c r="L310" s="641"/>
      <c r="M310" s="641"/>
      <c r="N310" s="665"/>
      <c r="O310" s="382"/>
      <c r="P310" s="382"/>
      <c r="Q310" s="382"/>
      <c r="R310" s="382"/>
      <c r="S310" s="382"/>
      <c r="T310" s="382"/>
      <c r="U310" s="382"/>
      <c r="V310" s="382"/>
      <c r="W310" s="382"/>
      <c r="X310" s="382"/>
    </row>
    <row r="311" spans="2:24">
      <c r="B311" s="637"/>
      <c r="C311" s="637"/>
      <c r="D311" s="637"/>
      <c r="E311" s="639"/>
      <c r="F311" s="639"/>
      <c r="G311" s="639"/>
      <c r="H311" s="637"/>
      <c r="I311" s="637"/>
      <c r="J311" s="637"/>
      <c r="K311" s="641"/>
      <c r="L311" s="641"/>
      <c r="M311" s="641"/>
      <c r="N311" s="665"/>
      <c r="O311" s="382"/>
      <c r="P311" s="382"/>
      <c r="Q311" s="382"/>
      <c r="R311" s="382"/>
      <c r="S311" s="382"/>
      <c r="T311" s="382"/>
      <c r="U311" s="382"/>
      <c r="V311" s="382"/>
      <c r="W311" s="382"/>
      <c r="X311" s="382"/>
    </row>
    <row r="312" spans="2:24">
      <c r="B312" s="637"/>
      <c r="C312" s="637"/>
      <c r="D312" s="637"/>
      <c r="E312" s="639"/>
      <c r="F312" s="639"/>
      <c r="G312" s="639"/>
      <c r="H312" s="637"/>
      <c r="I312" s="637"/>
      <c r="J312" s="637"/>
      <c r="K312" s="641"/>
      <c r="L312" s="641"/>
      <c r="M312" s="641"/>
      <c r="N312" s="665"/>
      <c r="O312" s="382"/>
      <c r="P312" s="382"/>
      <c r="Q312" s="382"/>
      <c r="R312" s="382"/>
      <c r="S312" s="382"/>
      <c r="T312" s="382"/>
      <c r="U312" s="382"/>
      <c r="V312" s="382"/>
      <c r="W312" s="382"/>
      <c r="X312" s="382"/>
    </row>
    <row r="313" spans="2:24">
      <c r="B313" s="637"/>
      <c r="C313" s="637"/>
      <c r="D313" s="637"/>
      <c r="E313" s="639"/>
      <c r="F313" s="639"/>
      <c r="G313" s="639"/>
      <c r="H313" s="637"/>
      <c r="I313" s="637"/>
      <c r="J313" s="637"/>
      <c r="K313" s="641"/>
      <c r="L313" s="641"/>
      <c r="M313" s="641"/>
      <c r="N313" s="665"/>
      <c r="O313" s="382"/>
      <c r="P313" s="382"/>
      <c r="Q313" s="382"/>
      <c r="R313" s="382"/>
      <c r="S313" s="382"/>
      <c r="T313" s="382"/>
      <c r="U313" s="382"/>
      <c r="V313" s="382"/>
      <c r="W313" s="382"/>
      <c r="X313" s="382"/>
    </row>
    <row r="314" spans="2:24">
      <c r="B314" s="637"/>
      <c r="C314" s="637"/>
      <c r="D314" s="637"/>
      <c r="E314" s="639"/>
      <c r="F314" s="639"/>
      <c r="G314" s="639"/>
      <c r="H314" s="637"/>
      <c r="I314" s="637"/>
      <c r="J314" s="637"/>
      <c r="K314" s="641"/>
      <c r="L314" s="641"/>
      <c r="M314" s="641"/>
      <c r="N314" s="665"/>
      <c r="O314" s="382"/>
      <c r="P314" s="382"/>
      <c r="Q314" s="382"/>
      <c r="R314" s="382"/>
      <c r="S314" s="382"/>
      <c r="T314" s="382"/>
      <c r="U314" s="382"/>
      <c r="V314" s="382"/>
      <c r="W314" s="382"/>
      <c r="X314" s="382"/>
    </row>
    <row r="315" spans="2:24">
      <c r="B315" s="637"/>
      <c r="C315" s="637"/>
      <c r="D315" s="637"/>
      <c r="E315" s="639"/>
      <c r="F315" s="639"/>
      <c r="G315" s="639"/>
      <c r="H315" s="637"/>
      <c r="I315" s="637"/>
      <c r="J315" s="637"/>
      <c r="K315" s="641"/>
      <c r="L315" s="641"/>
      <c r="M315" s="641"/>
      <c r="N315" s="665"/>
      <c r="O315" s="382"/>
      <c r="P315" s="382"/>
      <c r="Q315" s="382"/>
      <c r="R315" s="382"/>
      <c r="S315" s="382"/>
      <c r="T315" s="382"/>
      <c r="U315" s="382"/>
      <c r="V315" s="382"/>
      <c r="W315" s="382"/>
      <c r="X315" s="382"/>
    </row>
    <row r="316" spans="2:24">
      <c r="B316" s="637"/>
      <c r="C316" s="637"/>
      <c r="D316" s="637"/>
      <c r="E316" s="639"/>
      <c r="F316" s="639"/>
      <c r="G316" s="639"/>
      <c r="H316" s="637"/>
      <c r="I316" s="637"/>
      <c r="J316" s="637"/>
      <c r="K316" s="641"/>
      <c r="L316" s="641"/>
      <c r="M316" s="641"/>
      <c r="N316" s="665"/>
      <c r="O316" s="382"/>
      <c r="P316" s="382"/>
      <c r="Q316" s="382"/>
      <c r="R316" s="382"/>
      <c r="S316" s="382"/>
      <c r="T316" s="382"/>
      <c r="U316" s="382"/>
      <c r="V316" s="382"/>
      <c r="W316" s="382"/>
      <c r="X316" s="382"/>
    </row>
    <row r="317" spans="2:24">
      <c r="B317" s="637"/>
      <c r="C317" s="637"/>
      <c r="D317" s="637"/>
      <c r="E317" s="639"/>
      <c r="F317" s="639"/>
      <c r="G317" s="639"/>
      <c r="H317" s="637"/>
      <c r="I317" s="637"/>
      <c r="J317" s="637"/>
      <c r="K317" s="641"/>
      <c r="L317" s="641"/>
      <c r="M317" s="641"/>
      <c r="N317" s="665"/>
      <c r="O317" s="382"/>
      <c r="P317" s="382"/>
      <c r="Q317" s="382"/>
      <c r="R317" s="382"/>
      <c r="S317" s="382"/>
      <c r="T317" s="382"/>
      <c r="U317" s="382"/>
      <c r="V317" s="382"/>
      <c r="W317" s="382"/>
      <c r="X317" s="382"/>
    </row>
    <row r="318" spans="2:24">
      <c r="B318" s="637"/>
      <c r="C318" s="637"/>
      <c r="D318" s="637"/>
      <c r="E318" s="639"/>
      <c r="F318" s="639"/>
      <c r="G318" s="639"/>
      <c r="H318" s="637"/>
      <c r="I318" s="637"/>
      <c r="J318" s="637"/>
      <c r="K318" s="641"/>
      <c r="L318" s="641"/>
      <c r="M318" s="641"/>
      <c r="N318" s="665"/>
      <c r="O318" s="382"/>
      <c r="P318" s="382"/>
      <c r="Q318" s="382"/>
      <c r="R318" s="382"/>
      <c r="S318" s="382"/>
      <c r="T318" s="382"/>
      <c r="U318" s="382"/>
      <c r="V318" s="382"/>
      <c r="W318" s="382"/>
      <c r="X318" s="382"/>
    </row>
    <row r="319" spans="2:24">
      <c r="B319" s="637"/>
      <c r="C319" s="637"/>
      <c r="D319" s="637"/>
      <c r="E319" s="639"/>
      <c r="F319" s="639"/>
      <c r="G319" s="639"/>
      <c r="H319" s="637"/>
      <c r="I319" s="637"/>
      <c r="J319" s="637"/>
      <c r="K319" s="641"/>
      <c r="L319" s="641"/>
      <c r="M319" s="641"/>
      <c r="N319" s="665"/>
      <c r="O319" s="382"/>
      <c r="P319" s="382"/>
      <c r="Q319" s="382"/>
      <c r="R319" s="382"/>
      <c r="S319" s="382"/>
      <c r="T319" s="382"/>
      <c r="U319" s="382"/>
      <c r="V319" s="382"/>
      <c r="W319" s="382"/>
      <c r="X319" s="382"/>
    </row>
    <row r="320" spans="2:24">
      <c r="B320" s="637"/>
      <c r="C320" s="637"/>
      <c r="D320" s="637"/>
      <c r="E320" s="639"/>
      <c r="F320" s="639"/>
      <c r="G320" s="639"/>
      <c r="H320" s="637"/>
      <c r="I320" s="637"/>
      <c r="J320" s="637"/>
      <c r="K320" s="641"/>
      <c r="L320" s="641"/>
      <c r="M320" s="641"/>
      <c r="N320" s="665"/>
      <c r="O320" s="382"/>
      <c r="P320" s="382"/>
      <c r="Q320" s="382"/>
      <c r="R320" s="382"/>
      <c r="S320" s="382"/>
      <c r="T320" s="382"/>
      <c r="U320" s="382"/>
      <c r="V320" s="382"/>
      <c r="W320" s="382"/>
      <c r="X320" s="382"/>
    </row>
    <row r="321" spans="2:24">
      <c r="B321" s="637"/>
      <c r="C321" s="637"/>
      <c r="D321" s="637"/>
      <c r="E321" s="639"/>
      <c r="F321" s="639"/>
      <c r="G321" s="639"/>
      <c r="H321" s="637"/>
      <c r="I321" s="637"/>
      <c r="J321" s="637"/>
      <c r="K321" s="641"/>
      <c r="L321" s="641"/>
      <c r="M321" s="641"/>
      <c r="N321" s="665"/>
      <c r="O321" s="382"/>
      <c r="P321" s="382"/>
      <c r="Q321" s="382"/>
      <c r="R321" s="382"/>
      <c r="S321" s="382"/>
      <c r="T321" s="382"/>
      <c r="U321" s="382"/>
      <c r="V321" s="382"/>
      <c r="W321" s="382"/>
      <c r="X321" s="382"/>
    </row>
    <row r="322" spans="2:24">
      <c r="B322" s="637"/>
      <c r="C322" s="637"/>
      <c r="D322" s="637"/>
      <c r="E322" s="639"/>
      <c r="F322" s="639"/>
      <c r="G322" s="639"/>
      <c r="H322" s="637"/>
      <c r="I322" s="637"/>
      <c r="J322" s="637"/>
      <c r="K322" s="641"/>
      <c r="L322" s="641"/>
      <c r="M322" s="641"/>
      <c r="N322" s="665"/>
      <c r="O322" s="382"/>
      <c r="P322" s="382"/>
      <c r="Q322" s="382"/>
      <c r="R322" s="382"/>
      <c r="S322" s="382"/>
      <c r="T322" s="382"/>
      <c r="U322" s="382"/>
      <c r="V322" s="382"/>
      <c r="W322" s="382"/>
      <c r="X322" s="382"/>
    </row>
    <row r="323" spans="2:24">
      <c r="B323" s="637"/>
      <c r="C323" s="637"/>
      <c r="D323" s="637"/>
      <c r="E323" s="639"/>
      <c r="F323" s="639"/>
      <c r="G323" s="639"/>
      <c r="H323" s="637"/>
      <c r="I323" s="637"/>
      <c r="J323" s="637"/>
      <c r="K323" s="641"/>
      <c r="L323" s="641"/>
      <c r="M323" s="641"/>
      <c r="N323" s="665"/>
      <c r="O323" s="382"/>
      <c r="P323" s="382"/>
      <c r="Q323" s="382"/>
      <c r="R323" s="382"/>
      <c r="S323" s="382"/>
      <c r="T323" s="382"/>
      <c r="U323" s="382"/>
      <c r="V323" s="382"/>
      <c r="W323" s="382"/>
      <c r="X323" s="382"/>
    </row>
    <row r="324" spans="2:24">
      <c r="B324" s="637"/>
      <c r="C324" s="637"/>
      <c r="D324" s="637"/>
      <c r="E324" s="639"/>
      <c r="F324" s="639"/>
      <c r="G324" s="639"/>
      <c r="H324" s="637"/>
      <c r="I324" s="637"/>
      <c r="J324" s="637"/>
      <c r="K324" s="641"/>
      <c r="L324" s="641"/>
      <c r="M324" s="641"/>
      <c r="N324" s="665"/>
      <c r="O324" s="382"/>
      <c r="P324" s="382"/>
      <c r="Q324" s="382"/>
      <c r="R324" s="382"/>
      <c r="S324" s="382"/>
      <c r="T324" s="382"/>
      <c r="U324" s="382"/>
      <c r="V324" s="382"/>
      <c r="W324" s="382"/>
      <c r="X324" s="382"/>
    </row>
    <row r="325" spans="2:24">
      <c r="B325" s="637"/>
      <c r="C325" s="637"/>
      <c r="D325" s="637"/>
      <c r="E325" s="639"/>
      <c r="F325" s="639"/>
      <c r="G325" s="639"/>
      <c r="H325" s="637"/>
      <c r="I325" s="637"/>
      <c r="J325" s="637"/>
      <c r="K325" s="641"/>
      <c r="L325" s="641"/>
      <c r="M325" s="641"/>
      <c r="N325" s="665"/>
      <c r="O325" s="382"/>
      <c r="P325" s="382"/>
      <c r="Q325" s="382"/>
      <c r="R325" s="382"/>
      <c r="S325" s="382"/>
      <c r="T325" s="382"/>
      <c r="U325" s="382"/>
      <c r="V325" s="382"/>
      <c r="W325" s="382"/>
      <c r="X325" s="382"/>
    </row>
    <row r="326" spans="2:24">
      <c r="B326" s="637"/>
      <c r="C326" s="637"/>
      <c r="D326" s="637"/>
      <c r="E326" s="639"/>
      <c r="F326" s="639"/>
      <c r="G326" s="639"/>
      <c r="H326" s="637"/>
      <c r="I326" s="637"/>
      <c r="J326" s="637"/>
      <c r="K326" s="641"/>
      <c r="L326" s="641"/>
      <c r="M326" s="641"/>
      <c r="N326" s="665"/>
      <c r="O326" s="382"/>
      <c r="P326" s="382"/>
      <c r="Q326" s="382"/>
      <c r="R326" s="382"/>
      <c r="S326" s="382"/>
      <c r="T326" s="382"/>
      <c r="U326" s="382"/>
      <c r="V326" s="382"/>
      <c r="W326" s="382"/>
      <c r="X326" s="382"/>
    </row>
    <row r="327" spans="2:24">
      <c r="B327" s="637"/>
      <c r="C327" s="637"/>
      <c r="D327" s="637"/>
      <c r="E327" s="639"/>
      <c r="F327" s="639"/>
      <c r="G327" s="639"/>
      <c r="H327" s="637"/>
      <c r="I327" s="637"/>
      <c r="J327" s="637"/>
      <c r="K327" s="641"/>
      <c r="L327" s="641"/>
      <c r="M327" s="641"/>
      <c r="N327" s="665"/>
      <c r="O327" s="382"/>
      <c r="P327" s="382"/>
      <c r="Q327" s="382"/>
      <c r="R327" s="382"/>
      <c r="S327" s="382"/>
      <c r="T327" s="382"/>
      <c r="U327" s="382"/>
      <c r="V327" s="382"/>
      <c r="W327" s="382"/>
      <c r="X327" s="382"/>
    </row>
    <row r="328" spans="2:24">
      <c r="B328" s="637"/>
      <c r="C328" s="637"/>
      <c r="D328" s="637"/>
      <c r="E328" s="639"/>
      <c r="F328" s="639"/>
      <c r="G328" s="639"/>
      <c r="H328" s="637"/>
      <c r="I328" s="637"/>
      <c r="J328" s="637"/>
      <c r="K328" s="641"/>
      <c r="L328" s="641"/>
      <c r="M328" s="641"/>
      <c r="N328" s="665"/>
      <c r="O328" s="382"/>
      <c r="P328" s="382"/>
      <c r="Q328" s="382"/>
      <c r="R328" s="382"/>
      <c r="S328" s="382"/>
      <c r="T328" s="382"/>
      <c r="U328" s="382"/>
      <c r="V328" s="382"/>
      <c r="W328" s="382"/>
      <c r="X328" s="382"/>
    </row>
    <row r="329" spans="2:24">
      <c r="B329" s="637"/>
      <c r="C329" s="637"/>
      <c r="D329" s="637"/>
      <c r="E329" s="639"/>
      <c r="F329" s="639"/>
      <c r="G329" s="639"/>
      <c r="H329" s="637"/>
      <c r="I329" s="637"/>
      <c r="J329" s="637"/>
      <c r="K329" s="641"/>
      <c r="L329" s="641"/>
      <c r="M329" s="641"/>
      <c r="N329" s="665"/>
      <c r="O329" s="382"/>
      <c r="P329" s="382"/>
      <c r="Q329" s="382"/>
      <c r="R329" s="382"/>
      <c r="S329" s="382"/>
      <c r="T329" s="382"/>
      <c r="U329" s="382"/>
      <c r="V329" s="382"/>
      <c r="W329" s="382"/>
      <c r="X329" s="382"/>
    </row>
    <row r="330" spans="2:24">
      <c r="B330" s="637"/>
      <c r="C330" s="637"/>
      <c r="D330" s="637"/>
      <c r="E330" s="639"/>
      <c r="F330" s="639"/>
      <c r="G330" s="639"/>
      <c r="H330" s="637"/>
      <c r="I330" s="637"/>
      <c r="J330" s="637"/>
      <c r="K330" s="641"/>
      <c r="L330" s="641"/>
      <c r="M330" s="641"/>
      <c r="N330" s="665"/>
      <c r="O330" s="382"/>
      <c r="P330" s="382"/>
      <c r="Q330" s="382"/>
      <c r="R330" s="382"/>
      <c r="S330" s="382"/>
      <c r="T330" s="382"/>
      <c r="U330" s="382"/>
      <c r="V330" s="382"/>
      <c r="W330" s="382"/>
      <c r="X330" s="382"/>
    </row>
    <row r="331" spans="2:24">
      <c r="B331" s="637"/>
      <c r="C331" s="637"/>
      <c r="D331" s="637"/>
      <c r="E331" s="639"/>
      <c r="F331" s="639"/>
      <c r="G331" s="639"/>
      <c r="H331" s="637"/>
      <c r="I331" s="637"/>
      <c r="J331" s="637"/>
      <c r="K331" s="641"/>
      <c r="L331" s="641"/>
      <c r="M331" s="641"/>
      <c r="N331" s="665"/>
      <c r="O331" s="382"/>
      <c r="P331" s="382"/>
      <c r="Q331" s="382"/>
      <c r="R331" s="382"/>
      <c r="S331" s="382"/>
      <c r="T331" s="382"/>
      <c r="U331" s="382"/>
      <c r="V331" s="382"/>
      <c r="W331" s="382"/>
      <c r="X331" s="382"/>
    </row>
    <row r="332" spans="2:24">
      <c r="B332" s="637"/>
      <c r="C332" s="637"/>
      <c r="D332" s="637"/>
      <c r="E332" s="639"/>
      <c r="F332" s="639"/>
      <c r="G332" s="639"/>
      <c r="H332" s="637"/>
      <c r="I332" s="637"/>
      <c r="J332" s="637"/>
      <c r="K332" s="641"/>
      <c r="L332" s="641"/>
      <c r="M332" s="641"/>
      <c r="N332" s="665"/>
      <c r="O332" s="382"/>
      <c r="P332" s="382"/>
      <c r="Q332" s="382"/>
      <c r="R332" s="382"/>
      <c r="S332" s="382"/>
      <c r="T332" s="382"/>
      <c r="U332" s="382"/>
      <c r="V332" s="382"/>
      <c r="W332" s="382"/>
      <c r="X332" s="382"/>
    </row>
    <row r="333" spans="2:24">
      <c r="B333" s="637"/>
      <c r="C333" s="637"/>
      <c r="D333" s="637"/>
      <c r="E333" s="639"/>
      <c r="F333" s="639"/>
      <c r="G333" s="639"/>
      <c r="H333" s="637"/>
      <c r="I333" s="637"/>
      <c r="J333" s="637"/>
      <c r="K333" s="641"/>
      <c r="L333" s="641"/>
      <c r="M333" s="641"/>
      <c r="N333" s="665"/>
      <c r="O333" s="382"/>
      <c r="P333" s="382"/>
      <c r="Q333" s="382"/>
      <c r="R333" s="382"/>
      <c r="S333" s="382"/>
      <c r="T333" s="382"/>
      <c r="U333" s="382"/>
      <c r="V333" s="382"/>
      <c r="W333" s="382"/>
      <c r="X333" s="382"/>
    </row>
    <row r="334" spans="2:24">
      <c r="B334" s="637"/>
      <c r="C334" s="637"/>
      <c r="D334" s="637"/>
      <c r="E334" s="639"/>
      <c r="F334" s="639"/>
      <c r="G334" s="639"/>
      <c r="H334" s="637"/>
      <c r="I334" s="637"/>
      <c r="J334" s="637"/>
      <c r="K334" s="641"/>
      <c r="L334" s="641"/>
      <c r="M334" s="641"/>
      <c r="N334" s="665"/>
      <c r="O334" s="382"/>
      <c r="P334" s="382"/>
      <c r="Q334" s="382"/>
      <c r="R334" s="382"/>
      <c r="S334" s="382"/>
      <c r="T334" s="382"/>
      <c r="U334" s="382"/>
      <c r="V334" s="382"/>
      <c r="W334" s="382"/>
      <c r="X334" s="382"/>
    </row>
    <row r="335" spans="2:24">
      <c r="B335" s="637"/>
      <c r="C335" s="637"/>
      <c r="D335" s="637"/>
      <c r="E335" s="639"/>
      <c r="F335" s="639"/>
      <c r="G335" s="639"/>
      <c r="H335" s="637"/>
      <c r="I335" s="637"/>
      <c r="J335" s="637"/>
      <c r="K335" s="641"/>
      <c r="L335" s="641"/>
      <c r="M335" s="641"/>
      <c r="N335" s="665"/>
      <c r="O335" s="382"/>
      <c r="P335" s="382"/>
      <c r="Q335" s="382"/>
      <c r="R335" s="382"/>
      <c r="S335" s="382"/>
      <c r="T335" s="382"/>
      <c r="U335" s="382"/>
      <c r="V335" s="382"/>
      <c r="W335" s="382"/>
      <c r="X335" s="382"/>
    </row>
    <row r="336" spans="2:24">
      <c r="B336" s="637"/>
      <c r="C336" s="637"/>
      <c r="D336" s="637"/>
      <c r="E336" s="639"/>
      <c r="F336" s="639"/>
      <c r="G336" s="639"/>
      <c r="H336" s="637"/>
      <c r="I336" s="637"/>
      <c r="J336" s="637"/>
      <c r="K336" s="641"/>
      <c r="L336" s="641"/>
      <c r="M336" s="641"/>
      <c r="N336" s="665"/>
      <c r="O336" s="382"/>
      <c r="P336" s="382"/>
      <c r="Q336" s="382"/>
      <c r="R336" s="382"/>
      <c r="S336" s="382"/>
      <c r="T336" s="382"/>
      <c r="U336" s="382"/>
      <c r="V336" s="382"/>
      <c r="W336" s="382"/>
      <c r="X336" s="382"/>
    </row>
    <row r="337" spans="2:24">
      <c r="B337" s="637"/>
      <c r="C337" s="637"/>
      <c r="D337" s="637"/>
      <c r="E337" s="639"/>
      <c r="F337" s="639"/>
      <c r="G337" s="639"/>
      <c r="H337" s="637"/>
      <c r="I337" s="637"/>
      <c r="J337" s="637"/>
      <c r="K337" s="641"/>
      <c r="L337" s="641"/>
      <c r="M337" s="641"/>
      <c r="N337" s="665"/>
      <c r="O337" s="382"/>
      <c r="P337" s="382"/>
      <c r="Q337" s="382"/>
      <c r="R337" s="382"/>
      <c r="S337" s="382"/>
      <c r="T337" s="382"/>
      <c r="U337" s="382"/>
      <c r="V337" s="382"/>
      <c r="W337" s="382"/>
      <c r="X337" s="382"/>
    </row>
    <row r="338" spans="2:24">
      <c r="B338" s="637"/>
      <c r="C338" s="637"/>
      <c r="D338" s="637"/>
      <c r="E338" s="639"/>
      <c r="F338" s="639"/>
      <c r="G338" s="639"/>
      <c r="H338" s="637"/>
      <c r="I338" s="637"/>
      <c r="J338" s="637"/>
      <c r="K338" s="641"/>
      <c r="L338" s="641"/>
      <c r="M338" s="641"/>
      <c r="N338" s="665"/>
      <c r="O338" s="382"/>
      <c r="P338" s="382"/>
      <c r="Q338" s="382"/>
      <c r="R338" s="382"/>
      <c r="S338" s="382"/>
      <c r="T338" s="382"/>
      <c r="U338" s="382"/>
      <c r="V338" s="382"/>
      <c r="W338" s="382"/>
      <c r="X338" s="382"/>
    </row>
    <row r="339" spans="2:24">
      <c r="B339" s="637"/>
      <c r="C339" s="637"/>
      <c r="D339" s="637"/>
      <c r="E339" s="639"/>
      <c r="F339" s="639"/>
      <c r="G339" s="639"/>
      <c r="H339" s="637"/>
      <c r="I339" s="637"/>
      <c r="J339" s="637"/>
      <c r="K339" s="641"/>
      <c r="L339" s="641"/>
      <c r="M339" s="641"/>
      <c r="N339" s="665"/>
      <c r="O339" s="382"/>
      <c r="P339" s="382"/>
      <c r="Q339" s="382"/>
      <c r="R339" s="382"/>
      <c r="S339" s="382"/>
      <c r="T339" s="382"/>
      <c r="U339" s="382"/>
      <c r="V339" s="382"/>
      <c r="W339" s="382"/>
      <c r="X339" s="382"/>
    </row>
    <row r="340" spans="2:24">
      <c r="B340" s="637"/>
      <c r="C340" s="637"/>
      <c r="D340" s="637"/>
      <c r="E340" s="639"/>
      <c r="F340" s="639"/>
      <c r="G340" s="639"/>
      <c r="H340" s="637"/>
      <c r="I340" s="637"/>
      <c r="J340" s="637"/>
      <c r="K340" s="641"/>
      <c r="L340" s="641"/>
      <c r="M340" s="641"/>
      <c r="N340" s="665"/>
      <c r="O340" s="382"/>
      <c r="P340" s="382"/>
      <c r="Q340" s="382"/>
      <c r="R340" s="382"/>
      <c r="S340" s="382"/>
      <c r="T340" s="382"/>
      <c r="U340" s="382"/>
      <c r="V340" s="382"/>
      <c r="W340" s="382"/>
      <c r="X340" s="382"/>
    </row>
    <row r="341" spans="2:24">
      <c r="B341" s="637"/>
      <c r="C341" s="637"/>
      <c r="D341" s="637"/>
      <c r="E341" s="639"/>
      <c r="F341" s="639"/>
      <c r="G341" s="639"/>
      <c r="H341" s="637"/>
      <c r="I341" s="637"/>
      <c r="J341" s="637"/>
      <c r="K341" s="641"/>
      <c r="L341" s="641"/>
      <c r="M341" s="641"/>
      <c r="N341" s="665"/>
      <c r="O341" s="382"/>
      <c r="P341" s="382"/>
      <c r="Q341" s="382"/>
      <c r="R341" s="382"/>
      <c r="S341" s="382"/>
      <c r="T341" s="382"/>
      <c r="U341" s="382"/>
      <c r="V341" s="382"/>
      <c r="W341" s="382"/>
      <c r="X341" s="382"/>
    </row>
    <row r="342" spans="2:24">
      <c r="B342" s="637"/>
      <c r="C342" s="637"/>
      <c r="D342" s="637"/>
      <c r="E342" s="639"/>
      <c r="F342" s="639"/>
      <c r="G342" s="639"/>
      <c r="H342" s="637"/>
      <c r="I342" s="637"/>
      <c r="J342" s="637"/>
      <c r="K342" s="641"/>
      <c r="L342" s="641"/>
      <c r="M342" s="641"/>
      <c r="N342" s="665"/>
      <c r="O342" s="382"/>
      <c r="P342" s="382"/>
      <c r="Q342" s="382"/>
      <c r="R342" s="382"/>
      <c r="S342" s="382"/>
      <c r="T342" s="382"/>
      <c r="U342" s="382"/>
      <c r="V342" s="382"/>
      <c r="W342" s="382"/>
      <c r="X342" s="382"/>
    </row>
    <row r="343" spans="2:24">
      <c r="B343" s="637"/>
      <c r="C343" s="637"/>
      <c r="D343" s="637"/>
      <c r="E343" s="639"/>
      <c r="F343" s="639"/>
      <c r="G343" s="639"/>
      <c r="H343" s="637"/>
      <c r="I343" s="637"/>
      <c r="J343" s="637"/>
      <c r="K343" s="641"/>
      <c r="L343" s="641"/>
      <c r="M343" s="641"/>
      <c r="N343" s="665"/>
      <c r="O343" s="382"/>
      <c r="P343" s="382"/>
      <c r="Q343" s="382"/>
      <c r="R343" s="382"/>
      <c r="S343" s="382"/>
      <c r="T343" s="382"/>
      <c r="U343" s="382"/>
      <c r="V343" s="382"/>
      <c r="W343" s="382"/>
      <c r="X343" s="382"/>
    </row>
    <row r="344" spans="2:24">
      <c r="B344" s="637"/>
      <c r="C344" s="637"/>
      <c r="D344" s="637"/>
      <c r="E344" s="639"/>
      <c r="F344" s="639"/>
      <c r="G344" s="639"/>
      <c r="H344" s="637"/>
      <c r="I344" s="637"/>
      <c r="J344" s="637"/>
      <c r="K344" s="641"/>
      <c r="L344" s="641"/>
      <c r="M344" s="641"/>
      <c r="N344" s="665"/>
      <c r="O344" s="382"/>
      <c r="P344" s="382"/>
      <c r="Q344" s="382"/>
      <c r="R344" s="382"/>
      <c r="S344" s="382"/>
      <c r="T344" s="382"/>
      <c r="U344" s="382"/>
      <c r="V344" s="382"/>
      <c r="W344" s="382"/>
      <c r="X344" s="382"/>
    </row>
    <row r="345" spans="2:24">
      <c r="B345" s="637"/>
      <c r="C345" s="637"/>
      <c r="D345" s="637"/>
      <c r="E345" s="639"/>
      <c r="F345" s="639"/>
      <c r="G345" s="639"/>
      <c r="H345" s="637"/>
      <c r="I345" s="637"/>
      <c r="J345" s="637"/>
      <c r="K345" s="641"/>
      <c r="L345" s="641"/>
      <c r="M345" s="641"/>
      <c r="N345" s="665"/>
      <c r="O345" s="382"/>
      <c r="P345" s="382"/>
      <c r="Q345" s="382"/>
      <c r="R345" s="382"/>
      <c r="S345" s="382"/>
      <c r="T345" s="382"/>
      <c r="U345" s="382"/>
      <c r="V345" s="382"/>
      <c r="W345" s="382"/>
      <c r="X345" s="382"/>
    </row>
    <row r="346" spans="2:24">
      <c r="B346" s="637"/>
      <c r="C346" s="637"/>
      <c r="D346" s="637"/>
      <c r="E346" s="639"/>
      <c r="F346" s="639"/>
      <c r="G346" s="639"/>
      <c r="H346" s="637"/>
      <c r="I346" s="637"/>
      <c r="J346" s="637"/>
      <c r="K346" s="641"/>
      <c r="L346" s="641"/>
      <c r="M346" s="641"/>
      <c r="N346" s="665"/>
      <c r="O346" s="382"/>
      <c r="P346" s="382"/>
      <c r="Q346" s="382"/>
      <c r="R346" s="382"/>
      <c r="S346" s="382"/>
      <c r="T346" s="382"/>
      <c r="U346" s="382"/>
      <c r="V346" s="382"/>
      <c r="W346" s="382"/>
      <c r="X346" s="382"/>
    </row>
    <row r="347" spans="2:24">
      <c r="B347" s="637"/>
      <c r="C347" s="637"/>
      <c r="D347" s="637"/>
      <c r="E347" s="639"/>
      <c r="F347" s="639"/>
      <c r="G347" s="639"/>
      <c r="H347" s="637"/>
      <c r="I347" s="637"/>
      <c r="J347" s="637"/>
      <c r="K347" s="641"/>
      <c r="L347" s="641"/>
      <c r="M347" s="641"/>
      <c r="N347" s="665"/>
      <c r="O347" s="382"/>
      <c r="P347" s="382"/>
      <c r="Q347" s="382"/>
      <c r="R347" s="382"/>
      <c r="S347" s="382"/>
      <c r="T347" s="382"/>
      <c r="U347" s="382"/>
      <c r="V347" s="382"/>
      <c r="W347" s="382"/>
      <c r="X347" s="382"/>
    </row>
    <row r="348" spans="2:24">
      <c r="B348" s="637"/>
      <c r="C348" s="637"/>
      <c r="D348" s="637"/>
      <c r="E348" s="639"/>
      <c r="F348" s="639"/>
      <c r="G348" s="639"/>
      <c r="H348" s="637"/>
      <c r="I348" s="637"/>
      <c r="J348" s="637"/>
      <c r="K348" s="641"/>
      <c r="L348" s="641"/>
      <c r="M348" s="641"/>
      <c r="N348" s="665"/>
      <c r="O348" s="382"/>
      <c r="P348" s="382"/>
      <c r="Q348" s="382"/>
      <c r="R348" s="382"/>
      <c r="S348" s="382"/>
      <c r="T348" s="382"/>
      <c r="U348" s="382"/>
      <c r="V348" s="382"/>
      <c r="W348" s="382"/>
      <c r="X348" s="382"/>
    </row>
    <row r="349" spans="2:24">
      <c r="B349" s="637"/>
      <c r="C349" s="637"/>
      <c r="D349" s="637"/>
      <c r="E349" s="639"/>
      <c r="F349" s="639"/>
      <c r="G349" s="639"/>
      <c r="H349" s="637"/>
      <c r="I349" s="637"/>
      <c r="J349" s="637"/>
      <c r="K349" s="641"/>
      <c r="L349" s="641"/>
      <c r="M349" s="641"/>
      <c r="N349" s="665"/>
      <c r="O349" s="382"/>
      <c r="P349" s="382"/>
      <c r="Q349" s="382"/>
      <c r="R349" s="382"/>
      <c r="S349" s="382"/>
      <c r="T349" s="382"/>
      <c r="U349" s="382"/>
      <c r="V349" s="382"/>
      <c r="W349" s="382"/>
      <c r="X349" s="382"/>
    </row>
    <row r="350" spans="2:24">
      <c r="B350" s="637"/>
      <c r="C350" s="637"/>
      <c r="D350" s="637"/>
      <c r="E350" s="639"/>
      <c r="F350" s="639"/>
      <c r="G350" s="639"/>
      <c r="H350" s="637"/>
      <c r="I350" s="637"/>
      <c r="J350" s="637"/>
      <c r="K350" s="641"/>
      <c r="L350" s="641"/>
      <c r="M350" s="641"/>
      <c r="N350" s="665"/>
      <c r="O350" s="382"/>
      <c r="P350" s="382"/>
      <c r="Q350" s="382"/>
      <c r="R350" s="382"/>
      <c r="S350" s="382"/>
      <c r="T350" s="382"/>
      <c r="U350" s="382"/>
      <c r="V350" s="382"/>
      <c r="W350" s="382"/>
      <c r="X350" s="382"/>
    </row>
    <row r="351" spans="2:24">
      <c r="B351" s="637"/>
      <c r="C351" s="637"/>
      <c r="D351" s="637"/>
      <c r="E351" s="639"/>
      <c r="F351" s="639"/>
      <c r="G351" s="639"/>
      <c r="H351" s="637"/>
      <c r="I351" s="637"/>
      <c r="J351" s="637"/>
      <c r="K351" s="641"/>
      <c r="L351" s="641"/>
      <c r="M351" s="641"/>
      <c r="N351" s="665"/>
      <c r="O351" s="382"/>
      <c r="P351" s="382"/>
      <c r="Q351" s="382"/>
      <c r="R351" s="382"/>
      <c r="S351" s="382"/>
      <c r="T351" s="382"/>
      <c r="U351" s="382"/>
      <c r="V351" s="382"/>
      <c r="W351" s="382"/>
      <c r="X351" s="382"/>
    </row>
    <row r="352" spans="2:24">
      <c r="B352" s="637"/>
      <c r="C352" s="637"/>
      <c r="D352" s="637"/>
      <c r="E352" s="639"/>
      <c r="F352" s="639"/>
      <c r="G352" s="639"/>
      <c r="H352" s="637"/>
      <c r="I352" s="637"/>
      <c r="J352" s="637"/>
      <c r="K352" s="641"/>
      <c r="L352" s="641"/>
      <c r="M352" s="641"/>
      <c r="N352" s="665"/>
      <c r="O352" s="382"/>
      <c r="P352" s="382"/>
      <c r="Q352" s="382"/>
      <c r="R352" s="382"/>
      <c r="S352" s="382"/>
      <c r="T352" s="382"/>
      <c r="U352" s="382"/>
      <c r="V352" s="382"/>
      <c r="W352" s="382"/>
      <c r="X352" s="382"/>
    </row>
    <row r="353" spans="2:24">
      <c r="B353" s="637"/>
      <c r="C353" s="637"/>
      <c r="D353" s="637"/>
      <c r="E353" s="639"/>
      <c r="F353" s="639"/>
      <c r="G353" s="639"/>
      <c r="H353" s="637"/>
      <c r="I353" s="637"/>
      <c r="J353" s="637"/>
      <c r="K353" s="641"/>
      <c r="L353" s="641"/>
      <c r="M353" s="641"/>
      <c r="N353" s="665"/>
      <c r="O353" s="382"/>
      <c r="P353" s="382"/>
      <c r="Q353" s="382"/>
      <c r="R353" s="382"/>
      <c r="S353" s="382"/>
      <c r="T353" s="382"/>
      <c r="U353" s="382"/>
      <c r="V353" s="382"/>
      <c r="W353" s="382"/>
      <c r="X353" s="382"/>
    </row>
    <row r="354" spans="2:24">
      <c r="B354" s="637"/>
      <c r="C354" s="637"/>
      <c r="D354" s="637"/>
      <c r="E354" s="639"/>
      <c r="F354" s="639"/>
      <c r="G354" s="639"/>
      <c r="H354" s="637"/>
      <c r="I354" s="637"/>
      <c r="J354" s="637"/>
      <c r="K354" s="641"/>
      <c r="L354" s="641"/>
      <c r="M354" s="641"/>
      <c r="N354" s="665"/>
      <c r="O354" s="382"/>
      <c r="P354" s="382"/>
      <c r="Q354" s="382"/>
      <c r="R354" s="382"/>
      <c r="S354" s="382"/>
      <c r="T354" s="382"/>
      <c r="U354" s="382"/>
      <c r="V354" s="382"/>
      <c r="W354" s="382"/>
      <c r="X354" s="382"/>
    </row>
    <row r="355" spans="2:24">
      <c r="B355" s="637"/>
      <c r="C355" s="637"/>
      <c r="D355" s="637"/>
      <c r="E355" s="639"/>
      <c r="F355" s="639"/>
      <c r="G355" s="639"/>
      <c r="H355" s="637"/>
      <c r="I355" s="637"/>
      <c r="J355" s="637"/>
      <c r="K355" s="641"/>
      <c r="L355" s="641"/>
      <c r="M355" s="641"/>
      <c r="N355" s="665"/>
      <c r="O355" s="382"/>
      <c r="P355" s="382"/>
      <c r="Q355" s="382"/>
      <c r="R355" s="382"/>
      <c r="S355" s="382"/>
      <c r="T355" s="382"/>
      <c r="U355" s="382"/>
      <c r="V355" s="382"/>
      <c r="W355" s="382"/>
      <c r="X355" s="382"/>
    </row>
    <row r="356" spans="2:24">
      <c r="B356" s="637"/>
      <c r="C356" s="637"/>
      <c r="D356" s="637"/>
      <c r="E356" s="639"/>
      <c r="F356" s="639"/>
      <c r="G356" s="639"/>
      <c r="H356" s="637"/>
      <c r="I356" s="637"/>
      <c r="J356" s="637"/>
      <c r="K356" s="641"/>
      <c r="L356" s="641"/>
      <c r="M356" s="641"/>
      <c r="N356" s="665"/>
      <c r="O356" s="382"/>
      <c r="P356" s="382"/>
      <c r="Q356" s="382"/>
      <c r="R356" s="382"/>
      <c r="S356" s="382"/>
      <c r="T356" s="382"/>
      <c r="U356" s="382"/>
      <c r="V356" s="382"/>
      <c r="W356" s="382"/>
      <c r="X356" s="382"/>
    </row>
    <row r="357" spans="2:24">
      <c r="B357" s="637"/>
      <c r="C357" s="637"/>
      <c r="D357" s="637"/>
      <c r="E357" s="639"/>
      <c r="F357" s="639"/>
      <c r="G357" s="639"/>
      <c r="H357" s="637"/>
      <c r="I357" s="637"/>
      <c r="J357" s="637"/>
      <c r="K357" s="641"/>
      <c r="L357" s="641"/>
      <c r="M357" s="641"/>
      <c r="N357" s="665"/>
      <c r="O357" s="382"/>
      <c r="P357" s="382"/>
      <c r="Q357" s="382"/>
      <c r="R357" s="382"/>
      <c r="S357" s="382"/>
      <c r="T357" s="382"/>
      <c r="U357" s="382"/>
      <c r="V357" s="382"/>
      <c r="W357" s="382"/>
      <c r="X357" s="382"/>
    </row>
    <row r="358" spans="2:24">
      <c r="B358" s="637"/>
      <c r="C358" s="637"/>
      <c r="D358" s="637"/>
      <c r="E358" s="639"/>
      <c r="F358" s="639"/>
      <c r="G358" s="639"/>
      <c r="H358" s="637"/>
      <c r="I358" s="637"/>
      <c r="J358" s="637"/>
      <c r="K358" s="641"/>
      <c r="L358" s="641"/>
      <c r="M358" s="641"/>
      <c r="N358" s="665"/>
      <c r="O358" s="382"/>
      <c r="P358" s="382"/>
      <c r="Q358" s="382"/>
      <c r="R358" s="382"/>
      <c r="S358" s="382"/>
      <c r="T358" s="382"/>
      <c r="U358" s="382"/>
      <c r="V358" s="382"/>
      <c r="W358" s="382"/>
      <c r="X358" s="382"/>
    </row>
    <row r="359" spans="2:24">
      <c r="B359" s="637"/>
      <c r="C359" s="637"/>
      <c r="D359" s="637"/>
      <c r="E359" s="639"/>
      <c r="F359" s="639"/>
      <c r="G359" s="639"/>
      <c r="H359" s="637"/>
      <c r="I359" s="637"/>
      <c r="J359" s="637"/>
      <c r="K359" s="641"/>
      <c r="L359" s="641"/>
      <c r="M359" s="641"/>
      <c r="N359" s="665"/>
      <c r="O359" s="382"/>
      <c r="P359" s="382"/>
      <c r="Q359" s="382"/>
      <c r="R359" s="382"/>
      <c r="S359" s="382"/>
      <c r="T359" s="382"/>
      <c r="U359" s="382"/>
      <c r="V359" s="382"/>
      <c r="W359" s="382"/>
      <c r="X359" s="382"/>
    </row>
    <row r="360" spans="2:24">
      <c r="B360" s="637"/>
      <c r="C360" s="637"/>
      <c r="D360" s="637"/>
      <c r="E360" s="639"/>
      <c r="F360" s="639"/>
      <c r="G360" s="639"/>
      <c r="H360" s="637"/>
      <c r="I360" s="637"/>
      <c r="J360" s="637"/>
      <c r="K360" s="641"/>
      <c r="L360" s="641"/>
      <c r="M360" s="641"/>
      <c r="N360" s="665"/>
      <c r="O360" s="382"/>
      <c r="P360" s="382"/>
      <c r="Q360" s="382"/>
      <c r="R360" s="382"/>
      <c r="S360" s="382"/>
      <c r="T360" s="382"/>
      <c r="U360" s="382"/>
      <c r="V360" s="382"/>
      <c r="W360" s="382"/>
      <c r="X360" s="382"/>
    </row>
    <row r="361" spans="2:24">
      <c r="B361" s="637"/>
      <c r="C361" s="637"/>
      <c r="D361" s="637"/>
      <c r="E361" s="639"/>
      <c r="F361" s="639"/>
      <c r="G361" s="639"/>
      <c r="H361" s="637"/>
      <c r="I361" s="637"/>
      <c r="J361" s="637"/>
      <c r="K361" s="641"/>
      <c r="L361" s="641"/>
      <c r="M361" s="641"/>
      <c r="N361" s="665"/>
      <c r="O361" s="382"/>
      <c r="P361" s="382"/>
      <c r="Q361" s="382"/>
      <c r="R361" s="382"/>
      <c r="S361" s="382"/>
      <c r="T361" s="382"/>
      <c r="U361" s="382"/>
      <c r="V361" s="382"/>
      <c r="W361" s="382"/>
      <c r="X361" s="382"/>
    </row>
    <row r="362" spans="2:24">
      <c r="B362" s="637"/>
      <c r="C362" s="637"/>
      <c r="D362" s="637"/>
      <c r="E362" s="639"/>
      <c r="F362" s="639"/>
      <c r="G362" s="639"/>
      <c r="H362" s="637"/>
      <c r="I362" s="637"/>
      <c r="J362" s="637"/>
      <c r="K362" s="641"/>
      <c r="L362" s="641"/>
      <c r="M362" s="641"/>
      <c r="N362" s="665"/>
      <c r="O362" s="382"/>
      <c r="P362" s="382"/>
      <c r="Q362" s="382"/>
      <c r="R362" s="382"/>
      <c r="S362" s="382"/>
      <c r="T362" s="382"/>
      <c r="U362" s="382"/>
      <c r="V362" s="382"/>
      <c r="W362" s="382"/>
      <c r="X362" s="382"/>
    </row>
    <row r="363" spans="2:24">
      <c r="B363" s="637"/>
      <c r="C363" s="637"/>
      <c r="D363" s="637"/>
      <c r="E363" s="639"/>
      <c r="F363" s="639"/>
      <c r="G363" s="639"/>
      <c r="H363" s="637"/>
      <c r="I363" s="637"/>
      <c r="J363" s="637"/>
      <c r="K363" s="641"/>
      <c r="L363" s="641"/>
      <c r="M363" s="641"/>
      <c r="N363" s="665"/>
      <c r="O363" s="382"/>
      <c r="P363" s="382"/>
      <c r="Q363" s="382"/>
      <c r="R363" s="382"/>
      <c r="S363" s="382"/>
      <c r="T363" s="382"/>
      <c r="U363" s="382"/>
      <c r="V363" s="382"/>
      <c r="W363" s="382"/>
      <c r="X363" s="382"/>
    </row>
    <row r="364" spans="2:24">
      <c r="B364" s="637"/>
      <c r="C364" s="637"/>
      <c r="D364" s="637"/>
      <c r="E364" s="639"/>
      <c r="F364" s="639"/>
      <c r="G364" s="639"/>
      <c r="H364" s="637"/>
      <c r="I364" s="637"/>
      <c r="J364" s="637"/>
      <c r="K364" s="641"/>
      <c r="L364" s="641"/>
      <c r="M364" s="641"/>
      <c r="N364" s="665"/>
      <c r="O364" s="382"/>
      <c r="P364" s="382"/>
      <c r="Q364" s="382"/>
      <c r="R364" s="382"/>
      <c r="S364" s="382"/>
      <c r="T364" s="382"/>
      <c r="U364" s="382"/>
      <c r="V364" s="382"/>
      <c r="W364" s="382"/>
      <c r="X364" s="382"/>
    </row>
    <row r="365" spans="2:24">
      <c r="B365" s="637"/>
      <c r="C365" s="637"/>
      <c r="D365" s="637"/>
      <c r="E365" s="639"/>
      <c r="F365" s="639"/>
      <c r="G365" s="639"/>
      <c r="H365" s="637"/>
      <c r="I365" s="637"/>
      <c r="J365" s="637"/>
      <c r="K365" s="641"/>
      <c r="L365" s="641"/>
      <c r="M365" s="641"/>
      <c r="N365" s="665"/>
      <c r="O365" s="382"/>
      <c r="P365" s="382"/>
      <c r="Q365" s="382"/>
      <c r="R365" s="382"/>
      <c r="S365" s="382"/>
      <c r="T365" s="382"/>
      <c r="U365" s="382"/>
      <c r="V365" s="382"/>
      <c r="W365" s="382"/>
      <c r="X365" s="382"/>
    </row>
    <row r="366" spans="2:24">
      <c r="B366" s="637"/>
      <c r="C366" s="637"/>
      <c r="D366" s="637"/>
      <c r="E366" s="639"/>
      <c r="F366" s="639"/>
      <c r="G366" s="639"/>
      <c r="H366" s="637"/>
      <c r="I366" s="637"/>
      <c r="J366" s="637"/>
      <c r="K366" s="641"/>
      <c r="L366" s="641"/>
      <c r="M366" s="641"/>
      <c r="N366" s="665"/>
      <c r="O366" s="382"/>
      <c r="P366" s="382"/>
      <c r="Q366" s="382"/>
      <c r="R366" s="382"/>
      <c r="S366" s="382"/>
      <c r="T366" s="382"/>
      <c r="U366" s="382"/>
      <c r="V366" s="382"/>
      <c r="W366" s="382"/>
      <c r="X366" s="382"/>
    </row>
    <row r="367" spans="2:24">
      <c r="B367" s="637"/>
      <c r="C367" s="637"/>
      <c r="D367" s="637"/>
      <c r="E367" s="639"/>
      <c r="F367" s="639"/>
      <c r="G367" s="639"/>
      <c r="H367" s="637"/>
      <c r="I367" s="637"/>
      <c r="J367" s="637"/>
      <c r="K367" s="641"/>
      <c r="L367" s="641"/>
      <c r="M367" s="641"/>
      <c r="N367" s="665"/>
      <c r="O367" s="382"/>
      <c r="P367" s="382"/>
      <c r="Q367" s="382"/>
      <c r="R367" s="382"/>
      <c r="S367" s="382"/>
      <c r="T367" s="382"/>
      <c r="U367" s="382"/>
      <c r="V367" s="382"/>
      <c r="W367" s="382"/>
      <c r="X367" s="382"/>
    </row>
    <row r="368" spans="2:24">
      <c r="B368" s="637"/>
      <c r="C368" s="637"/>
      <c r="D368" s="637"/>
      <c r="E368" s="639"/>
      <c r="F368" s="639"/>
      <c r="G368" s="639"/>
      <c r="H368" s="637"/>
      <c r="I368" s="637"/>
      <c r="J368" s="637"/>
      <c r="K368" s="641"/>
      <c r="L368" s="641"/>
      <c r="M368" s="641"/>
      <c r="N368" s="665"/>
      <c r="O368" s="382"/>
      <c r="P368" s="382"/>
      <c r="Q368" s="382"/>
      <c r="R368" s="382"/>
      <c r="S368" s="382"/>
      <c r="T368" s="382"/>
      <c r="U368" s="382"/>
      <c r="V368" s="382"/>
      <c r="W368" s="382"/>
      <c r="X368" s="382"/>
    </row>
    <row r="369" spans="2:24">
      <c r="B369" s="637"/>
      <c r="C369" s="637"/>
      <c r="D369" s="637"/>
      <c r="E369" s="639"/>
      <c r="F369" s="639"/>
      <c r="G369" s="639"/>
      <c r="H369" s="637"/>
      <c r="I369" s="637"/>
      <c r="J369" s="637"/>
      <c r="K369" s="641"/>
      <c r="L369" s="641"/>
      <c r="M369" s="641"/>
      <c r="N369" s="665"/>
      <c r="O369" s="382"/>
      <c r="P369" s="382"/>
      <c r="Q369" s="382"/>
      <c r="R369" s="382"/>
      <c r="S369" s="382"/>
      <c r="T369" s="382"/>
      <c r="U369" s="382"/>
      <c r="V369" s="382"/>
      <c r="W369" s="382"/>
      <c r="X369" s="382"/>
    </row>
    <row r="370" spans="2:24">
      <c r="B370" s="637"/>
      <c r="C370" s="637"/>
      <c r="D370" s="637"/>
      <c r="E370" s="639"/>
      <c r="F370" s="639"/>
      <c r="G370" s="639"/>
      <c r="H370" s="637"/>
      <c r="I370" s="637"/>
      <c r="J370" s="637"/>
      <c r="K370" s="641"/>
      <c r="L370" s="641"/>
      <c r="M370" s="641"/>
      <c r="N370" s="665"/>
      <c r="O370" s="382"/>
      <c r="P370" s="382"/>
      <c r="Q370" s="382"/>
      <c r="R370" s="382"/>
      <c r="S370" s="382"/>
      <c r="T370" s="382"/>
      <c r="U370" s="382"/>
      <c r="V370" s="382"/>
      <c r="W370" s="382"/>
      <c r="X370" s="382"/>
    </row>
    <row r="371" spans="2:24">
      <c r="B371" s="637"/>
      <c r="C371" s="637"/>
      <c r="D371" s="637"/>
      <c r="E371" s="639"/>
      <c r="F371" s="639"/>
      <c r="G371" s="639"/>
      <c r="H371" s="637"/>
      <c r="I371" s="637"/>
      <c r="J371" s="637"/>
      <c r="K371" s="641"/>
      <c r="L371" s="641"/>
      <c r="M371" s="641"/>
      <c r="N371" s="665"/>
      <c r="O371" s="382"/>
      <c r="P371" s="382"/>
      <c r="Q371" s="382"/>
      <c r="R371" s="382"/>
      <c r="S371" s="382"/>
      <c r="T371" s="382"/>
      <c r="U371" s="382"/>
      <c r="V371" s="382"/>
      <c r="W371" s="382"/>
      <c r="X371" s="382"/>
    </row>
    <row r="372" spans="2:24">
      <c r="B372" s="637"/>
      <c r="C372" s="637"/>
      <c r="D372" s="637"/>
      <c r="E372" s="639"/>
      <c r="F372" s="639"/>
      <c r="G372" s="639"/>
      <c r="H372" s="637"/>
      <c r="I372" s="637"/>
      <c r="J372" s="637"/>
      <c r="K372" s="641"/>
      <c r="L372" s="641"/>
      <c r="M372" s="641"/>
      <c r="N372" s="665"/>
      <c r="O372" s="382"/>
      <c r="P372" s="382"/>
      <c r="Q372" s="382"/>
      <c r="R372" s="382"/>
      <c r="S372" s="382"/>
      <c r="T372" s="382"/>
      <c r="U372" s="382"/>
      <c r="V372" s="382"/>
      <c r="W372" s="382"/>
      <c r="X372" s="382"/>
    </row>
    <row r="373" spans="2:24">
      <c r="B373" s="637"/>
      <c r="C373" s="637"/>
      <c r="D373" s="637"/>
      <c r="E373" s="639"/>
      <c r="F373" s="639"/>
      <c r="G373" s="639"/>
      <c r="H373" s="637"/>
      <c r="I373" s="637"/>
      <c r="J373" s="637"/>
      <c r="K373" s="641"/>
      <c r="L373" s="641"/>
      <c r="M373" s="641"/>
      <c r="N373" s="665"/>
      <c r="O373" s="382"/>
      <c r="P373" s="382"/>
      <c r="Q373" s="382"/>
      <c r="R373" s="382"/>
      <c r="S373" s="382"/>
      <c r="T373" s="382"/>
      <c r="U373" s="382"/>
      <c r="V373" s="382"/>
      <c r="W373" s="382"/>
      <c r="X373" s="382"/>
    </row>
    <row r="374" spans="2:24">
      <c r="B374" s="637"/>
      <c r="C374" s="637"/>
      <c r="D374" s="637"/>
      <c r="E374" s="639"/>
      <c r="F374" s="639"/>
      <c r="G374" s="639"/>
      <c r="H374" s="637"/>
      <c r="I374" s="637"/>
      <c r="J374" s="637"/>
      <c r="K374" s="641"/>
      <c r="L374" s="641"/>
      <c r="M374" s="641"/>
      <c r="N374" s="665"/>
      <c r="O374" s="382"/>
      <c r="P374" s="382"/>
      <c r="Q374" s="382"/>
      <c r="R374" s="382"/>
      <c r="S374" s="382"/>
      <c r="T374" s="382"/>
      <c r="U374" s="382"/>
      <c r="V374" s="382"/>
      <c r="W374" s="382"/>
      <c r="X374" s="382"/>
    </row>
    <row r="375" spans="2:24">
      <c r="B375" s="637"/>
      <c r="C375" s="637"/>
      <c r="D375" s="637"/>
      <c r="E375" s="639"/>
      <c r="F375" s="639"/>
      <c r="G375" s="639"/>
      <c r="H375" s="637"/>
      <c r="I375" s="637"/>
      <c r="J375" s="637"/>
      <c r="K375" s="641"/>
      <c r="L375" s="641"/>
      <c r="M375" s="641"/>
      <c r="N375" s="665"/>
      <c r="O375" s="382"/>
      <c r="P375" s="382"/>
      <c r="Q375" s="382"/>
      <c r="R375" s="382"/>
      <c r="S375" s="382"/>
      <c r="T375" s="382"/>
      <c r="U375" s="382"/>
      <c r="V375" s="382"/>
      <c r="W375" s="382"/>
      <c r="X375" s="382"/>
    </row>
    <row r="376" spans="2:24">
      <c r="B376" s="637"/>
      <c r="C376" s="637"/>
      <c r="D376" s="637"/>
      <c r="E376" s="639"/>
      <c r="F376" s="639"/>
      <c r="G376" s="639"/>
      <c r="H376" s="637"/>
      <c r="I376" s="637"/>
      <c r="J376" s="637"/>
      <c r="K376" s="641"/>
      <c r="L376" s="641"/>
      <c r="M376" s="641"/>
      <c r="N376" s="665"/>
      <c r="O376" s="382"/>
      <c r="P376" s="382"/>
      <c r="Q376" s="382"/>
      <c r="R376" s="382"/>
      <c r="S376" s="382"/>
      <c r="T376" s="382"/>
      <c r="U376" s="382"/>
      <c r="V376" s="382"/>
      <c r="W376" s="382"/>
      <c r="X376" s="382"/>
    </row>
    <row r="377" spans="2:24">
      <c r="B377" s="637"/>
      <c r="C377" s="637"/>
      <c r="D377" s="637"/>
      <c r="E377" s="639"/>
      <c r="F377" s="639"/>
      <c r="G377" s="639"/>
      <c r="H377" s="637"/>
      <c r="I377" s="637"/>
      <c r="J377" s="637"/>
      <c r="K377" s="641"/>
      <c r="L377" s="641"/>
      <c r="M377" s="641"/>
      <c r="N377" s="665"/>
      <c r="O377" s="382"/>
      <c r="P377" s="382"/>
      <c r="Q377" s="382"/>
      <c r="R377" s="382"/>
      <c r="S377" s="382"/>
      <c r="T377" s="382"/>
      <c r="U377" s="382"/>
      <c r="V377" s="382"/>
      <c r="W377" s="382"/>
      <c r="X377" s="382"/>
    </row>
    <row r="378" spans="2:24">
      <c r="B378" s="637"/>
      <c r="C378" s="637"/>
      <c r="D378" s="637"/>
      <c r="E378" s="639"/>
      <c r="F378" s="639"/>
      <c r="G378" s="639"/>
      <c r="H378" s="637"/>
      <c r="I378" s="637"/>
      <c r="J378" s="637"/>
      <c r="K378" s="641"/>
      <c r="L378" s="641"/>
      <c r="M378" s="641"/>
      <c r="N378" s="665"/>
      <c r="O378" s="382"/>
      <c r="P378" s="382"/>
      <c r="Q378" s="382"/>
      <c r="R378" s="382"/>
      <c r="S378" s="382"/>
      <c r="T378" s="382"/>
      <c r="U378" s="382"/>
      <c r="V378" s="382"/>
      <c r="W378" s="382"/>
      <c r="X378" s="382"/>
    </row>
    <row r="379" spans="2:24">
      <c r="B379" s="637"/>
      <c r="C379" s="637"/>
      <c r="D379" s="637"/>
      <c r="E379" s="639"/>
      <c r="F379" s="639"/>
      <c r="G379" s="639"/>
      <c r="H379" s="637"/>
      <c r="I379" s="637"/>
      <c r="J379" s="637"/>
      <c r="K379" s="641"/>
      <c r="L379" s="641"/>
      <c r="M379" s="641"/>
      <c r="N379" s="665"/>
      <c r="O379" s="382"/>
      <c r="P379" s="382"/>
      <c r="Q379" s="382"/>
      <c r="R379" s="382"/>
      <c r="S379" s="382"/>
      <c r="T379" s="382"/>
      <c r="U379" s="382"/>
      <c r="V379" s="382"/>
      <c r="W379" s="382"/>
      <c r="X379" s="382"/>
    </row>
    <row r="380" spans="2:24">
      <c r="B380" s="637"/>
      <c r="C380" s="637"/>
      <c r="D380" s="637"/>
      <c r="E380" s="639"/>
      <c r="F380" s="639"/>
      <c r="G380" s="639"/>
      <c r="H380" s="637"/>
      <c r="I380" s="637"/>
      <c r="J380" s="637"/>
      <c r="K380" s="641"/>
      <c r="L380" s="641"/>
      <c r="M380" s="641"/>
      <c r="N380" s="665"/>
      <c r="O380" s="382"/>
      <c r="P380" s="382"/>
      <c r="Q380" s="382"/>
      <c r="R380" s="382"/>
      <c r="S380" s="382"/>
      <c r="T380" s="382"/>
      <c r="U380" s="382"/>
      <c r="V380" s="382"/>
      <c r="W380" s="382"/>
      <c r="X380" s="382"/>
    </row>
    <row r="381" spans="2:24">
      <c r="B381" s="637"/>
      <c r="C381" s="637"/>
      <c r="D381" s="637"/>
      <c r="E381" s="639"/>
      <c r="F381" s="639"/>
      <c r="G381" s="639"/>
      <c r="H381" s="637"/>
      <c r="I381" s="637"/>
      <c r="J381" s="637"/>
      <c r="K381" s="641"/>
      <c r="L381" s="641"/>
      <c r="M381" s="641"/>
      <c r="N381" s="665"/>
      <c r="O381" s="382"/>
      <c r="P381" s="382"/>
      <c r="Q381" s="382"/>
      <c r="R381" s="382"/>
      <c r="S381" s="382"/>
      <c r="T381" s="382"/>
      <c r="U381" s="382"/>
      <c r="V381" s="382"/>
      <c r="W381" s="382"/>
      <c r="X381" s="382"/>
    </row>
    <row r="382" spans="2:24">
      <c r="B382" s="637"/>
      <c r="C382" s="637"/>
      <c r="D382" s="637"/>
      <c r="E382" s="639"/>
      <c r="F382" s="639"/>
      <c r="G382" s="639"/>
      <c r="H382" s="637"/>
      <c r="I382" s="637"/>
      <c r="J382" s="637"/>
      <c r="K382" s="641"/>
      <c r="L382" s="641"/>
      <c r="M382" s="641"/>
      <c r="N382" s="665"/>
      <c r="O382" s="382"/>
      <c r="P382" s="382"/>
      <c r="Q382" s="382"/>
      <c r="R382" s="382"/>
      <c r="S382" s="382"/>
      <c r="T382" s="382"/>
      <c r="U382" s="382"/>
      <c r="V382" s="382"/>
      <c r="W382" s="382"/>
      <c r="X382" s="382"/>
    </row>
    <row r="383" spans="2:24">
      <c r="B383" s="637"/>
      <c r="C383" s="637"/>
      <c r="D383" s="637"/>
      <c r="E383" s="639"/>
      <c r="F383" s="639"/>
      <c r="G383" s="639"/>
      <c r="H383" s="637"/>
      <c r="I383" s="637"/>
      <c r="J383" s="637"/>
      <c r="K383" s="641"/>
      <c r="L383" s="641"/>
      <c r="M383" s="641"/>
      <c r="N383" s="665"/>
      <c r="O383" s="382"/>
      <c r="P383" s="382"/>
      <c r="Q383" s="382"/>
      <c r="R383" s="382"/>
      <c r="S383" s="382"/>
      <c r="T383" s="382"/>
      <c r="U383" s="382"/>
      <c r="V383" s="382"/>
      <c r="W383" s="382"/>
      <c r="X383" s="382"/>
    </row>
    <row r="384" spans="2:24">
      <c r="B384" s="637"/>
      <c r="C384" s="637"/>
      <c r="D384" s="637"/>
      <c r="E384" s="639"/>
      <c r="F384" s="639"/>
      <c r="G384" s="639"/>
      <c r="H384" s="637"/>
      <c r="I384" s="637"/>
      <c r="J384" s="637"/>
      <c r="K384" s="641"/>
      <c r="L384" s="641"/>
      <c r="M384" s="641"/>
      <c r="N384" s="665"/>
      <c r="O384" s="382"/>
      <c r="P384" s="382"/>
      <c r="Q384" s="382"/>
      <c r="R384" s="382"/>
      <c r="S384" s="382"/>
      <c r="T384" s="382"/>
      <c r="U384" s="382"/>
      <c r="V384" s="382"/>
      <c r="W384" s="382"/>
      <c r="X384" s="382"/>
    </row>
    <row r="385" spans="2:24">
      <c r="B385" s="637"/>
      <c r="C385" s="637"/>
      <c r="D385" s="637"/>
      <c r="E385" s="639"/>
      <c r="F385" s="639"/>
      <c r="G385" s="639"/>
      <c r="H385" s="637"/>
      <c r="I385" s="637"/>
      <c r="J385" s="637"/>
      <c r="K385" s="641"/>
      <c r="L385" s="641"/>
      <c r="M385" s="641"/>
      <c r="N385" s="665"/>
      <c r="O385" s="382"/>
      <c r="P385" s="382"/>
      <c r="Q385" s="382"/>
      <c r="R385" s="382"/>
      <c r="S385" s="382"/>
      <c r="T385" s="382"/>
      <c r="U385" s="382"/>
      <c r="V385" s="382"/>
      <c r="W385" s="382"/>
      <c r="X385" s="382"/>
    </row>
    <row r="386" spans="2:24">
      <c r="B386" s="637"/>
      <c r="C386" s="637"/>
      <c r="D386" s="637"/>
      <c r="E386" s="639"/>
      <c r="F386" s="639"/>
      <c r="G386" s="639"/>
      <c r="H386" s="637"/>
      <c r="I386" s="637"/>
      <c r="J386" s="637"/>
      <c r="K386" s="641"/>
      <c r="L386" s="641"/>
      <c r="M386" s="641"/>
      <c r="N386" s="665"/>
      <c r="O386" s="382"/>
      <c r="P386" s="382"/>
      <c r="Q386" s="382"/>
      <c r="R386" s="382"/>
      <c r="S386" s="382"/>
      <c r="T386" s="382"/>
      <c r="U386" s="382"/>
      <c r="V386" s="382"/>
      <c r="W386" s="382"/>
      <c r="X386" s="382"/>
    </row>
    <row r="387" spans="2:24">
      <c r="B387" s="637"/>
      <c r="C387" s="637"/>
      <c r="D387" s="637"/>
      <c r="E387" s="639"/>
      <c r="F387" s="639"/>
      <c r="G387" s="639"/>
      <c r="H387" s="637"/>
      <c r="I387" s="637"/>
      <c r="J387" s="637"/>
      <c r="K387" s="641"/>
      <c r="L387" s="641"/>
      <c r="M387" s="641"/>
      <c r="N387" s="665"/>
      <c r="O387" s="382"/>
      <c r="P387" s="382"/>
      <c r="Q387" s="382"/>
      <c r="R387" s="382"/>
      <c r="S387" s="382"/>
      <c r="T387" s="382"/>
      <c r="U387" s="382"/>
      <c r="V387" s="382"/>
      <c r="W387" s="382"/>
      <c r="X387" s="382"/>
    </row>
    <row r="388" spans="2:24">
      <c r="B388" s="637"/>
      <c r="C388" s="637"/>
      <c r="D388" s="637"/>
      <c r="E388" s="639"/>
      <c r="F388" s="639"/>
      <c r="G388" s="639"/>
      <c r="H388" s="637"/>
      <c r="I388" s="637"/>
      <c r="J388" s="637"/>
      <c r="K388" s="641"/>
      <c r="L388" s="641"/>
      <c r="M388" s="641"/>
      <c r="N388" s="665"/>
      <c r="O388" s="382"/>
      <c r="P388" s="382"/>
      <c r="Q388" s="382"/>
      <c r="R388" s="382"/>
      <c r="S388" s="382"/>
      <c r="T388" s="382"/>
      <c r="U388" s="382"/>
      <c r="V388" s="382"/>
      <c r="W388" s="382"/>
      <c r="X388" s="382"/>
    </row>
    <row r="389" spans="2:24">
      <c r="B389" s="637"/>
      <c r="C389" s="637"/>
      <c r="D389" s="637"/>
      <c r="E389" s="639"/>
      <c r="F389" s="639"/>
      <c r="G389" s="639"/>
      <c r="H389" s="637"/>
      <c r="I389" s="637"/>
      <c r="J389" s="637"/>
      <c r="K389" s="641"/>
      <c r="L389" s="641"/>
      <c r="M389" s="641"/>
      <c r="N389" s="665"/>
      <c r="O389" s="382"/>
      <c r="P389" s="382"/>
      <c r="Q389" s="382"/>
      <c r="R389" s="382"/>
      <c r="S389" s="382"/>
      <c r="T389" s="382"/>
      <c r="U389" s="382"/>
      <c r="V389" s="382"/>
      <c r="W389" s="382"/>
      <c r="X389" s="382"/>
    </row>
    <row r="390" spans="2:24">
      <c r="B390" s="637"/>
      <c r="C390" s="637"/>
      <c r="D390" s="637"/>
      <c r="E390" s="639"/>
      <c r="F390" s="639"/>
      <c r="G390" s="639"/>
      <c r="H390" s="637"/>
      <c r="I390" s="637"/>
      <c r="J390" s="637"/>
      <c r="K390" s="641"/>
      <c r="L390" s="641"/>
      <c r="M390" s="641"/>
      <c r="N390" s="665"/>
      <c r="O390" s="382"/>
      <c r="P390" s="382"/>
      <c r="Q390" s="382"/>
      <c r="R390" s="382"/>
      <c r="S390" s="382"/>
      <c r="T390" s="382"/>
      <c r="U390" s="382"/>
      <c r="V390" s="382"/>
      <c r="W390" s="382"/>
      <c r="X390" s="382"/>
    </row>
    <row r="391" spans="2:24">
      <c r="B391" s="637"/>
      <c r="C391" s="637"/>
      <c r="D391" s="637"/>
      <c r="E391" s="639"/>
      <c r="F391" s="639"/>
      <c r="G391" s="639"/>
      <c r="H391" s="637"/>
      <c r="I391" s="637"/>
      <c r="J391" s="637"/>
      <c r="K391" s="641"/>
      <c r="L391" s="641"/>
      <c r="M391" s="641"/>
      <c r="N391" s="665"/>
      <c r="O391" s="382"/>
      <c r="P391" s="382"/>
      <c r="Q391" s="382"/>
      <c r="R391" s="382"/>
      <c r="S391" s="382"/>
      <c r="T391" s="382"/>
      <c r="U391" s="382"/>
      <c r="V391" s="382"/>
      <c r="W391" s="382"/>
      <c r="X391" s="382"/>
    </row>
    <row r="392" spans="2:24">
      <c r="B392" s="637"/>
      <c r="C392" s="637"/>
      <c r="D392" s="637"/>
      <c r="E392" s="639"/>
      <c r="F392" s="639"/>
      <c r="G392" s="639"/>
      <c r="H392" s="637"/>
      <c r="I392" s="637"/>
      <c r="J392" s="637"/>
      <c r="K392" s="641"/>
      <c r="L392" s="641"/>
      <c r="M392" s="641"/>
      <c r="N392" s="665"/>
      <c r="O392" s="382"/>
      <c r="P392" s="382"/>
      <c r="Q392" s="382"/>
      <c r="R392" s="382"/>
      <c r="S392" s="382"/>
      <c r="T392" s="382"/>
      <c r="U392" s="382"/>
      <c r="V392" s="382"/>
      <c r="W392" s="382"/>
      <c r="X392" s="382"/>
    </row>
    <row r="393" spans="2:24">
      <c r="B393" s="637"/>
      <c r="C393" s="637"/>
      <c r="D393" s="637"/>
      <c r="E393" s="639"/>
      <c r="F393" s="639"/>
      <c r="G393" s="639"/>
      <c r="H393" s="637"/>
      <c r="I393" s="637"/>
      <c r="J393" s="637"/>
      <c r="K393" s="641"/>
      <c r="L393" s="641"/>
      <c r="M393" s="641"/>
      <c r="N393" s="665"/>
      <c r="O393" s="382"/>
      <c r="P393" s="382"/>
      <c r="Q393" s="382"/>
      <c r="R393" s="382"/>
      <c r="S393" s="382"/>
      <c r="T393" s="382"/>
      <c r="U393" s="382"/>
      <c r="V393" s="382"/>
      <c r="W393" s="382"/>
      <c r="X393" s="382"/>
    </row>
    <row r="394" spans="2:24">
      <c r="B394" s="637"/>
      <c r="C394" s="637"/>
      <c r="D394" s="637"/>
      <c r="E394" s="639"/>
      <c r="F394" s="639"/>
      <c r="G394" s="639"/>
      <c r="H394" s="637"/>
      <c r="I394" s="637"/>
      <c r="J394" s="637"/>
      <c r="K394" s="641"/>
      <c r="L394" s="641"/>
      <c r="M394" s="641"/>
      <c r="N394" s="665"/>
      <c r="O394" s="382"/>
      <c r="P394" s="382"/>
      <c r="Q394" s="382"/>
      <c r="R394" s="382"/>
      <c r="S394" s="382"/>
      <c r="T394" s="382"/>
      <c r="U394" s="382"/>
      <c r="V394" s="382"/>
      <c r="W394" s="382"/>
      <c r="X394" s="382"/>
    </row>
    <row r="395" spans="2:24">
      <c r="B395" s="637"/>
      <c r="C395" s="637"/>
      <c r="D395" s="637"/>
      <c r="E395" s="639"/>
      <c r="F395" s="639"/>
      <c r="G395" s="639"/>
      <c r="H395" s="637"/>
      <c r="I395" s="637"/>
      <c r="J395" s="637"/>
      <c r="K395" s="641"/>
      <c r="L395" s="641"/>
      <c r="M395" s="641"/>
      <c r="N395" s="665"/>
      <c r="O395" s="382"/>
      <c r="P395" s="382"/>
      <c r="Q395" s="382"/>
      <c r="R395" s="382"/>
      <c r="S395" s="382"/>
      <c r="T395" s="382"/>
      <c r="U395" s="382"/>
      <c r="V395" s="382"/>
      <c r="W395" s="382"/>
      <c r="X395" s="382"/>
    </row>
    <row r="396" spans="2:24">
      <c r="B396" s="637"/>
      <c r="C396" s="637"/>
      <c r="D396" s="637"/>
      <c r="E396" s="639"/>
      <c r="F396" s="639"/>
      <c r="G396" s="639"/>
      <c r="H396" s="637"/>
      <c r="I396" s="637"/>
      <c r="J396" s="637"/>
      <c r="K396" s="641"/>
      <c r="L396" s="641"/>
      <c r="M396" s="641"/>
      <c r="N396" s="665"/>
      <c r="O396" s="382"/>
      <c r="P396" s="382"/>
      <c r="Q396" s="382"/>
      <c r="R396" s="382"/>
      <c r="S396" s="382"/>
      <c r="T396" s="382"/>
      <c r="U396" s="382"/>
      <c r="V396" s="382"/>
      <c r="W396" s="382"/>
      <c r="X396" s="382"/>
    </row>
    <row r="397" spans="2:24">
      <c r="B397" s="637"/>
      <c r="C397" s="637"/>
      <c r="D397" s="637"/>
      <c r="E397" s="639"/>
      <c r="F397" s="639"/>
      <c r="G397" s="639"/>
      <c r="H397" s="637"/>
      <c r="I397" s="637"/>
      <c r="J397" s="637"/>
      <c r="K397" s="641"/>
      <c r="L397" s="641"/>
      <c r="M397" s="641"/>
      <c r="N397" s="665"/>
      <c r="O397" s="382"/>
      <c r="P397" s="382"/>
      <c r="Q397" s="382"/>
      <c r="R397" s="382"/>
      <c r="S397" s="382"/>
      <c r="T397" s="382"/>
      <c r="U397" s="382"/>
      <c r="V397" s="382"/>
      <c r="W397" s="382"/>
      <c r="X397" s="382"/>
    </row>
    <row r="398" spans="2:24">
      <c r="B398" s="637"/>
      <c r="C398" s="637"/>
      <c r="D398" s="637"/>
      <c r="E398" s="639"/>
      <c r="F398" s="639"/>
      <c r="G398" s="639"/>
      <c r="H398" s="637"/>
      <c r="I398" s="637"/>
      <c r="J398" s="637"/>
      <c r="K398" s="641"/>
      <c r="L398" s="641"/>
      <c r="M398" s="641"/>
      <c r="N398" s="665"/>
      <c r="O398" s="382"/>
      <c r="P398" s="382"/>
      <c r="Q398" s="382"/>
      <c r="R398" s="382"/>
      <c r="S398" s="382"/>
      <c r="T398" s="382"/>
      <c r="U398" s="382"/>
      <c r="V398" s="382"/>
      <c r="W398" s="382"/>
      <c r="X398" s="382"/>
    </row>
    <row r="399" spans="2:24">
      <c r="B399" s="637"/>
      <c r="C399" s="637"/>
      <c r="D399" s="637"/>
      <c r="E399" s="639"/>
      <c r="F399" s="639"/>
      <c r="G399" s="639"/>
      <c r="H399" s="637"/>
      <c r="I399" s="637"/>
      <c r="J399" s="637"/>
      <c r="K399" s="641"/>
      <c r="L399" s="641"/>
      <c r="M399" s="641"/>
      <c r="N399" s="665"/>
      <c r="O399" s="382"/>
      <c r="P399" s="382"/>
      <c r="Q399" s="382"/>
      <c r="R399" s="382"/>
      <c r="S399" s="382"/>
      <c r="T399" s="382"/>
      <c r="U399" s="382"/>
      <c r="V399" s="382"/>
      <c r="W399" s="382"/>
      <c r="X399" s="382"/>
    </row>
    <row r="400" spans="2:24">
      <c r="B400" s="637"/>
      <c r="C400" s="637"/>
      <c r="D400" s="637"/>
      <c r="E400" s="639"/>
      <c r="F400" s="639"/>
      <c r="G400" s="639"/>
      <c r="H400" s="637"/>
      <c r="I400" s="637"/>
      <c r="J400" s="637"/>
      <c r="K400" s="641"/>
      <c r="L400" s="641"/>
      <c r="M400" s="641"/>
      <c r="N400" s="665"/>
      <c r="O400" s="382"/>
      <c r="P400" s="382"/>
      <c r="Q400" s="382"/>
      <c r="R400" s="382"/>
      <c r="S400" s="382"/>
      <c r="T400" s="382"/>
      <c r="U400" s="382"/>
      <c r="V400" s="382"/>
      <c r="W400" s="382"/>
      <c r="X400" s="382"/>
    </row>
    <row r="401" spans="2:24">
      <c r="B401" s="637"/>
      <c r="C401" s="637"/>
      <c r="D401" s="637"/>
      <c r="E401" s="639"/>
      <c r="F401" s="639"/>
      <c r="G401" s="639"/>
      <c r="H401" s="637"/>
      <c r="I401" s="637"/>
      <c r="J401" s="637"/>
      <c r="K401" s="641"/>
      <c r="L401" s="641"/>
      <c r="M401" s="641"/>
      <c r="N401" s="665"/>
      <c r="O401" s="382"/>
      <c r="P401" s="382"/>
      <c r="Q401" s="382"/>
      <c r="R401" s="382"/>
      <c r="S401" s="382"/>
      <c r="T401" s="382"/>
      <c r="U401" s="382"/>
      <c r="V401" s="382"/>
      <c r="W401" s="382"/>
      <c r="X401" s="382"/>
    </row>
    <row r="402" spans="2:24">
      <c r="B402" s="637"/>
      <c r="C402" s="637"/>
      <c r="D402" s="637"/>
      <c r="E402" s="639"/>
      <c r="F402" s="639"/>
      <c r="G402" s="639"/>
      <c r="H402" s="637"/>
      <c r="I402" s="637"/>
      <c r="J402" s="637"/>
      <c r="K402" s="641"/>
      <c r="L402" s="641"/>
      <c r="M402" s="641"/>
      <c r="N402" s="665"/>
      <c r="O402" s="382"/>
      <c r="P402" s="382"/>
      <c r="Q402" s="382"/>
      <c r="R402" s="382"/>
      <c r="S402" s="382"/>
      <c r="T402" s="382"/>
      <c r="U402" s="382"/>
      <c r="V402" s="382"/>
      <c r="W402" s="382"/>
      <c r="X402" s="382"/>
    </row>
    <row r="403" spans="2:24">
      <c r="B403" s="637"/>
      <c r="C403" s="637"/>
      <c r="D403" s="637"/>
      <c r="E403" s="639"/>
      <c r="F403" s="639"/>
      <c r="G403" s="639"/>
      <c r="H403" s="637"/>
      <c r="I403" s="637"/>
      <c r="J403" s="637"/>
      <c r="K403" s="641"/>
      <c r="L403" s="641"/>
      <c r="M403" s="641"/>
      <c r="N403" s="665"/>
      <c r="O403" s="382"/>
      <c r="P403" s="382"/>
      <c r="Q403" s="382"/>
      <c r="R403" s="382"/>
      <c r="S403" s="382"/>
      <c r="T403" s="382"/>
      <c r="U403" s="382"/>
      <c r="V403" s="382"/>
      <c r="W403" s="382"/>
      <c r="X403" s="382"/>
    </row>
    <row r="404" spans="2:24">
      <c r="B404" s="637"/>
      <c r="C404" s="637"/>
      <c r="D404" s="637"/>
      <c r="E404" s="639"/>
      <c r="F404" s="639"/>
      <c r="G404" s="639"/>
      <c r="H404" s="637"/>
      <c r="I404" s="637"/>
      <c r="J404" s="637"/>
      <c r="K404" s="641"/>
      <c r="L404" s="641"/>
      <c r="M404" s="641"/>
      <c r="N404" s="665"/>
      <c r="O404" s="382"/>
      <c r="P404" s="382"/>
      <c r="Q404" s="382"/>
      <c r="R404" s="382"/>
      <c r="S404" s="382"/>
      <c r="T404" s="382"/>
      <c r="U404" s="382"/>
      <c r="V404" s="382"/>
      <c r="W404" s="382"/>
      <c r="X404" s="382"/>
    </row>
    <row r="405" spans="2:24">
      <c r="B405" s="637"/>
      <c r="C405" s="637"/>
      <c r="D405" s="637"/>
      <c r="E405" s="639"/>
      <c r="F405" s="639"/>
      <c r="G405" s="639"/>
      <c r="H405" s="637"/>
      <c r="I405" s="637"/>
      <c r="J405" s="637"/>
      <c r="K405" s="641"/>
      <c r="L405" s="641"/>
      <c r="M405" s="641"/>
      <c r="N405" s="665"/>
      <c r="O405" s="382"/>
      <c r="P405" s="382"/>
      <c r="Q405" s="382"/>
      <c r="R405" s="382"/>
      <c r="S405" s="382"/>
      <c r="T405" s="382"/>
      <c r="U405" s="382"/>
      <c r="V405" s="382"/>
      <c r="W405" s="382"/>
      <c r="X405" s="382"/>
    </row>
    <row r="406" spans="2:24">
      <c r="B406" s="637"/>
      <c r="C406" s="637"/>
      <c r="D406" s="637"/>
      <c r="E406" s="639"/>
      <c r="F406" s="639"/>
      <c r="G406" s="639"/>
      <c r="H406" s="637"/>
      <c r="I406" s="637"/>
      <c r="J406" s="637"/>
      <c r="K406" s="641"/>
      <c r="L406" s="641"/>
      <c r="M406" s="641"/>
      <c r="N406" s="665"/>
      <c r="O406" s="382"/>
      <c r="P406" s="382"/>
      <c r="Q406" s="382"/>
      <c r="R406" s="382"/>
      <c r="S406" s="382"/>
      <c r="T406" s="382"/>
      <c r="U406" s="382"/>
      <c r="V406" s="382"/>
      <c r="W406" s="382"/>
      <c r="X406" s="382"/>
    </row>
    <row r="407" spans="2:24">
      <c r="B407" s="637"/>
      <c r="C407" s="637"/>
      <c r="D407" s="637"/>
      <c r="E407" s="639"/>
      <c r="F407" s="639"/>
      <c r="G407" s="639"/>
      <c r="H407" s="637"/>
      <c r="I407" s="637"/>
      <c r="J407" s="637"/>
      <c r="K407" s="641"/>
      <c r="L407" s="641"/>
      <c r="M407" s="641"/>
      <c r="N407" s="665"/>
      <c r="O407" s="382"/>
      <c r="P407" s="382"/>
      <c r="Q407" s="382"/>
      <c r="R407" s="382"/>
      <c r="S407" s="382"/>
      <c r="T407" s="382"/>
      <c r="U407" s="382"/>
      <c r="V407" s="382"/>
      <c r="W407" s="382"/>
      <c r="X407" s="382"/>
    </row>
    <row r="408" spans="2:24">
      <c r="B408" s="637"/>
      <c r="C408" s="637"/>
      <c r="D408" s="637"/>
      <c r="E408" s="639"/>
      <c r="F408" s="639"/>
      <c r="G408" s="639"/>
      <c r="H408" s="637"/>
      <c r="I408" s="637"/>
      <c r="J408" s="637"/>
      <c r="K408" s="641"/>
      <c r="L408" s="641"/>
      <c r="M408" s="641"/>
      <c r="N408" s="665"/>
      <c r="O408" s="382"/>
      <c r="P408" s="382"/>
      <c r="Q408" s="382"/>
      <c r="R408" s="382"/>
      <c r="S408" s="382"/>
      <c r="T408" s="382"/>
      <c r="U408" s="382"/>
      <c r="V408" s="382"/>
      <c r="W408" s="382"/>
      <c r="X408" s="382"/>
    </row>
    <row r="409" spans="2:24">
      <c r="B409" s="637"/>
      <c r="C409" s="637"/>
      <c r="D409" s="637"/>
      <c r="E409" s="639"/>
      <c r="F409" s="639"/>
      <c r="G409" s="639"/>
      <c r="H409" s="637"/>
      <c r="I409" s="637"/>
      <c r="J409" s="637"/>
      <c r="K409" s="641"/>
      <c r="L409" s="641"/>
      <c r="M409" s="641"/>
      <c r="N409" s="665"/>
      <c r="O409" s="382"/>
      <c r="P409" s="382"/>
      <c r="Q409" s="382"/>
      <c r="R409" s="382"/>
      <c r="S409" s="382"/>
      <c r="T409" s="382"/>
      <c r="U409" s="382"/>
      <c r="V409" s="382"/>
      <c r="W409" s="382"/>
      <c r="X409" s="382"/>
    </row>
    <row r="410" spans="2:24">
      <c r="B410" s="637"/>
      <c r="C410" s="637"/>
      <c r="D410" s="637"/>
      <c r="E410" s="639"/>
      <c r="F410" s="639"/>
      <c r="G410" s="639"/>
      <c r="H410" s="637"/>
      <c r="I410" s="637"/>
      <c r="J410" s="637"/>
      <c r="K410" s="641"/>
      <c r="L410" s="641"/>
      <c r="M410" s="641"/>
      <c r="N410" s="665"/>
      <c r="O410" s="382"/>
      <c r="P410" s="382"/>
      <c r="Q410" s="382"/>
      <c r="R410" s="382"/>
      <c r="S410" s="382"/>
      <c r="T410" s="382"/>
      <c r="U410" s="382"/>
      <c r="V410" s="382"/>
      <c r="W410" s="382"/>
      <c r="X410" s="382"/>
    </row>
    <row r="411" spans="2:24">
      <c r="B411" s="637"/>
      <c r="C411" s="637"/>
      <c r="D411" s="637"/>
      <c r="E411" s="639"/>
      <c r="F411" s="639"/>
      <c r="G411" s="639"/>
      <c r="H411" s="637"/>
      <c r="I411" s="637"/>
      <c r="J411" s="637"/>
      <c r="K411" s="641"/>
      <c r="L411" s="641"/>
      <c r="M411" s="641"/>
      <c r="N411" s="665"/>
      <c r="O411" s="382"/>
      <c r="P411" s="382"/>
      <c r="Q411" s="382"/>
      <c r="R411" s="382"/>
      <c r="S411" s="382"/>
      <c r="T411" s="382"/>
      <c r="U411" s="382"/>
      <c r="V411" s="382"/>
      <c r="W411" s="382"/>
      <c r="X411" s="382"/>
    </row>
    <row r="412" spans="2:24">
      <c r="B412" s="637"/>
      <c r="C412" s="637"/>
      <c r="D412" s="637"/>
      <c r="E412" s="639"/>
      <c r="F412" s="639"/>
      <c r="G412" s="639"/>
      <c r="H412" s="637"/>
      <c r="I412" s="637"/>
      <c r="J412" s="637"/>
      <c r="K412" s="641"/>
      <c r="L412" s="641"/>
      <c r="M412" s="641"/>
      <c r="N412" s="665"/>
      <c r="O412" s="382"/>
      <c r="P412" s="382"/>
      <c r="Q412" s="382"/>
      <c r="R412" s="382"/>
      <c r="S412" s="382"/>
      <c r="T412" s="382"/>
      <c r="U412" s="382"/>
      <c r="V412" s="382"/>
      <c r="W412" s="382"/>
      <c r="X412" s="382"/>
    </row>
    <row r="413" spans="2:24">
      <c r="B413" s="637"/>
      <c r="C413" s="637"/>
      <c r="D413" s="637"/>
      <c r="E413" s="639"/>
      <c r="F413" s="639"/>
      <c r="G413" s="639"/>
      <c r="H413" s="637"/>
      <c r="I413" s="637"/>
      <c r="J413" s="637"/>
      <c r="K413" s="641"/>
      <c r="L413" s="641"/>
      <c r="M413" s="641"/>
      <c r="N413" s="665"/>
      <c r="O413" s="382"/>
      <c r="P413" s="382"/>
      <c r="Q413" s="382"/>
      <c r="R413" s="382"/>
      <c r="S413" s="382"/>
      <c r="T413" s="382"/>
      <c r="U413" s="382"/>
      <c r="V413" s="382"/>
      <c r="W413" s="382"/>
      <c r="X413" s="382"/>
    </row>
    <row r="414" spans="2:24">
      <c r="B414" s="637"/>
      <c r="C414" s="637"/>
      <c r="D414" s="637"/>
      <c r="E414" s="639"/>
      <c r="F414" s="639"/>
      <c r="G414" s="639"/>
      <c r="H414" s="637"/>
      <c r="I414" s="637"/>
      <c r="J414" s="637"/>
      <c r="K414" s="641"/>
      <c r="L414" s="641"/>
      <c r="M414" s="641"/>
      <c r="N414" s="665"/>
      <c r="O414" s="382"/>
      <c r="P414" s="382"/>
      <c r="Q414" s="382"/>
      <c r="R414" s="382"/>
      <c r="S414" s="382"/>
      <c r="T414" s="382"/>
      <c r="U414" s="382"/>
      <c r="V414" s="382"/>
      <c r="W414" s="382"/>
      <c r="X414" s="382"/>
    </row>
    <row r="415" spans="2:24">
      <c r="B415" s="637"/>
      <c r="C415" s="637"/>
      <c r="D415" s="637"/>
      <c r="E415" s="639"/>
      <c r="F415" s="639"/>
      <c r="G415" s="639"/>
      <c r="H415" s="637"/>
      <c r="I415" s="637"/>
      <c r="J415" s="637"/>
      <c r="K415" s="641"/>
      <c r="L415" s="641"/>
      <c r="M415" s="641"/>
      <c r="N415" s="665"/>
      <c r="O415" s="382"/>
      <c r="P415" s="382"/>
      <c r="Q415" s="382"/>
      <c r="R415" s="382"/>
      <c r="S415" s="382"/>
      <c r="T415" s="382"/>
      <c r="U415" s="382"/>
      <c r="V415" s="382"/>
      <c r="W415" s="382"/>
      <c r="X415" s="382"/>
    </row>
    <row r="416" spans="2:24">
      <c r="B416" s="637"/>
      <c r="C416" s="637"/>
      <c r="D416" s="637"/>
      <c r="E416" s="639"/>
      <c r="F416" s="639"/>
      <c r="G416" s="639"/>
      <c r="H416" s="637"/>
      <c r="I416" s="637"/>
      <c r="J416" s="637"/>
      <c r="K416" s="641"/>
      <c r="L416" s="641"/>
      <c r="M416" s="641"/>
      <c r="N416" s="665"/>
      <c r="O416" s="382"/>
      <c r="P416" s="382"/>
      <c r="Q416" s="382"/>
      <c r="R416" s="382"/>
      <c r="S416" s="382"/>
      <c r="T416" s="382"/>
      <c r="U416" s="382"/>
      <c r="V416" s="382"/>
      <c r="W416" s="382"/>
      <c r="X416" s="382"/>
    </row>
    <row r="417" spans="2:24">
      <c r="B417" s="637"/>
      <c r="C417" s="637"/>
      <c r="D417" s="637"/>
      <c r="E417" s="639"/>
      <c r="F417" s="639"/>
      <c r="G417" s="639"/>
      <c r="H417" s="637"/>
      <c r="I417" s="637"/>
      <c r="J417" s="637"/>
      <c r="K417" s="641"/>
      <c r="L417" s="641"/>
      <c r="M417" s="641"/>
      <c r="N417" s="665"/>
      <c r="O417" s="382"/>
      <c r="P417" s="382"/>
      <c r="Q417" s="382"/>
      <c r="R417" s="382"/>
      <c r="S417" s="382"/>
      <c r="T417" s="382"/>
      <c r="U417" s="382"/>
      <c r="V417" s="382"/>
      <c r="W417" s="382"/>
      <c r="X417" s="382"/>
    </row>
    <row r="418" spans="2:24">
      <c r="B418" s="637"/>
      <c r="C418" s="637"/>
      <c r="D418" s="637"/>
      <c r="E418" s="639"/>
      <c r="F418" s="639"/>
      <c r="G418" s="639"/>
      <c r="H418" s="637"/>
      <c r="I418" s="637"/>
      <c r="J418" s="637"/>
      <c r="K418" s="641"/>
      <c r="L418" s="641"/>
      <c r="M418" s="641"/>
      <c r="N418" s="665"/>
      <c r="O418" s="382"/>
      <c r="P418" s="382"/>
      <c r="Q418" s="382"/>
      <c r="R418" s="382"/>
      <c r="S418" s="382"/>
      <c r="T418" s="382"/>
      <c r="U418" s="382"/>
      <c r="V418" s="382"/>
      <c r="W418" s="382"/>
      <c r="X418" s="382"/>
    </row>
    <row r="419" spans="2:24">
      <c r="B419" s="637"/>
      <c r="C419" s="637"/>
      <c r="D419" s="637"/>
      <c r="E419" s="639"/>
      <c r="F419" s="639"/>
      <c r="G419" s="639"/>
      <c r="H419" s="637"/>
      <c r="I419" s="637"/>
      <c r="J419" s="637"/>
      <c r="K419" s="641"/>
      <c r="L419" s="641"/>
      <c r="M419" s="641"/>
      <c r="N419" s="665"/>
      <c r="O419" s="382"/>
      <c r="P419" s="382"/>
      <c r="Q419" s="382"/>
      <c r="R419" s="382"/>
      <c r="S419" s="382"/>
      <c r="T419" s="382"/>
      <c r="U419" s="382"/>
      <c r="V419" s="382"/>
      <c r="W419" s="382"/>
      <c r="X419" s="382"/>
    </row>
    <row r="420" spans="2:24">
      <c r="B420" s="637"/>
      <c r="C420" s="637"/>
      <c r="D420" s="637"/>
      <c r="E420" s="639"/>
      <c r="F420" s="639"/>
      <c r="G420" s="639"/>
      <c r="H420" s="637"/>
      <c r="I420" s="637"/>
      <c r="J420" s="637"/>
      <c r="K420" s="641"/>
      <c r="L420" s="641"/>
      <c r="M420" s="641"/>
      <c r="N420" s="665"/>
      <c r="O420" s="382"/>
      <c r="P420" s="382"/>
      <c r="Q420" s="382"/>
      <c r="R420" s="382"/>
      <c r="S420" s="382"/>
      <c r="T420" s="382"/>
      <c r="U420" s="382"/>
      <c r="V420" s="382"/>
      <c r="W420" s="382"/>
      <c r="X420" s="382"/>
    </row>
    <row r="421" spans="2:24">
      <c r="B421" s="637"/>
      <c r="C421" s="637"/>
      <c r="D421" s="637"/>
      <c r="E421" s="639"/>
      <c r="F421" s="639"/>
      <c r="G421" s="639"/>
      <c r="H421" s="637"/>
      <c r="I421" s="637"/>
      <c r="J421" s="637"/>
      <c r="K421" s="641"/>
      <c r="L421" s="641"/>
      <c r="M421" s="641"/>
      <c r="N421" s="665"/>
      <c r="O421" s="382"/>
      <c r="P421" s="382"/>
      <c r="Q421" s="382"/>
      <c r="R421" s="382"/>
      <c r="S421" s="382"/>
      <c r="T421" s="382"/>
      <c r="U421" s="382"/>
      <c r="V421" s="382"/>
      <c r="W421" s="382"/>
      <c r="X421" s="382"/>
    </row>
    <row r="422" spans="2:24">
      <c r="B422" s="637"/>
      <c r="C422" s="637"/>
      <c r="D422" s="637"/>
      <c r="E422" s="639"/>
      <c r="F422" s="639"/>
      <c r="G422" s="639"/>
      <c r="H422" s="637"/>
      <c r="I422" s="637"/>
      <c r="J422" s="637"/>
      <c r="K422" s="641"/>
      <c r="L422" s="641"/>
      <c r="M422" s="641"/>
      <c r="N422" s="665"/>
      <c r="O422" s="382"/>
      <c r="P422" s="382"/>
      <c r="Q422" s="382"/>
      <c r="R422" s="382"/>
      <c r="S422" s="382"/>
      <c r="T422" s="382"/>
      <c r="U422" s="382"/>
      <c r="V422" s="382"/>
      <c r="W422" s="382"/>
      <c r="X422" s="382"/>
    </row>
    <row r="423" spans="2:24">
      <c r="B423" s="637"/>
      <c r="C423" s="637"/>
      <c r="D423" s="637"/>
      <c r="E423" s="639"/>
      <c r="F423" s="639"/>
      <c r="G423" s="639"/>
      <c r="H423" s="637"/>
      <c r="I423" s="637"/>
      <c r="J423" s="637"/>
      <c r="K423" s="641"/>
      <c r="L423" s="641"/>
      <c r="M423" s="641"/>
      <c r="N423" s="665"/>
      <c r="O423" s="382"/>
      <c r="P423" s="382"/>
      <c r="Q423" s="382"/>
      <c r="R423" s="382"/>
      <c r="S423" s="382"/>
      <c r="T423" s="382"/>
      <c r="U423" s="382"/>
      <c r="V423" s="382"/>
      <c r="W423" s="382"/>
      <c r="X423" s="382"/>
    </row>
    <row r="424" spans="2:24">
      <c r="B424" s="637"/>
      <c r="C424" s="637"/>
      <c r="D424" s="637"/>
      <c r="E424" s="639"/>
      <c r="F424" s="639"/>
      <c r="G424" s="639"/>
      <c r="H424" s="637"/>
      <c r="I424" s="637"/>
      <c r="J424" s="637"/>
      <c r="K424" s="641"/>
      <c r="L424" s="641"/>
      <c r="M424" s="641"/>
      <c r="N424" s="665"/>
      <c r="O424" s="382"/>
      <c r="P424" s="382"/>
      <c r="Q424" s="382"/>
      <c r="R424" s="382"/>
      <c r="S424" s="382"/>
      <c r="T424" s="382"/>
      <c r="U424" s="382"/>
      <c r="V424" s="382"/>
      <c r="W424" s="382"/>
      <c r="X424" s="382"/>
    </row>
    <row r="425" spans="2:24">
      <c r="B425" s="637"/>
      <c r="C425" s="637"/>
      <c r="D425" s="637"/>
      <c r="E425" s="639"/>
      <c r="F425" s="639"/>
      <c r="G425" s="639"/>
      <c r="H425" s="637"/>
      <c r="I425" s="637"/>
      <c r="J425" s="637"/>
      <c r="K425" s="641"/>
      <c r="L425" s="641"/>
      <c r="M425" s="641"/>
      <c r="N425" s="665"/>
      <c r="O425" s="382"/>
      <c r="P425" s="382"/>
      <c r="Q425" s="382"/>
      <c r="R425" s="382"/>
      <c r="S425" s="382"/>
      <c r="T425" s="382"/>
      <c r="U425" s="382"/>
      <c r="V425" s="382"/>
      <c r="W425" s="382"/>
      <c r="X425" s="382"/>
    </row>
    <row r="426" spans="2:24">
      <c r="B426" s="637"/>
      <c r="C426" s="637"/>
      <c r="D426" s="637"/>
      <c r="E426" s="639"/>
      <c r="F426" s="639"/>
      <c r="G426" s="639"/>
      <c r="H426" s="637"/>
      <c r="I426" s="637"/>
      <c r="J426" s="637"/>
      <c r="K426" s="641"/>
      <c r="L426" s="641"/>
      <c r="M426" s="641"/>
      <c r="N426" s="665"/>
      <c r="O426" s="382"/>
      <c r="P426" s="382"/>
      <c r="Q426" s="382"/>
      <c r="R426" s="382"/>
      <c r="S426" s="382"/>
      <c r="T426" s="382"/>
      <c r="U426" s="382"/>
      <c r="V426" s="382"/>
      <c r="W426" s="382"/>
      <c r="X426" s="382"/>
    </row>
    <row r="427" spans="2:24">
      <c r="B427" s="637"/>
      <c r="C427" s="637"/>
      <c r="D427" s="637"/>
      <c r="E427" s="639"/>
      <c r="F427" s="639"/>
      <c r="G427" s="639"/>
      <c r="H427" s="637"/>
      <c r="I427" s="637"/>
      <c r="J427" s="637"/>
      <c r="K427" s="641"/>
      <c r="L427" s="641"/>
      <c r="M427" s="641"/>
      <c r="N427" s="665"/>
      <c r="O427" s="382"/>
      <c r="P427" s="382"/>
      <c r="Q427" s="382"/>
      <c r="R427" s="382"/>
      <c r="S427" s="382"/>
      <c r="T427" s="382"/>
      <c r="U427" s="382"/>
      <c r="V427" s="382"/>
      <c r="W427" s="382"/>
      <c r="X427" s="382"/>
    </row>
    <row r="428" spans="2:24">
      <c r="B428" s="637"/>
      <c r="C428" s="637"/>
      <c r="D428" s="637"/>
      <c r="E428" s="639"/>
      <c r="F428" s="639"/>
      <c r="G428" s="639"/>
      <c r="H428" s="637"/>
      <c r="I428" s="637"/>
      <c r="J428" s="637"/>
      <c r="K428" s="641"/>
      <c r="L428" s="641"/>
      <c r="M428" s="641"/>
      <c r="N428" s="665"/>
      <c r="O428" s="382"/>
      <c r="P428" s="382"/>
      <c r="Q428" s="382"/>
      <c r="R428" s="382"/>
      <c r="S428" s="382"/>
      <c r="T428" s="382"/>
      <c r="U428" s="382"/>
      <c r="V428" s="382"/>
      <c r="W428" s="382"/>
      <c r="X428" s="382"/>
    </row>
    <row r="429" spans="2:24">
      <c r="B429" s="637"/>
      <c r="C429" s="637"/>
      <c r="D429" s="637"/>
      <c r="E429" s="639"/>
      <c r="F429" s="639"/>
      <c r="G429" s="639"/>
      <c r="H429" s="637"/>
      <c r="I429" s="637"/>
      <c r="J429" s="637"/>
      <c r="K429" s="641"/>
      <c r="L429" s="641"/>
      <c r="M429" s="641"/>
      <c r="N429" s="665"/>
      <c r="O429" s="382"/>
      <c r="P429" s="382"/>
      <c r="Q429" s="382"/>
      <c r="R429" s="382"/>
      <c r="S429" s="382"/>
      <c r="T429" s="382"/>
      <c r="U429" s="382"/>
      <c r="V429" s="382"/>
      <c r="W429" s="382"/>
      <c r="X429" s="382"/>
    </row>
    <row r="430" spans="2:24">
      <c r="B430" s="637"/>
      <c r="C430" s="637"/>
      <c r="D430" s="637"/>
      <c r="E430" s="639"/>
      <c r="F430" s="639"/>
      <c r="G430" s="639"/>
      <c r="H430" s="637"/>
      <c r="I430" s="637"/>
      <c r="J430" s="637"/>
      <c r="K430" s="641"/>
      <c r="L430" s="641"/>
      <c r="M430" s="641"/>
      <c r="N430" s="665"/>
      <c r="O430" s="382"/>
      <c r="P430" s="382"/>
      <c r="Q430" s="382"/>
      <c r="R430" s="382"/>
      <c r="S430" s="382"/>
      <c r="T430" s="382"/>
      <c r="U430" s="382"/>
      <c r="V430" s="382"/>
      <c r="W430" s="382"/>
      <c r="X430" s="382"/>
    </row>
    <row r="431" spans="2:24">
      <c r="B431" s="637"/>
      <c r="C431" s="637"/>
      <c r="D431" s="637"/>
      <c r="E431" s="639"/>
      <c r="F431" s="639"/>
      <c r="G431" s="639"/>
      <c r="H431" s="637"/>
      <c r="I431" s="637"/>
      <c r="J431" s="637"/>
      <c r="K431" s="641"/>
      <c r="L431" s="641"/>
      <c r="M431" s="641"/>
      <c r="N431" s="665"/>
      <c r="O431" s="382"/>
      <c r="P431" s="382"/>
      <c r="Q431" s="382"/>
      <c r="R431" s="382"/>
      <c r="S431" s="382"/>
      <c r="T431" s="382"/>
      <c r="U431" s="382"/>
      <c r="V431" s="382"/>
      <c r="W431" s="382"/>
      <c r="X431" s="382"/>
    </row>
    <row r="432" spans="2:24">
      <c r="B432" s="637"/>
      <c r="C432" s="637"/>
      <c r="D432" s="637"/>
      <c r="E432" s="639"/>
      <c r="F432" s="639"/>
      <c r="G432" s="639"/>
      <c r="H432" s="637"/>
      <c r="I432" s="637"/>
      <c r="J432" s="637"/>
      <c r="K432" s="641"/>
      <c r="L432" s="641"/>
      <c r="M432" s="641"/>
      <c r="N432" s="665"/>
      <c r="O432" s="382"/>
      <c r="P432" s="382"/>
      <c r="Q432" s="382"/>
      <c r="R432" s="382"/>
      <c r="S432" s="382"/>
      <c r="T432" s="382"/>
      <c r="U432" s="382"/>
      <c r="V432" s="382"/>
      <c r="W432" s="382"/>
      <c r="X432" s="382"/>
    </row>
    <row r="433" spans="2:24">
      <c r="B433" s="637"/>
      <c r="C433" s="637"/>
      <c r="D433" s="637"/>
      <c r="E433" s="639"/>
      <c r="F433" s="639"/>
      <c r="G433" s="639"/>
      <c r="H433" s="637"/>
      <c r="I433" s="637"/>
      <c r="J433" s="637"/>
      <c r="K433" s="641"/>
      <c r="L433" s="641"/>
      <c r="M433" s="641"/>
      <c r="N433" s="665"/>
      <c r="O433" s="382"/>
      <c r="P433" s="382"/>
      <c r="Q433" s="382"/>
      <c r="R433" s="382"/>
      <c r="S433" s="382"/>
      <c r="T433" s="382"/>
      <c r="U433" s="382"/>
      <c r="V433" s="382"/>
      <c r="W433" s="382"/>
      <c r="X433" s="382"/>
    </row>
    <row r="434" spans="2:24">
      <c r="B434" s="637"/>
      <c r="C434" s="637"/>
      <c r="D434" s="637"/>
      <c r="E434" s="639"/>
      <c r="F434" s="639"/>
      <c r="G434" s="639"/>
      <c r="H434" s="637"/>
      <c r="I434" s="637"/>
      <c r="J434" s="637"/>
      <c r="K434" s="641"/>
      <c r="L434" s="641"/>
      <c r="M434" s="641"/>
      <c r="N434" s="665"/>
      <c r="O434" s="382"/>
      <c r="P434" s="382"/>
      <c r="Q434" s="382"/>
      <c r="R434" s="382"/>
      <c r="S434" s="382"/>
      <c r="T434" s="382"/>
      <c r="U434" s="382"/>
      <c r="V434" s="382"/>
      <c r="W434" s="382"/>
      <c r="X434" s="382"/>
    </row>
    <row r="435" spans="2:24">
      <c r="B435" s="637"/>
      <c r="C435" s="637"/>
      <c r="D435" s="637"/>
      <c r="E435" s="639"/>
      <c r="F435" s="639"/>
      <c r="G435" s="639"/>
      <c r="H435" s="637"/>
      <c r="I435" s="637"/>
      <c r="J435" s="637"/>
      <c r="K435" s="641"/>
      <c r="L435" s="641"/>
      <c r="M435" s="641"/>
      <c r="N435" s="665"/>
      <c r="O435" s="382"/>
      <c r="P435" s="382"/>
      <c r="Q435" s="382"/>
      <c r="R435" s="382"/>
      <c r="S435" s="382"/>
      <c r="T435" s="382"/>
      <c r="U435" s="382"/>
      <c r="V435" s="382"/>
      <c r="W435" s="382"/>
      <c r="X435" s="382"/>
    </row>
    <row r="436" spans="2:24">
      <c r="B436" s="637"/>
      <c r="C436" s="637"/>
      <c r="D436" s="637"/>
      <c r="E436" s="639"/>
      <c r="F436" s="639"/>
      <c r="G436" s="639"/>
      <c r="H436" s="637"/>
      <c r="I436" s="637"/>
      <c r="J436" s="637"/>
      <c r="K436" s="641"/>
      <c r="L436" s="641"/>
      <c r="M436" s="641"/>
      <c r="N436" s="665"/>
      <c r="O436" s="382"/>
      <c r="P436" s="382"/>
      <c r="Q436" s="382"/>
      <c r="R436" s="382"/>
      <c r="S436" s="382"/>
      <c r="T436" s="382"/>
      <c r="U436" s="382"/>
      <c r="V436" s="382"/>
      <c r="W436" s="382"/>
      <c r="X436" s="382"/>
    </row>
    <row r="437" spans="2:24">
      <c r="B437" s="637"/>
      <c r="C437" s="637"/>
      <c r="D437" s="637"/>
      <c r="E437" s="639"/>
      <c r="F437" s="639"/>
      <c r="G437" s="639"/>
      <c r="H437" s="637"/>
      <c r="I437" s="637"/>
      <c r="J437" s="637"/>
      <c r="K437" s="641"/>
      <c r="L437" s="641"/>
      <c r="M437" s="641"/>
      <c r="N437" s="665"/>
      <c r="O437" s="382"/>
      <c r="P437" s="382"/>
      <c r="Q437" s="382"/>
      <c r="R437" s="382"/>
      <c r="S437" s="382"/>
      <c r="T437" s="382"/>
      <c r="U437" s="382"/>
      <c r="V437" s="382"/>
      <c r="W437" s="382"/>
      <c r="X437" s="382"/>
    </row>
    <row r="438" spans="2:24">
      <c r="B438" s="637"/>
      <c r="C438" s="637"/>
      <c r="D438" s="637"/>
      <c r="E438" s="639"/>
      <c r="F438" s="639"/>
      <c r="G438" s="639"/>
      <c r="H438" s="637"/>
      <c r="I438" s="637"/>
      <c r="J438" s="637"/>
      <c r="K438" s="641"/>
      <c r="L438" s="641"/>
      <c r="M438" s="641"/>
      <c r="N438" s="665"/>
      <c r="O438" s="382"/>
      <c r="P438" s="382"/>
      <c r="Q438" s="382"/>
      <c r="R438" s="382"/>
      <c r="S438" s="382"/>
      <c r="T438" s="382"/>
      <c r="U438" s="382"/>
      <c r="V438" s="382"/>
      <c r="W438" s="382"/>
      <c r="X438" s="382"/>
    </row>
    <row r="439" spans="2:24">
      <c r="B439" s="637"/>
      <c r="C439" s="637"/>
      <c r="D439" s="637"/>
      <c r="E439" s="639"/>
      <c r="F439" s="639"/>
      <c r="G439" s="639"/>
      <c r="H439" s="637"/>
      <c r="I439" s="637"/>
      <c r="J439" s="637"/>
      <c r="K439" s="641"/>
      <c r="L439" s="641"/>
      <c r="M439" s="641"/>
      <c r="N439" s="665"/>
      <c r="O439" s="382"/>
      <c r="P439" s="382"/>
      <c r="Q439" s="382"/>
      <c r="R439" s="382"/>
      <c r="S439" s="382"/>
      <c r="T439" s="382"/>
      <c r="U439" s="382"/>
      <c r="V439" s="382"/>
      <c r="W439" s="382"/>
      <c r="X439" s="382"/>
    </row>
    <row r="440" spans="2:24">
      <c r="B440" s="637"/>
      <c r="C440" s="637"/>
      <c r="D440" s="637"/>
      <c r="E440" s="639"/>
      <c r="F440" s="639"/>
      <c r="G440" s="639"/>
      <c r="H440" s="637"/>
      <c r="I440" s="637"/>
      <c r="J440" s="637"/>
      <c r="K440" s="641"/>
      <c r="L440" s="641"/>
      <c r="M440" s="641"/>
      <c r="N440" s="665"/>
      <c r="O440" s="382"/>
      <c r="P440" s="382"/>
      <c r="Q440" s="382"/>
      <c r="R440" s="382"/>
      <c r="S440" s="382"/>
      <c r="T440" s="382"/>
      <c r="U440" s="382"/>
      <c r="V440" s="382"/>
      <c r="W440" s="382"/>
      <c r="X440" s="382"/>
    </row>
    <row r="441" spans="2:24">
      <c r="B441" s="637"/>
      <c r="C441" s="637"/>
      <c r="D441" s="637"/>
      <c r="E441" s="639"/>
      <c r="F441" s="639"/>
      <c r="G441" s="639"/>
      <c r="H441" s="637"/>
      <c r="I441" s="637"/>
      <c r="J441" s="637"/>
      <c r="K441" s="641"/>
      <c r="L441" s="641"/>
      <c r="M441" s="641"/>
      <c r="N441" s="665"/>
      <c r="O441" s="382"/>
      <c r="P441" s="382"/>
      <c r="Q441" s="382"/>
      <c r="R441" s="382"/>
      <c r="S441" s="382"/>
      <c r="T441" s="382"/>
      <c r="U441" s="382"/>
      <c r="V441" s="382"/>
      <c r="W441" s="382"/>
      <c r="X441" s="382"/>
    </row>
    <row r="442" spans="2:24">
      <c r="B442" s="637"/>
      <c r="C442" s="637"/>
      <c r="D442" s="637"/>
      <c r="E442" s="639"/>
      <c r="F442" s="639"/>
      <c r="G442" s="639"/>
      <c r="H442" s="637"/>
      <c r="I442" s="637"/>
      <c r="J442" s="637"/>
      <c r="K442" s="641"/>
      <c r="L442" s="641"/>
      <c r="M442" s="641"/>
      <c r="N442" s="665"/>
      <c r="O442" s="382"/>
      <c r="P442" s="382"/>
      <c r="Q442" s="382"/>
      <c r="R442" s="382"/>
      <c r="S442" s="382"/>
      <c r="T442" s="382"/>
      <c r="U442" s="382"/>
      <c r="V442" s="382"/>
      <c r="W442" s="382"/>
      <c r="X442" s="382"/>
    </row>
    <row r="443" spans="2:24">
      <c r="B443" s="637"/>
      <c r="C443" s="637"/>
      <c r="D443" s="637"/>
      <c r="E443" s="639"/>
      <c r="F443" s="639"/>
      <c r="G443" s="639"/>
      <c r="H443" s="637"/>
      <c r="I443" s="637"/>
      <c r="J443" s="637"/>
      <c r="K443" s="641"/>
      <c r="L443" s="641"/>
      <c r="M443" s="641"/>
      <c r="N443" s="665"/>
      <c r="O443" s="382"/>
      <c r="P443" s="382"/>
      <c r="Q443" s="382"/>
      <c r="R443" s="382"/>
      <c r="S443" s="382"/>
      <c r="T443" s="382"/>
      <c r="U443" s="382"/>
      <c r="V443" s="382"/>
      <c r="W443" s="382"/>
      <c r="X443" s="382"/>
    </row>
    <row r="444" spans="2:24">
      <c r="B444" s="637"/>
      <c r="C444" s="637"/>
      <c r="D444" s="637"/>
      <c r="E444" s="639"/>
      <c r="F444" s="639"/>
      <c r="G444" s="639"/>
      <c r="H444" s="637"/>
      <c r="I444" s="637"/>
      <c r="J444" s="637"/>
      <c r="K444" s="641"/>
      <c r="L444" s="641"/>
      <c r="M444" s="641"/>
      <c r="N444" s="665"/>
      <c r="O444" s="382"/>
      <c r="P444" s="382"/>
      <c r="Q444" s="382"/>
      <c r="R444" s="382"/>
      <c r="S444" s="382"/>
      <c r="T444" s="382"/>
      <c r="U444" s="382"/>
      <c r="V444" s="382"/>
      <c r="W444" s="382"/>
      <c r="X444" s="382"/>
    </row>
    <row r="445" spans="2:24">
      <c r="B445" s="637"/>
      <c r="C445" s="637"/>
      <c r="D445" s="637"/>
      <c r="E445" s="639"/>
      <c r="F445" s="639"/>
      <c r="G445" s="639"/>
      <c r="H445" s="637"/>
      <c r="I445" s="637"/>
      <c r="J445" s="637"/>
      <c r="K445" s="641"/>
      <c r="L445" s="641"/>
      <c r="M445" s="641"/>
      <c r="N445" s="665"/>
      <c r="O445" s="382"/>
      <c r="P445" s="382"/>
      <c r="Q445" s="382"/>
      <c r="R445" s="382"/>
      <c r="S445" s="382"/>
      <c r="T445" s="382"/>
      <c r="U445" s="382"/>
      <c r="V445" s="382"/>
      <c r="W445" s="382"/>
      <c r="X445" s="382"/>
    </row>
    <row r="446" spans="2:24">
      <c r="B446" s="637"/>
      <c r="C446" s="637"/>
      <c r="D446" s="637"/>
      <c r="E446" s="639"/>
      <c r="F446" s="639"/>
      <c r="G446" s="639"/>
      <c r="H446" s="637"/>
      <c r="I446" s="637"/>
      <c r="J446" s="637"/>
      <c r="K446" s="641"/>
      <c r="L446" s="641"/>
      <c r="M446" s="641"/>
      <c r="N446" s="665"/>
      <c r="O446" s="382"/>
      <c r="P446" s="382"/>
      <c r="Q446" s="382"/>
      <c r="R446" s="382"/>
      <c r="S446" s="382"/>
      <c r="T446" s="382"/>
      <c r="U446" s="382"/>
      <c r="V446" s="382"/>
      <c r="W446" s="382"/>
      <c r="X446" s="382"/>
    </row>
    <row r="447" spans="2:24">
      <c r="B447" s="637"/>
      <c r="C447" s="637"/>
      <c r="D447" s="637"/>
      <c r="E447" s="639"/>
      <c r="F447" s="639"/>
      <c r="G447" s="639"/>
      <c r="H447" s="637"/>
      <c r="I447" s="637"/>
      <c r="J447" s="637"/>
      <c r="K447" s="641"/>
      <c r="L447" s="641"/>
      <c r="M447" s="641"/>
      <c r="N447" s="665"/>
      <c r="O447" s="382"/>
      <c r="P447" s="382"/>
      <c r="Q447" s="382"/>
      <c r="R447" s="382"/>
      <c r="S447" s="382"/>
      <c r="T447" s="382"/>
      <c r="U447" s="382"/>
      <c r="V447" s="382"/>
      <c r="W447" s="382"/>
      <c r="X447" s="382"/>
    </row>
    <row r="448" spans="2:24">
      <c r="B448" s="637"/>
      <c r="C448" s="637"/>
      <c r="D448" s="637"/>
      <c r="E448" s="639"/>
      <c r="F448" s="639"/>
      <c r="G448" s="639"/>
      <c r="H448" s="637"/>
      <c r="I448" s="637"/>
      <c r="J448" s="637"/>
      <c r="K448" s="641"/>
      <c r="L448" s="641"/>
      <c r="M448" s="641"/>
      <c r="N448" s="665"/>
      <c r="O448" s="382"/>
      <c r="P448" s="382"/>
      <c r="Q448" s="382"/>
      <c r="R448" s="382"/>
      <c r="S448" s="382"/>
      <c r="T448" s="382"/>
      <c r="U448" s="382"/>
      <c r="V448" s="382"/>
      <c r="W448" s="382"/>
      <c r="X448" s="382"/>
    </row>
    <row r="449" spans="2:24">
      <c r="B449" s="637"/>
      <c r="C449" s="637"/>
      <c r="D449" s="637"/>
      <c r="E449" s="639"/>
      <c r="F449" s="639"/>
      <c r="G449" s="639"/>
      <c r="H449" s="637"/>
      <c r="I449" s="637"/>
      <c r="J449" s="637"/>
      <c r="K449" s="641"/>
      <c r="L449" s="641"/>
      <c r="M449" s="641"/>
      <c r="N449" s="665"/>
      <c r="O449" s="382"/>
      <c r="P449" s="382"/>
      <c r="Q449" s="382"/>
      <c r="R449" s="382"/>
      <c r="S449" s="382"/>
      <c r="T449" s="382"/>
      <c r="U449" s="382"/>
      <c r="V449" s="382"/>
      <c r="W449" s="382"/>
      <c r="X449" s="382"/>
    </row>
    <row r="450" spans="2:24">
      <c r="B450" s="637"/>
      <c r="C450" s="637"/>
      <c r="D450" s="637"/>
      <c r="E450" s="639"/>
      <c r="F450" s="639"/>
      <c r="G450" s="639"/>
      <c r="H450" s="637"/>
      <c r="I450" s="637"/>
      <c r="J450" s="637"/>
      <c r="K450" s="641"/>
      <c r="L450" s="641"/>
      <c r="M450" s="641"/>
      <c r="N450" s="665"/>
      <c r="O450" s="382"/>
      <c r="P450" s="382"/>
      <c r="Q450" s="382"/>
      <c r="R450" s="382"/>
      <c r="S450" s="382"/>
      <c r="T450" s="382"/>
      <c r="U450" s="382"/>
      <c r="V450" s="382"/>
      <c r="W450" s="382"/>
      <c r="X450" s="382"/>
    </row>
    <row r="451" spans="2:24">
      <c r="B451" s="637"/>
      <c r="C451" s="637"/>
      <c r="D451" s="637"/>
      <c r="E451" s="639"/>
      <c r="F451" s="639"/>
      <c r="G451" s="639"/>
      <c r="H451" s="637"/>
      <c r="I451" s="637"/>
      <c r="J451" s="637"/>
      <c r="K451" s="641"/>
      <c r="L451" s="641"/>
      <c r="M451" s="641"/>
      <c r="N451" s="665"/>
      <c r="O451" s="382"/>
      <c r="P451" s="382"/>
      <c r="Q451" s="382"/>
      <c r="R451" s="382"/>
      <c r="S451" s="382"/>
      <c r="T451" s="382"/>
      <c r="U451" s="382"/>
      <c r="V451" s="382"/>
      <c r="W451" s="382"/>
      <c r="X451" s="382"/>
    </row>
    <row r="452" spans="2:24">
      <c r="B452" s="637"/>
      <c r="C452" s="637"/>
      <c r="D452" s="637"/>
      <c r="E452" s="639"/>
      <c r="F452" s="639"/>
      <c r="G452" s="639"/>
      <c r="H452" s="637"/>
      <c r="I452" s="637"/>
      <c r="J452" s="637"/>
      <c r="K452" s="641"/>
      <c r="L452" s="641"/>
      <c r="M452" s="641"/>
      <c r="N452" s="665"/>
      <c r="O452" s="382"/>
      <c r="P452" s="382"/>
      <c r="Q452" s="382"/>
      <c r="R452" s="382"/>
      <c r="S452" s="382"/>
      <c r="T452" s="382"/>
      <c r="U452" s="382"/>
      <c r="V452" s="382"/>
      <c r="W452" s="382"/>
      <c r="X452" s="382"/>
    </row>
    <row r="453" spans="2:24">
      <c r="B453" s="637"/>
      <c r="C453" s="637"/>
      <c r="D453" s="637"/>
      <c r="E453" s="639"/>
      <c r="F453" s="639"/>
      <c r="G453" s="639"/>
      <c r="H453" s="637"/>
      <c r="I453" s="637"/>
      <c r="J453" s="637"/>
      <c r="K453" s="641"/>
      <c r="L453" s="641"/>
      <c r="M453" s="641"/>
      <c r="N453" s="665"/>
      <c r="O453" s="382"/>
      <c r="P453" s="382"/>
      <c r="Q453" s="382"/>
      <c r="R453" s="382"/>
      <c r="S453" s="382"/>
      <c r="T453" s="382"/>
      <c r="U453" s="382"/>
      <c r="V453" s="382"/>
      <c r="W453" s="382"/>
      <c r="X453" s="382"/>
    </row>
    <row r="454" spans="2:24">
      <c r="B454" s="637"/>
      <c r="C454" s="637"/>
      <c r="D454" s="637"/>
      <c r="E454" s="639"/>
      <c r="F454" s="639"/>
      <c r="G454" s="639"/>
      <c r="H454" s="637"/>
      <c r="I454" s="637"/>
      <c r="J454" s="637"/>
      <c r="K454" s="641"/>
      <c r="L454" s="641"/>
      <c r="M454" s="641"/>
      <c r="N454" s="665"/>
      <c r="O454" s="382"/>
      <c r="P454" s="382"/>
      <c r="Q454" s="382"/>
      <c r="R454" s="382"/>
      <c r="S454" s="382"/>
      <c r="T454" s="382"/>
      <c r="U454" s="382"/>
      <c r="V454" s="382"/>
      <c r="W454" s="382"/>
      <c r="X454" s="382"/>
    </row>
    <row r="455" spans="2:24">
      <c r="B455" s="637"/>
      <c r="C455" s="637"/>
      <c r="D455" s="637"/>
      <c r="E455" s="639"/>
      <c r="F455" s="639"/>
      <c r="G455" s="639"/>
      <c r="H455" s="637"/>
      <c r="I455" s="637"/>
      <c r="J455" s="637"/>
      <c r="K455" s="641"/>
      <c r="L455" s="641"/>
      <c r="M455" s="641"/>
      <c r="N455" s="665"/>
      <c r="O455" s="382"/>
      <c r="P455" s="382"/>
      <c r="Q455" s="382"/>
      <c r="R455" s="382"/>
      <c r="S455" s="382"/>
      <c r="T455" s="382"/>
      <c r="U455" s="382"/>
      <c r="V455" s="382"/>
      <c r="W455" s="382"/>
      <c r="X455" s="382"/>
    </row>
    <row r="456" spans="2:24">
      <c r="B456" s="637"/>
      <c r="C456" s="637"/>
      <c r="D456" s="637"/>
      <c r="E456" s="639"/>
      <c r="F456" s="639"/>
      <c r="G456" s="639"/>
      <c r="H456" s="637"/>
      <c r="I456" s="637"/>
      <c r="J456" s="637"/>
      <c r="K456" s="641"/>
      <c r="L456" s="641"/>
      <c r="M456" s="641"/>
      <c r="N456" s="665"/>
      <c r="O456" s="382"/>
      <c r="P456" s="382"/>
      <c r="Q456" s="382"/>
      <c r="R456" s="382"/>
      <c r="S456" s="382"/>
      <c r="T456" s="382"/>
      <c r="U456" s="382"/>
      <c r="V456" s="382"/>
      <c r="W456" s="382"/>
      <c r="X456" s="382"/>
    </row>
    <row r="457" spans="2:24">
      <c r="B457" s="637"/>
      <c r="C457" s="637"/>
      <c r="D457" s="637"/>
      <c r="E457" s="639"/>
      <c r="F457" s="639"/>
      <c r="G457" s="639"/>
      <c r="H457" s="637"/>
      <c r="I457" s="637"/>
      <c r="J457" s="637"/>
      <c r="K457" s="641"/>
      <c r="L457" s="641"/>
      <c r="M457" s="641"/>
      <c r="N457" s="665"/>
      <c r="O457" s="382"/>
      <c r="P457" s="382"/>
      <c r="Q457" s="382"/>
      <c r="R457" s="382"/>
      <c r="S457" s="382"/>
      <c r="T457" s="382"/>
      <c r="U457" s="382"/>
      <c r="V457" s="382"/>
      <c r="W457" s="382"/>
      <c r="X457" s="382"/>
    </row>
    <row r="458" spans="2:24">
      <c r="B458" s="637"/>
      <c r="C458" s="637"/>
      <c r="D458" s="637"/>
      <c r="E458" s="639"/>
      <c r="F458" s="639"/>
      <c r="G458" s="639"/>
      <c r="H458" s="637"/>
      <c r="I458" s="637"/>
      <c r="J458" s="637"/>
      <c r="K458" s="641"/>
      <c r="L458" s="641"/>
      <c r="M458" s="641"/>
      <c r="N458" s="665"/>
      <c r="O458" s="382"/>
      <c r="P458" s="382"/>
      <c r="Q458" s="382"/>
      <c r="R458" s="382"/>
      <c r="S458" s="382"/>
      <c r="T458" s="382"/>
      <c r="U458" s="382"/>
      <c r="V458" s="382"/>
      <c r="W458" s="382"/>
      <c r="X458" s="382"/>
    </row>
    <row r="459" spans="2:24">
      <c r="B459" s="637"/>
      <c r="C459" s="637"/>
      <c r="D459" s="637"/>
      <c r="E459" s="639"/>
      <c r="F459" s="639"/>
      <c r="G459" s="639"/>
      <c r="H459" s="637"/>
      <c r="I459" s="637"/>
      <c r="J459" s="637"/>
      <c r="K459" s="641"/>
      <c r="L459" s="641"/>
      <c r="M459" s="641"/>
      <c r="N459" s="665"/>
      <c r="O459" s="382"/>
      <c r="P459" s="382"/>
      <c r="Q459" s="382"/>
      <c r="R459" s="382"/>
      <c r="S459" s="382"/>
      <c r="T459" s="382"/>
      <c r="U459" s="382"/>
      <c r="V459" s="382"/>
      <c r="W459" s="382"/>
      <c r="X459" s="382"/>
    </row>
    <row r="460" spans="2:24">
      <c r="B460" s="637"/>
      <c r="C460" s="637"/>
      <c r="D460" s="637"/>
      <c r="E460" s="639"/>
      <c r="F460" s="639"/>
      <c r="G460" s="639"/>
      <c r="H460" s="637"/>
      <c r="I460" s="637"/>
      <c r="J460" s="637"/>
      <c r="K460" s="641"/>
      <c r="L460" s="641"/>
      <c r="M460" s="641"/>
      <c r="N460" s="665"/>
      <c r="O460" s="382"/>
      <c r="P460" s="382"/>
      <c r="Q460" s="382"/>
      <c r="R460" s="382"/>
      <c r="S460" s="382"/>
      <c r="T460" s="382"/>
      <c r="U460" s="382"/>
      <c r="V460" s="382"/>
      <c r="W460" s="382"/>
      <c r="X460" s="382"/>
    </row>
    <row r="461" spans="2:24">
      <c r="B461" s="637"/>
      <c r="C461" s="637"/>
      <c r="D461" s="637"/>
      <c r="E461" s="639"/>
      <c r="F461" s="639"/>
      <c r="G461" s="639"/>
      <c r="H461" s="637"/>
      <c r="I461" s="637"/>
      <c r="J461" s="637"/>
      <c r="K461" s="641"/>
      <c r="L461" s="641"/>
      <c r="M461" s="641"/>
      <c r="N461" s="665"/>
      <c r="O461" s="382"/>
      <c r="P461" s="382"/>
      <c r="Q461" s="382"/>
      <c r="R461" s="382"/>
      <c r="S461" s="382"/>
      <c r="T461" s="382"/>
      <c r="U461" s="382"/>
      <c r="V461" s="382"/>
      <c r="W461" s="382"/>
      <c r="X461" s="382"/>
    </row>
    <row r="462" spans="2:24">
      <c r="B462" s="637"/>
      <c r="C462" s="637"/>
      <c r="D462" s="637"/>
      <c r="E462" s="639"/>
      <c r="F462" s="639"/>
      <c r="G462" s="639"/>
      <c r="H462" s="637"/>
      <c r="I462" s="637"/>
      <c r="J462" s="637"/>
      <c r="K462" s="641"/>
      <c r="L462" s="641"/>
      <c r="M462" s="641"/>
      <c r="N462" s="665"/>
      <c r="O462" s="382"/>
      <c r="P462" s="382"/>
      <c r="Q462" s="382"/>
      <c r="R462" s="382"/>
      <c r="S462" s="382"/>
      <c r="T462" s="382"/>
      <c r="U462" s="382"/>
      <c r="V462" s="382"/>
      <c r="W462" s="382"/>
      <c r="X462" s="382"/>
    </row>
    <row r="463" spans="2:24">
      <c r="B463" s="637"/>
      <c r="C463" s="637"/>
      <c r="D463" s="637"/>
      <c r="E463" s="639"/>
      <c r="F463" s="639"/>
      <c r="G463" s="639"/>
      <c r="H463" s="637"/>
      <c r="I463" s="637"/>
      <c r="J463" s="637"/>
      <c r="K463" s="641"/>
      <c r="L463" s="641"/>
      <c r="M463" s="641"/>
      <c r="N463" s="665"/>
      <c r="O463" s="382"/>
      <c r="P463" s="382"/>
      <c r="Q463" s="382"/>
      <c r="R463" s="382"/>
      <c r="S463" s="382"/>
      <c r="T463" s="382"/>
      <c r="U463" s="382"/>
      <c r="V463" s="382"/>
      <c r="W463" s="382"/>
      <c r="X463" s="382"/>
    </row>
    <row r="464" spans="2:24">
      <c r="B464" s="637"/>
      <c r="C464" s="637"/>
      <c r="D464" s="637"/>
      <c r="E464" s="639"/>
      <c r="F464" s="639"/>
      <c r="G464" s="639"/>
      <c r="H464" s="637"/>
      <c r="I464" s="637"/>
      <c r="J464" s="637"/>
      <c r="K464" s="641"/>
      <c r="L464" s="641"/>
      <c r="M464" s="641"/>
      <c r="N464" s="665"/>
      <c r="O464" s="382"/>
      <c r="P464" s="382"/>
      <c r="Q464" s="382"/>
      <c r="R464" s="382"/>
      <c r="S464" s="382"/>
      <c r="T464" s="382"/>
      <c r="U464" s="382"/>
      <c r="V464" s="382"/>
      <c r="W464" s="382"/>
      <c r="X464" s="382"/>
    </row>
    <row r="465" spans="2:24">
      <c r="B465" s="637"/>
      <c r="C465" s="637"/>
      <c r="D465" s="637"/>
      <c r="E465" s="639"/>
      <c r="F465" s="639"/>
      <c r="G465" s="639"/>
      <c r="H465" s="637"/>
      <c r="I465" s="637"/>
      <c r="J465" s="637"/>
      <c r="K465" s="641"/>
      <c r="L465" s="641"/>
      <c r="M465" s="641"/>
      <c r="N465" s="665"/>
      <c r="O465" s="382"/>
      <c r="P465" s="382"/>
      <c r="Q465" s="382"/>
      <c r="R465" s="382"/>
      <c r="S465" s="382"/>
      <c r="T465" s="382"/>
      <c r="U465" s="382"/>
      <c r="V465" s="382"/>
      <c r="W465" s="382"/>
      <c r="X465" s="382"/>
    </row>
    <row r="466" spans="2:24">
      <c r="B466" s="637"/>
      <c r="C466" s="637"/>
      <c r="D466" s="637"/>
      <c r="E466" s="639"/>
      <c r="F466" s="639"/>
      <c r="G466" s="639"/>
      <c r="H466" s="637"/>
      <c r="I466" s="637"/>
      <c r="J466" s="637"/>
      <c r="K466" s="641"/>
      <c r="L466" s="641"/>
      <c r="M466" s="641"/>
      <c r="N466" s="665"/>
      <c r="O466" s="382"/>
      <c r="P466" s="382"/>
      <c r="Q466" s="382"/>
      <c r="R466" s="382"/>
      <c r="S466" s="382"/>
      <c r="T466" s="382"/>
      <c r="U466" s="382"/>
      <c r="V466" s="382"/>
      <c r="W466" s="382"/>
      <c r="X466" s="382"/>
    </row>
    <row r="467" spans="2:24">
      <c r="B467" s="637"/>
      <c r="C467" s="637"/>
      <c r="D467" s="637"/>
      <c r="E467" s="639"/>
      <c r="F467" s="639"/>
      <c r="G467" s="639"/>
      <c r="H467" s="637"/>
      <c r="I467" s="637"/>
      <c r="J467" s="637"/>
      <c r="K467" s="641"/>
      <c r="L467" s="641"/>
      <c r="M467" s="641"/>
      <c r="N467" s="665"/>
      <c r="O467" s="382"/>
      <c r="P467" s="382"/>
      <c r="Q467" s="382"/>
      <c r="R467" s="382"/>
      <c r="S467" s="382"/>
      <c r="T467" s="382"/>
      <c r="U467" s="382"/>
      <c r="V467" s="382"/>
      <c r="W467" s="382"/>
      <c r="X467" s="382"/>
    </row>
    <row r="468" spans="2:24">
      <c r="B468" s="637"/>
      <c r="C468" s="637"/>
      <c r="D468" s="637"/>
      <c r="E468" s="639"/>
      <c r="F468" s="639"/>
      <c r="G468" s="639"/>
      <c r="H468" s="637"/>
      <c r="I468" s="637"/>
      <c r="J468" s="637"/>
      <c r="K468" s="641"/>
      <c r="L468" s="641"/>
      <c r="M468" s="641"/>
      <c r="N468" s="665"/>
      <c r="O468" s="382"/>
      <c r="P468" s="382"/>
      <c r="Q468" s="382"/>
      <c r="R468" s="382"/>
      <c r="S468" s="382"/>
      <c r="T468" s="382"/>
      <c r="U468" s="382"/>
      <c r="V468" s="382"/>
      <c r="W468" s="382"/>
      <c r="X468" s="382"/>
    </row>
    <row r="469" spans="2:24">
      <c r="B469" s="637"/>
      <c r="C469" s="637"/>
      <c r="D469" s="637"/>
      <c r="E469" s="639"/>
      <c r="F469" s="639"/>
      <c r="G469" s="639"/>
      <c r="H469" s="637"/>
      <c r="I469" s="637"/>
      <c r="J469" s="637"/>
      <c r="K469" s="641"/>
      <c r="L469" s="641"/>
      <c r="M469" s="641"/>
      <c r="N469" s="665"/>
      <c r="O469" s="382"/>
      <c r="P469" s="382"/>
      <c r="Q469" s="382"/>
      <c r="R469" s="382"/>
      <c r="S469" s="382"/>
      <c r="T469" s="382"/>
      <c r="U469" s="382"/>
      <c r="V469" s="382"/>
      <c r="W469" s="382"/>
      <c r="X469" s="382"/>
    </row>
    <row r="470" spans="2:24">
      <c r="B470" s="637"/>
      <c r="C470" s="637"/>
      <c r="D470" s="637"/>
      <c r="E470" s="639"/>
      <c r="F470" s="639"/>
      <c r="G470" s="639"/>
      <c r="H470" s="637"/>
      <c r="I470" s="637"/>
      <c r="J470" s="637"/>
      <c r="K470" s="641"/>
      <c r="L470" s="641"/>
      <c r="M470" s="641"/>
      <c r="N470" s="665"/>
      <c r="O470" s="382"/>
      <c r="P470" s="382"/>
      <c r="Q470" s="382"/>
      <c r="R470" s="382"/>
      <c r="S470" s="382"/>
      <c r="T470" s="382"/>
      <c r="U470" s="382"/>
      <c r="V470" s="382"/>
      <c r="W470" s="382"/>
      <c r="X470" s="382"/>
    </row>
    <row r="471" spans="2:24">
      <c r="B471" s="637"/>
      <c r="C471" s="637"/>
      <c r="D471" s="637"/>
      <c r="E471" s="639"/>
      <c r="F471" s="639"/>
      <c r="G471" s="639"/>
      <c r="H471" s="637"/>
      <c r="I471" s="637"/>
      <c r="J471" s="637"/>
      <c r="K471" s="641"/>
      <c r="L471" s="641"/>
      <c r="M471" s="641"/>
      <c r="N471" s="665"/>
      <c r="O471" s="382"/>
      <c r="P471" s="382"/>
      <c r="Q471" s="382"/>
      <c r="R471" s="382"/>
      <c r="S471" s="382"/>
      <c r="T471" s="382"/>
      <c r="U471" s="382"/>
      <c r="V471" s="382"/>
      <c r="W471" s="382"/>
      <c r="X471" s="382"/>
    </row>
    <row r="472" spans="2:24">
      <c r="B472" s="637"/>
      <c r="C472" s="637"/>
      <c r="D472" s="637"/>
      <c r="E472" s="639"/>
      <c r="F472" s="639"/>
      <c r="G472" s="639"/>
      <c r="H472" s="637"/>
      <c r="I472" s="637"/>
      <c r="J472" s="637"/>
      <c r="K472" s="641"/>
      <c r="L472" s="641"/>
      <c r="M472" s="641"/>
      <c r="N472" s="665"/>
      <c r="O472" s="382"/>
      <c r="P472" s="382"/>
      <c r="Q472" s="382"/>
      <c r="R472" s="382"/>
      <c r="S472" s="382"/>
      <c r="T472" s="382"/>
      <c r="U472" s="382"/>
      <c r="V472" s="382"/>
      <c r="W472" s="382"/>
      <c r="X472" s="382"/>
    </row>
    <row r="473" spans="2:24">
      <c r="B473" s="637"/>
      <c r="C473" s="637"/>
      <c r="D473" s="637"/>
      <c r="E473" s="639"/>
      <c r="F473" s="639"/>
      <c r="G473" s="639"/>
      <c r="H473" s="637"/>
      <c r="I473" s="637"/>
      <c r="J473" s="637"/>
      <c r="K473" s="641"/>
      <c r="L473" s="641"/>
      <c r="M473" s="641"/>
      <c r="N473" s="665"/>
      <c r="O473" s="382"/>
      <c r="P473" s="382"/>
      <c r="Q473" s="382"/>
      <c r="R473" s="382"/>
      <c r="S473" s="382"/>
      <c r="T473" s="382"/>
      <c r="U473" s="382"/>
      <c r="V473" s="382"/>
      <c r="W473" s="382"/>
      <c r="X473" s="382"/>
    </row>
    <row r="474" spans="2:24">
      <c r="B474" s="637"/>
      <c r="C474" s="637"/>
      <c r="D474" s="637"/>
      <c r="E474" s="639"/>
      <c r="F474" s="639"/>
      <c r="G474" s="639"/>
      <c r="H474" s="637"/>
      <c r="I474" s="637"/>
      <c r="J474" s="637"/>
      <c r="K474" s="641"/>
      <c r="L474" s="641"/>
      <c r="M474" s="641"/>
      <c r="N474" s="665"/>
      <c r="O474" s="382"/>
      <c r="P474" s="382"/>
      <c r="Q474" s="382"/>
      <c r="R474" s="382"/>
      <c r="S474" s="382"/>
      <c r="T474" s="382"/>
      <c r="U474" s="382"/>
      <c r="V474" s="382"/>
      <c r="W474" s="382"/>
      <c r="X474" s="382"/>
    </row>
    <row r="475" spans="2:24">
      <c r="B475" s="637"/>
      <c r="C475" s="637"/>
      <c r="D475" s="637"/>
      <c r="E475" s="639"/>
      <c r="F475" s="639"/>
      <c r="G475" s="639"/>
      <c r="H475" s="637"/>
      <c r="I475" s="637"/>
      <c r="J475" s="637"/>
      <c r="K475" s="641"/>
      <c r="L475" s="641"/>
      <c r="M475" s="641"/>
      <c r="N475" s="665"/>
      <c r="O475" s="382"/>
      <c r="P475" s="382"/>
      <c r="Q475" s="382"/>
      <c r="R475" s="382"/>
      <c r="S475" s="382"/>
      <c r="T475" s="382"/>
      <c r="U475" s="382"/>
      <c r="V475" s="382"/>
      <c r="W475" s="382"/>
      <c r="X475" s="382"/>
    </row>
    <row r="476" spans="2:24">
      <c r="B476" s="637"/>
      <c r="C476" s="637"/>
      <c r="D476" s="637"/>
      <c r="E476" s="639"/>
      <c r="F476" s="639"/>
      <c r="G476" s="639"/>
      <c r="H476" s="637"/>
      <c r="I476" s="637"/>
      <c r="J476" s="637"/>
      <c r="K476" s="641"/>
      <c r="L476" s="641"/>
      <c r="M476" s="641"/>
      <c r="N476" s="665"/>
      <c r="O476" s="382"/>
      <c r="P476" s="382"/>
      <c r="Q476" s="382"/>
      <c r="R476" s="382"/>
      <c r="S476" s="382"/>
      <c r="T476" s="382"/>
      <c r="U476" s="382"/>
      <c r="V476" s="382"/>
      <c r="W476" s="382"/>
      <c r="X476" s="382"/>
    </row>
    <row r="477" spans="2:24">
      <c r="B477" s="637"/>
      <c r="C477" s="637"/>
      <c r="D477" s="637"/>
      <c r="E477" s="639"/>
      <c r="F477" s="639"/>
      <c r="G477" s="639"/>
      <c r="H477" s="637"/>
      <c r="I477" s="637"/>
      <c r="J477" s="637"/>
      <c r="K477" s="641"/>
      <c r="L477" s="641"/>
      <c r="M477" s="641"/>
      <c r="N477" s="665"/>
      <c r="O477" s="382"/>
      <c r="P477" s="382"/>
      <c r="Q477" s="382"/>
      <c r="R477" s="382"/>
      <c r="S477" s="382"/>
      <c r="T477" s="382"/>
      <c r="U477" s="382"/>
      <c r="V477" s="382"/>
      <c r="W477" s="382"/>
      <c r="X477" s="382"/>
    </row>
    <row r="478" spans="2:24">
      <c r="B478" s="637"/>
      <c r="C478" s="637"/>
      <c r="D478" s="637"/>
      <c r="E478" s="639"/>
      <c r="F478" s="639"/>
      <c r="G478" s="639"/>
      <c r="H478" s="637"/>
      <c r="I478" s="637"/>
      <c r="J478" s="637"/>
      <c r="K478" s="641"/>
      <c r="L478" s="641"/>
      <c r="M478" s="641"/>
      <c r="N478" s="665"/>
      <c r="O478" s="382"/>
      <c r="P478" s="382"/>
      <c r="Q478" s="382"/>
      <c r="R478" s="382"/>
      <c r="S478" s="382"/>
      <c r="T478" s="382"/>
      <c r="U478" s="382"/>
      <c r="V478" s="382"/>
      <c r="W478" s="382"/>
      <c r="X478" s="382"/>
    </row>
    <row r="479" spans="2:24">
      <c r="B479" s="637"/>
      <c r="C479" s="637"/>
      <c r="D479" s="637"/>
      <c r="E479" s="639"/>
      <c r="F479" s="639"/>
      <c r="G479" s="639"/>
      <c r="H479" s="637"/>
      <c r="I479" s="637"/>
      <c r="J479" s="637"/>
      <c r="K479" s="641"/>
      <c r="L479" s="641"/>
      <c r="M479" s="641"/>
      <c r="N479" s="665"/>
      <c r="O479" s="382"/>
      <c r="P479" s="382"/>
      <c r="Q479" s="382"/>
      <c r="R479" s="382"/>
      <c r="S479" s="382"/>
      <c r="T479" s="382"/>
      <c r="U479" s="382"/>
      <c r="V479" s="382"/>
      <c r="W479" s="382"/>
      <c r="X479" s="382"/>
    </row>
    <row r="480" spans="2:24">
      <c r="B480" s="637"/>
      <c r="C480" s="637"/>
      <c r="D480" s="637"/>
      <c r="E480" s="639"/>
      <c r="F480" s="639"/>
      <c r="G480" s="639"/>
      <c r="H480" s="637"/>
      <c r="I480" s="637"/>
      <c r="J480" s="637"/>
      <c r="K480" s="641"/>
      <c r="L480" s="641"/>
      <c r="M480" s="641"/>
      <c r="N480" s="665"/>
      <c r="O480" s="382"/>
      <c r="P480" s="382"/>
      <c r="Q480" s="382"/>
      <c r="R480" s="382"/>
      <c r="S480" s="382"/>
      <c r="T480" s="382"/>
      <c r="U480" s="382"/>
      <c r="V480" s="382"/>
      <c r="W480" s="382"/>
      <c r="X480" s="382"/>
    </row>
    <row r="481" spans="2:24">
      <c r="B481" s="637"/>
      <c r="C481" s="637"/>
      <c r="D481" s="637"/>
      <c r="E481" s="639"/>
      <c r="F481" s="639"/>
      <c r="G481" s="639"/>
      <c r="H481" s="637"/>
      <c r="I481" s="637"/>
      <c r="J481" s="637"/>
      <c r="K481" s="641"/>
      <c r="L481" s="641"/>
      <c r="M481" s="641"/>
      <c r="N481" s="665"/>
      <c r="O481" s="382"/>
      <c r="P481" s="382"/>
      <c r="Q481" s="382"/>
      <c r="R481" s="382"/>
      <c r="S481" s="382"/>
      <c r="T481" s="382"/>
      <c r="U481" s="382"/>
      <c r="V481" s="382"/>
      <c r="W481" s="382"/>
      <c r="X481" s="382"/>
    </row>
    <row r="482" spans="2:24">
      <c r="B482" s="637"/>
      <c r="C482" s="637"/>
      <c r="D482" s="637"/>
      <c r="E482" s="639"/>
      <c r="F482" s="639"/>
      <c r="G482" s="639"/>
      <c r="H482" s="637"/>
      <c r="I482" s="637"/>
      <c r="J482" s="637"/>
      <c r="K482" s="641"/>
      <c r="L482" s="641"/>
      <c r="M482" s="641"/>
      <c r="N482" s="665"/>
      <c r="O482" s="382"/>
      <c r="P482" s="382"/>
      <c r="Q482" s="382"/>
      <c r="R482" s="382"/>
      <c r="S482" s="382"/>
      <c r="T482" s="382"/>
      <c r="U482" s="382"/>
      <c r="V482" s="382"/>
      <c r="W482" s="382"/>
      <c r="X482" s="382"/>
    </row>
    <row r="483" spans="2:24">
      <c r="B483" s="637"/>
      <c r="C483" s="637"/>
      <c r="D483" s="637"/>
      <c r="E483" s="639"/>
      <c r="F483" s="639"/>
      <c r="G483" s="639"/>
      <c r="H483" s="637"/>
      <c r="I483" s="637"/>
      <c r="J483" s="637"/>
      <c r="K483" s="641"/>
      <c r="L483" s="641"/>
      <c r="M483" s="641"/>
      <c r="N483" s="665"/>
      <c r="O483" s="382"/>
      <c r="P483" s="382"/>
      <c r="Q483" s="382"/>
      <c r="R483" s="382"/>
      <c r="S483" s="382"/>
      <c r="T483" s="382"/>
      <c r="U483" s="382"/>
      <c r="V483" s="382"/>
      <c r="W483" s="382"/>
      <c r="X483" s="382"/>
    </row>
    <row r="484" spans="2:24">
      <c r="B484" s="637"/>
      <c r="C484" s="637"/>
      <c r="D484" s="637"/>
      <c r="E484" s="639"/>
      <c r="F484" s="639"/>
      <c r="G484" s="639"/>
      <c r="H484" s="637"/>
      <c r="I484" s="637"/>
      <c r="J484" s="637"/>
      <c r="K484" s="641"/>
      <c r="L484" s="641"/>
      <c r="M484" s="641"/>
      <c r="N484" s="665"/>
      <c r="O484" s="382"/>
      <c r="P484" s="382"/>
      <c r="Q484" s="382"/>
      <c r="R484" s="382"/>
      <c r="S484" s="382"/>
      <c r="T484" s="382"/>
      <c r="U484" s="382"/>
      <c r="V484" s="382"/>
      <c r="W484" s="382"/>
      <c r="X484" s="382"/>
    </row>
    <row r="485" spans="2:24">
      <c r="B485" s="637"/>
      <c r="C485" s="637"/>
      <c r="D485" s="637"/>
      <c r="E485" s="639"/>
      <c r="F485" s="639"/>
      <c r="G485" s="639"/>
      <c r="H485" s="637"/>
      <c r="I485" s="637"/>
      <c r="J485" s="637"/>
      <c r="K485" s="641"/>
      <c r="L485" s="641"/>
      <c r="M485" s="641"/>
      <c r="N485" s="665"/>
      <c r="O485" s="382"/>
      <c r="P485" s="382"/>
      <c r="Q485" s="382"/>
      <c r="R485" s="382"/>
      <c r="S485" s="382"/>
      <c r="T485" s="382"/>
      <c r="U485" s="382"/>
      <c r="V485" s="382"/>
      <c r="W485" s="382"/>
      <c r="X485" s="382"/>
    </row>
    <row r="486" spans="2:24">
      <c r="B486" s="637"/>
      <c r="C486" s="637"/>
      <c r="D486" s="637"/>
      <c r="E486" s="639"/>
      <c r="F486" s="639"/>
      <c r="G486" s="639"/>
      <c r="H486" s="637"/>
      <c r="I486" s="637"/>
      <c r="J486" s="637"/>
      <c r="K486" s="641"/>
      <c r="L486" s="641"/>
      <c r="M486" s="641"/>
      <c r="N486" s="665"/>
      <c r="O486" s="382"/>
      <c r="P486" s="382"/>
      <c r="Q486" s="382"/>
      <c r="R486" s="382"/>
      <c r="S486" s="382"/>
      <c r="T486" s="382"/>
      <c r="U486" s="382"/>
      <c r="V486" s="382"/>
      <c r="W486" s="382"/>
      <c r="X486" s="382"/>
    </row>
    <row r="487" spans="2:24">
      <c r="B487" s="637"/>
      <c r="C487" s="637"/>
      <c r="D487" s="637"/>
      <c r="E487" s="639"/>
      <c r="F487" s="639"/>
      <c r="G487" s="639"/>
      <c r="H487" s="637"/>
      <c r="I487" s="637"/>
      <c r="J487" s="637"/>
      <c r="K487" s="641"/>
      <c r="L487" s="641"/>
      <c r="M487" s="641"/>
      <c r="N487" s="665"/>
      <c r="O487" s="382"/>
      <c r="P487" s="382"/>
      <c r="Q487" s="382"/>
      <c r="R487" s="382"/>
      <c r="S487" s="382"/>
      <c r="T487" s="382"/>
      <c r="U487" s="382"/>
      <c r="V487" s="382"/>
      <c r="W487" s="382"/>
      <c r="X487" s="382"/>
    </row>
    <row r="488" spans="2:24">
      <c r="B488" s="637"/>
      <c r="C488" s="637"/>
      <c r="D488" s="637"/>
      <c r="E488" s="639"/>
      <c r="F488" s="639"/>
      <c r="G488" s="639"/>
      <c r="H488" s="637"/>
      <c r="I488" s="637"/>
      <c r="J488" s="637"/>
      <c r="K488" s="641"/>
      <c r="L488" s="641"/>
      <c r="M488" s="641"/>
      <c r="N488" s="665"/>
      <c r="O488" s="382"/>
      <c r="P488" s="382"/>
      <c r="Q488" s="382"/>
      <c r="R488" s="382"/>
      <c r="S488" s="382"/>
      <c r="T488" s="382"/>
      <c r="U488" s="382"/>
      <c r="V488" s="382"/>
      <c r="W488" s="382"/>
      <c r="X488" s="382"/>
    </row>
    <row r="489" spans="2:24">
      <c r="B489" s="637"/>
      <c r="C489" s="637"/>
      <c r="D489" s="637"/>
      <c r="E489" s="639"/>
      <c r="F489" s="639"/>
      <c r="G489" s="639"/>
      <c r="H489" s="637"/>
      <c r="I489" s="637"/>
      <c r="J489" s="637"/>
      <c r="K489" s="641"/>
      <c r="L489" s="641"/>
      <c r="M489" s="641"/>
      <c r="N489" s="665"/>
      <c r="O489" s="382"/>
      <c r="P489" s="382"/>
      <c r="Q489" s="382"/>
      <c r="R489" s="382"/>
      <c r="S489" s="382"/>
      <c r="T489" s="382"/>
      <c r="U489" s="382"/>
      <c r="V489" s="382"/>
      <c r="W489" s="382"/>
      <c r="X489" s="382"/>
    </row>
    <row r="490" spans="2:24">
      <c r="B490" s="637"/>
      <c r="C490" s="637"/>
      <c r="D490" s="637"/>
      <c r="E490" s="639"/>
      <c r="F490" s="639"/>
      <c r="G490" s="639"/>
      <c r="H490" s="637"/>
      <c r="I490" s="637"/>
      <c r="J490" s="637"/>
      <c r="K490" s="641"/>
      <c r="L490" s="641"/>
      <c r="M490" s="641"/>
      <c r="N490" s="665"/>
      <c r="O490" s="382"/>
      <c r="P490" s="382"/>
      <c r="Q490" s="382"/>
      <c r="R490" s="382"/>
      <c r="S490" s="382"/>
      <c r="T490" s="382"/>
      <c r="U490" s="382"/>
      <c r="V490" s="382"/>
      <c r="W490" s="382"/>
      <c r="X490" s="382"/>
    </row>
    <row r="491" spans="2:24">
      <c r="B491" s="637"/>
      <c r="C491" s="637"/>
      <c r="D491" s="637"/>
      <c r="E491" s="639"/>
      <c r="F491" s="639"/>
      <c r="G491" s="639"/>
      <c r="H491" s="637"/>
      <c r="I491" s="637"/>
      <c r="J491" s="637"/>
      <c r="K491" s="641"/>
      <c r="L491" s="641"/>
      <c r="M491" s="641"/>
      <c r="N491" s="665"/>
      <c r="O491" s="382"/>
      <c r="P491" s="382"/>
      <c r="Q491" s="382"/>
      <c r="R491" s="382"/>
      <c r="S491" s="382"/>
      <c r="T491" s="382"/>
      <c r="U491" s="382"/>
      <c r="V491" s="382"/>
      <c r="W491" s="382"/>
      <c r="X491" s="382"/>
    </row>
    <row r="492" spans="2:24">
      <c r="B492" s="637"/>
      <c r="C492" s="637"/>
      <c r="D492" s="637"/>
      <c r="E492" s="639"/>
      <c r="F492" s="639"/>
      <c r="G492" s="639"/>
      <c r="H492" s="637"/>
      <c r="I492" s="637"/>
      <c r="J492" s="637"/>
      <c r="K492" s="641"/>
      <c r="L492" s="641"/>
      <c r="M492" s="641"/>
      <c r="N492" s="665"/>
      <c r="O492" s="382"/>
      <c r="P492" s="382"/>
      <c r="Q492" s="382"/>
      <c r="R492" s="382"/>
      <c r="S492" s="382"/>
      <c r="T492" s="382"/>
      <c r="U492" s="382"/>
      <c r="V492" s="382"/>
      <c r="W492" s="382"/>
      <c r="X492" s="382"/>
    </row>
    <row r="493" spans="2:24">
      <c r="B493" s="637"/>
      <c r="C493" s="637"/>
      <c r="D493" s="637"/>
      <c r="E493" s="639"/>
      <c r="F493" s="639"/>
      <c r="G493" s="639"/>
      <c r="H493" s="637"/>
      <c r="I493" s="637"/>
      <c r="J493" s="637"/>
      <c r="K493" s="641"/>
      <c r="L493" s="641"/>
      <c r="M493" s="641"/>
      <c r="N493" s="665"/>
      <c r="O493" s="382"/>
      <c r="P493" s="382"/>
      <c r="Q493" s="382"/>
      <c r="R493" s="382"/>
      <c r="S493" s="382"/>
      <c r="T493" s="382"/>
      <c r="U493" s="382"/>
      <c r="V493" s="382"/>
      <c r="W493" s="382"/>
      <c r="X493" s="382"/>
    </row>
    <row r="494" spans="2:24">
      <c r="B494" s="637"/>
      <c r="C494" s="637"/>
      <c r="D494" s="637"/>
      <c r="E494" s="639"/>
      <c r="F494" s="639"/>
      <c r="G494" s="639"/>
      <c r="H494" s="637"/>
      <c r="I494" s="637"/>
      <c r="J494" s="637"/>
      <c r="K494" s="641"/>
      <c r="L494" s="641"/>
      <c r="M494" s="641"/>
      <c r="N494" s="665"/>
      <c r="O494" s="382"/>
      <c r="P494" s="382"/>
      <c r="Q494" s="382"/>
      <c r="R494" s="382"/>
      <c r="S494" s="382"/>
      <c r="T494" s="382"/>
      <c r="U494" s="382"/>
      <c r="V494" s="382"/>
      <c r="W494" s="382"/>
      <c r="X494" s="382"/>
    </row>
    <row r="495" spans="2:24">
      <c r="B495" s="637"/>
      <c r="C495" s="637"/>
      <c r="D495" s="637"/>
      <c r="E495" s="639"/>
      <c r="F495" s="639"/>
      <c r="G495" s="639"/>
      <c r="H495" s="637"/>
      <c r="I495" s="637"/>
      <c r="J495" s="637"/>
      <c r="K495" s="641"/>
      <c r="L495" s="641"/>
      <c r="M495" s="641"/>
      <c r="N495" s="665"/>
      <c r="O495" s="382"/>
      <c r="P495" s="382"/>
      <c r="Q495" s="382"/>
      <c r="R495" s="382"/>
      <c r="S495" s="382"/>
      <c r="T495" s="382"/>
      <c r="U495" s="382"/>
      <c r="V495" s="382"/>
      <c r="W495" s="382"/>
      <c r="X495" s="382"/>
    </row>
    <row r="496" spans="2:24">
      <c r="B496" s="637"/>
      <c r="C496" s="637"/>
      <c r="D496" s="637"/>
      <c r="E496" s="639"/>
      <c r="F496" s="639"/>
      <c r="G496" s="639"/>
      <c r="H496" s="637"/>
      <c r="I496" s="637"/>
      <c r="J496" s="637"/>
      <c r="K496" s="641"/>
      <c r="L496" s="641"/>
      <c r="M496" s="641"/>
      <c r="N496" s="665"/>
      <c r="O496" s="382"/>
      <c r="P496" s="382"/>
      <c r="Q496" s="382"/>
      <c r="R496" s="382"/>
      <c r="S496" s="382"/>
      <c r="T496" s="382"/>
      <c r="U496" s="382"/>
      <c r="V496" s="382"/>
      <c r="W496" s="382"/>
      <c r="X496" s="382"/>
    </row>
    <row r="497" spans="2:24">
      <c r="B497" s="637"/>
      <c r="C497" s="637"/>
      <c r="D497" s="637"/>
      <c r="E497" s="639"/>
      <c r="F497" s="639"/>
      <c r="G497" s="639"/>
      <c r="H497" s="637"/>
      <c r="I497" s="637"/>
      <c r="J497" s="637"/>
      <c r="K497" s="641"/>
      <c r="L497" s="641"/>
      <c r="M497" s="641"/>
      <c r="N497" s="665"/>
      <c r="O497" s="382"/>
      <c r="P497" s="382"/>
      <c r="Q497" s="382"/>
      <c r="R497" s="382"/>
      <c r="S497" s="382"/>
      <c r="T497" s="382"/>
      <c r="U497" s="382"/>
      <c r="V497" s="382"/>
      <c r="W497" s="382"/>
      <c r="X497" s="382"/>
    </row>
    <row r="498" spans="2:24">
      <c r="B498" s="637"/>
      <c r="C498" s="637"/>
      <c r="D498" s="637"/>
      <c r="E498" s="639"/>
      <c r="F498" s="639"/>
      <c r="G498" s="639"/>
      <c r="H498" s="637"/>
      <c r="I498" s="637"/>
      <c r="J498" s="637"/>
      <c r="K498" s="641"/>
      <c r="L498" s="641"/>
      <c r="M498" s="641"/>
      <c r="N498" s="665"/>
      <c r="O498" s="382"/>
      <c r="P498" s="382"/>
      <c r="Q498" s="382"/>
      <c r="R498" s="382"/>
      <c r="S498" s="382"/>
      <c r="T498" s="382"/>
      <c r="U498" s="382"/>
      <c r="V498" s="382"/>
      <c r="W498" s="382"/>
      <c r="X498" s="382"/>
    </row>
    <row r="499" spans="2:24">
      <c r="B499" s="637"/>
      <c r="C499" s="637"/>
      <c r="D499" s="637"/>
      <c r="E499" s="639"/>
      <c r="F499" s="639"/>
      <c r="G499" s="639"/>
      <c r="H499" s="637"/>
      <c r="I499" s="637"/>
      <c r="J499" s="637"/>
      <c r="K499" s="641"/>
      <c r="L499" s="641"/>
      <c r="M499" s="641"/>
      <c r="N499" s="665"/>
      <c r="O499" s="382"/>
      <c r="P499" s="382"/>
      <c r="Q499" s="382"/>
      <c r="R499" s="382"/>
      <c r="S499" s="382"/>
      <c r="T499" s="382"/>
      <c r="U499" s="382"/>
      <c r="V499" s="382"/>
      <c r="W499" s="382"/>
      <c r="X499" s="382"/>
    </row>
    <row r="500" spans="2:24">
      <c r="B500" s="637"/>
      <c r="C500" s="637"/>
      <c r="D500" s="637"/>
      <c r="E500" s="639"/>
      <c r="F500" s="639"/>
      <c r="G500" s="639"/>
      <c r="H500" s="637"/>
      <c r="I500" s="637"/>
      <c r="J500" s="637"/>
      <c r="K500" s="641"/>
      <c r="L500" s="641"/>
      <c r="M500" s="641"/>
      <c r="N500" s="665"/>
      <c r="O500" s="382"/>
      <c r="P500" s="382"/>
      <c r="Q500" s="382"/>
      <c r="R500" s="382"/>
      <c r="S500" s="382"/>
      <c r="T500" s="382"/>
      <c r="U500" s="382"/>
      <c r="V500" s="382"/>
      <c r="W500" s="382"/>
      <c r="X500" s="382"/>
    </row>
    <row r="501" spans="2:24">
      <c r="B501" s="637"/>
      <c r="C501" s="637"/>
      <c r="D501" s="637"/>
      <c r="E501" s="639"/>
      <c r="F501" s="639"/>
      <c r="G501" s="639"/>
      <c r="H501" s="637"/>
      <c r="I501" s="637"/>
      <c r="J501" s="637"/>
      <c r="K501" s="641"/>
      <c r="L501" s="641"/>
      <c r="M501" s="641"/>
      <c r="N501" s="665"/>
      <c r="O501" s="382"/>
      <c r="P501" s="382"/>
      <c r="Q501" s="382"/>
      <c r="R501" s="382"/>
      <c r="S501" s="382"/>
      <c r="T501" s="382"/>
      <c r="U501" s="382"/>
      <c r="V501" s="382"/>
      <c r="W501" s="382"/>
      <c r="X501" s="382"/>
    </row>
    <row r="502" spans="2:24">
      <c r="B502" s="637"/>
      <c r="C502" s="637"/>
      <c r="D502" s="637"/>
      <c r="E502" s="639"/>
      <c r="F502" s="639"/>
      <c r="G502" s="639"/>
      <c r="H502" s="637"/>
      <c r="I502" s="637"/>
      <c r="J502" s="637"/>
      <c r="K502" s="641"/>
      <c r="L502" s="641"/>
      <c r="M502" s="641"/>
      <c r="N502" s="665"/>
      <c r="O502" s="382"/>
      <c r="P502" s="382"/>
      <c r="Q502" s="382"/>
      <c r="R502" s="382"/>
      <c r="S502" s="382"/>
      <c r="T502" s="382"/>
      <c r="U502" s="382"/>
      <c r="V502" s="382"/>
      <c r="W502" s="382"/>
      <c r="X502" s="382"/>
    </row>
    <row r="503" spans="2:24">
      <c r="B503" s="637"/>
      <c r="C503" s="637"/>
      <c r="D503" s="637"/>
      <c r="E503" s="639"/>
      <c r="F503" s="639"/>
      <c r="G503" s="639"/>
      <c r="H503" s="637"/>
      <c r="I503" s="637"/>
      <c r="J503" s="637"/>
      <c r="K503" s="641"/>
      <c r="L503" s="641"/>
      <c r="M503" s="641"/>
      <c r="N503" s="665"/>
      <c r="O503" s="382"/>
      <c r="P503" s="382"/>
      <c r="Q503" s="382"/>
      <c r="R503" s="382"/>
      <c r="S503" s="382"/>
      <c r="T503" s="382"/>
      <c r="U503" s="382"/>
      <c r="V503" s="382"/>
      <c r="W503" s="382"/>
      <c r="X503" s="382"/>
    </row>
    <row r="504" spans="2:24">
      <c r="B504" s="637"/>
      <c r="C504" s="637"/>
      <c r="D504" s="637"/>
      <c r="E504" s="639"/>
      <c r="F504" s="639"/>
      <c r="G504" s="639"/>
      <c r="H504" s="637"/>
      <c r="I504" s="637"/>
      <c r="J504" s="637"/>
      <c r="K504" s="641"/>
      <c r="L504" s="641"/>
      <c r="M504" s="641"/>
      <c r="N504" s="665"/>
      <c r="O504" s="382"/>
      <c r="P504" s="382"/>
      <c r="Q504" s="382"/>
      <c r="R504" s="382"/>
      <c r="S504" s="382"/>
      <c r="T504" s="382"/>
      <c r="U504" s="382"/>
      <c r="V504" s="382"/>
      <c r="W504" s="382"/>
      <c r="X504" s="382"/>
    </row>
    <row r="505" spans="2:24">
      <c r="B505" s="637"/>
      <c r="C505" s="637"/>
      <c r="D505" s="637"/>
      <c r="E505" s="639"/>
      <c r="F505" s="639"/>
      <c r="G505" s="639"/>
      <c r="H505" s="637"/>
      <c r="I505" s="637"/>
      <c r="J505" s="637"/>
      <c r="K505" s="641"/>
      <c r="L505" s="641"/>
      <c r="M505" s="641"/>
      <c r="N505" s="665"/>
      <c r="O505" s="382"/>
      <c r="P505" s="382"/>
      <c r="Q505" s="382"/>
      <c r="R505" s="382"/>
      <c r="S505" s="382"/>
      <c r="T505" s="382"/>
      <c r="U505" s="382"/>
      <c r="V505" s="382"/>
      <c r="W505" s="382"/>
      <c r="X505" s="382"/>
    </row>
    <row r="506" spans="2:24">
      <c r="B506" s="637"/>
      <c r="C506" s="637"/>
      <c r="D506" s="637"/>
      <c r="E506" s="639"/>
      <c r="F506" s="639"/>
      <c r="G506" s="639"/>
      <c r="H506" s="637"/>
      <c r="I506" s="637"/>
      <c r="J506" s="637"/>
      <c r="K506" s="641"/>
      <c r="L506" s="641"/>
      <c r="M506" s="641"/>
      <c r="N506" s="665"/>
      <c r="O506" s="382"/>
      <c r="P506" s="382"/>
      <c r="Q506" s="382"/>
      <c r="R506" s="382"/>
      <c r="S506" s="382"/>
      <c r="T506" s="382"/>
      <c r="U506" s="382"/>
      <c r="V506" s="382"/>
      <c r="W506" s="382"/>
      <c r="X506" s="382"/>
    </row>
    <row r="507" spans="2:24">
      <c r="B507" s="637"/>
      <c r="C507" s="637"/>
      <c r="D507" s="637"/>
      <c r="E507" s="639"/>
      <c r="F507" s="639"/>
      <c r="G507" s="639"/>
      <c r="H507" s="637"/>
      <c r="I507" s="637"/>
      <c r="J507" s="637"/>
      <c r="K507" s="641"/>
      <c r="L507" s="641"/>
      <c r="M507" s="641"/>
      <c r="N507" s="665"/>
      <c r="O507" s="382"/>
      <c r="P507" s="382"/>
      <c r="Q507" s="382"/>
      <c r="R507" s="382"/>
      <c r="S507" s="382"/>
      <c r="T507" s="382"/>
      <c r="U507" s="382"/>
      <c r="V507" s="382"/>
      <c r="W507" s="382"/>
      <c r="X507" s="382"/>
    </row>
    <row r="508" spans="2:24">
      <c r="B508" s="637"/>
      <c r="C508" s="637"/>
      <c r="D508" s="637"/>
      <c r="E508" s="639"/>
      <c r="F508" s="639"/>
      <c r="G508" s="639"/>
      <c r="H508" s="637"/>
      <c r="I508" s="637"/>
      <c r="J508" s="637"/>
      <c r="K508" s="641"/>
      <c r="L508" s="641"/>
      <c r="M508" s="641"/>
      <c r="N508" s="665"/>
      <c r="O508" s="382"/>
      <c r="P508" s="382"/>
      <c r="Q508" s="382"/>
      <c r="R508" s="382"/>
      <c r="S508" s="382"/>
      <c r="T508" s="382"/>
      <c r="U508" s="382"/>
      <c r="V508" s="382"/>
      <c r="W508" s="382"/>
      <c r="X508" s="382"/>
    </row>
    <row r="509" spans="2:24">
      <c r="B509" s="637"/>
      <c r="C509" s="637"/>
      <c r="D509" s="637"/>
      <c r="E509" s="639"/>
      <c r="F509" s="639"/>
      <c r="G509" s="639"/>
      <c r="H509" s="637"/>
      <c r="I509" s="637"/>
      <c r="J509" s="637"/>
      <c r="K509" s="641"/>
      <c r="L509" s="641"/>
      <c r="M509" s="641"/>
      <c r="N509" s="665"/>
      <c r="O509" s="382"/>
      <c r="P509" s="382"/>
      <c r="Q509" s="382"/>
      <c r="R509" s="382"/>
      <c r="S509" s="382"/>
      <c r="T509" s="382"/>
      <c r="U509" s="382"/>
      <c r="V509" s="382"/>
      <c r="W509" s="382"/>
      <c r="X509" s="382"/>
    </row>
    <row r="510" spans="2:24">
      <c r="B510" s="637"/>
      <c r="C510" s="637"/>
      <c r="D510" s="637"/>
      <c r="E510" s="639"/>
      <c r="F510" s="639"/>
      <c r="G510" s="639"/>
      <c r="H510" s="637"/>
      <c r="I510" s="637"/>
      <c r="J510" s="637"/>
      <c r="K510" s="641"/>
      <c r="L510" s="641"/>
      <c r="M510" s="641"/>
      <c r="N510" s="665"/>
      <c r="O510" s="382"/>
      <c r="P510" s="382"/>
      <c r="Q510" s="382"/>
      <c r="R510" s="382"/>
      <c r="S510" s="382"/>
      <c r="T510" s="382"/>
      <c r="U510" s="382"/>
      <c r="V510" s="382"/>
      <c r="W510" s="382"/>
      <c r="X510" s="382"/>
    </row>
    <row r="511" spans="2:24">
      <c r="B511" s="637"/>
      <c r="C511" s="637"/>
      <c r="D511" s="637"/>
      <c r="E511" s="639"/>
      <c r="F511" s="639"/>
      <c r="G511" s="639"/>
      <c r="H511" s="637"/>
      <c r="I511" s="637"/>
      <c r="J511" s="637"/>
      <c r="K511" s="641"/>
      <c r="L511" s="641"/>
      <c r="M511" s="641"/>
      <c r="N511" s="665"/>
      <c r="O511" s="382"/>
      <c r="P511" s="382"/>
      <c r="Q511" s="382"/>
      <c r="R511" s="382"/>
      <c r="S511" s="382"/>
      <c r="T511" s="382"/>
      <c r="U511" s="382"/>
      <c r="V511" s="382"/>
      <c r="W511" s="382"/>
      <c r="X511" s="382"/>
    </row>
    <row r="512" spans="2:24">
      <c r="B512" s="637"/>
      <c r="C512" s="637"/>
      <c r="D512" s="637"/>
      <c r="E512" s="639"/>
      <c r="F512" s="639"/>
      <c r="G512" s="639"/>
      <c r="H512" s="637"/>
      <c r="I512" s="637"/>
      <c r="J512" s="637"/>
      <c r="K512" s="641"/>
      <c r="L512" s="641"/>
      <c r="M512" s="641"/>
      <c r="N512" s="665"/>
      <c r="O512" s="382"/>
      <c r="P512" s="382"/>
      <c r="Q512" s="382"/>
      <c r="R512" s="382"/>
      <c r="S512" s="382"/>
      <c r="T512" s="382"/>
      <c r="U512" s="382"/>
      <c r="V512" s="382"/>
      <c r="W512" s="382"/>
      <c r="X512" s="382"/>
    </row>
    <row r="513" spans="2:24">
      <c r="B513" s="637"/>
      <c r="C513" s="637"/>
      <c r="D513" s="637"/>
      <c r="E513" s="639"/>
      <c r="F513" s="639"/>
      <c r="G513" s="639"/>
      <c r="H513" s="637"/>
      <c r="I513" s="637"/>
      <c r="J513" s="637"/>
      <c r="K513" s="641"/>
      <c r="L513" s="641"/>
      <c r="M513" s="641"/>
      <c r="N513" s="665"/>
      <c r="O513" s="382"/>
      <c r="P513" s="382"/>
      <c r="Q513" s="382"/>
      <c r="R513" s="382"/>
      <c r="S513" s="382"/>
      <c r="T513" s="382"/>
      <c r="U513" s="382"/>
      <c r="V513" s="382"/>
      <c r="W513" s="382"/>
      <c r="X513" s="382"/>
    </row>
    <row r="514" spans="2:24">
      <c r="B514" s="637"/>
      <c r="C514" s="637"/>
      <c r="D514" s="637"/>
      <c r="E514" s="639"/>
      <c r="F514" s="639"/>
      <c r="G514" s="639"/>
      <c r="H514" s="637"/>
      <c r="I514" s="637"/>
      <c r="J514" s="637"/>
      <c r="K514" s="641"/>
      <c r="L514" s="641"/>
      <c r="M514" s="641"/>
      <c r="N514" s="665"/>
      <c r="O514" s="382"/>
      <c r="P514" s="382"/>
      <c r="Q514" s="382"/>
      <c r="R514" s="382"/>
      <c r="S514" s="382"/>
      <c r="T514" s="382"/>
      <c r="U514" s="382"/>
      <c r="V514" s="382"/>
      <c r="W514" s="382"/>
      <c r="X514" s="382"/>
    </row>
    <row r="515" spans="2:24">
      <c r="B515" s="637"/>
      <c r="C515" s="637"/>
      <c r="D515" s="637"/>
      <c r="E515" s="639"/>
      <c r="F515" s="639"/>
      <c r="G515" s="639"/>
      <c r="H515" s="637"/>
      <c r="I515" s="637"/>
      <c r="J515" s="637"/>
      <c r="K515" s="641"/>
      <c r="L515" s="641"/>
      <c r="M515" s="641"/>
      <c r="N515" s="665"/>
      <c r="O515" s="382"/>
      <c r="P515" s="382"/>
      <c r="Q515" s="382"/>
      <c r="R515" s="382"/>
      <c r="S515" s="382"/>
      <c r="T515" s="382"/>
      <c r="U515" s="382"/>
      <c r="V515" s="382"/>
      <c r="W515" s="382"/>
      <c r="X515" s="382"/>
    </row>
    <row r="516" spans="2:24">
      <c r="B516" s="637"/>
      <c r="C516" s="637"/>
      <c r="D516" s="637"/>
      <c r="E516" s="639"/>
      <c r="F516" s="639"/>
      <c r="G516" s="639"/>
      <c r="H516" s="637"/>
      <c r="I516" s="637"/>
      <c r="J516" s="637"/>
      <c r="K516" s="641"/>
      <c r="L516" s="641"/>
      <c r="M516" s="641"/>
      <c r="N516" s="665"/>
      <c r="O516" s="382"/>
      <c r="P516" s="382"/>
      <c r="Q516" s="382"/>
      <c r="R516" s="382"/>
      <c r="S516" s="382"/>
      <c r="T516" s="382"/>
      <c r="U516" s="382"/>
      <c r="V516" s="382"/>
      <c r="W516" s="382"/>
      <c r="X516" s="382"/>
    </row>
    <row r="517" spans="2:24">
      <c r="B517" s="637"/>
      <c r="C517" s="637"/>
      <c r="D517" s="637"/>
      <c r="E517" s="639"/>
      <c r="F517" s="639"/>
      <c r="G517" s="639"/>
      <c r="H517" s="637"/>
      <c r="I517" s="637"/>
      <c r="J517" s="637"/>
      <c r="K517" s="641"/>
      <c r="L517" s="641"/>
      <c r="M517" s="641"/>
      <c r="N517" s="665"/>
      <c r="O517" s="382"/>
      <c r="P517" s="382"/>
      <c r="Q517" s="382"/>
      <c r="R517" s="382"/>
      <c r="S517" s="382"/>
      <c r="T517" s="382"/>
      <c r="U517" s="382"/>
      <c r="V517" s="382"/>
      <c r="W517" s="382"/>
      <c r="X517" s="382"/>
    </row>
    <row r="518" spans="2:24">
      <c r="B518" s="637"/>
      <c r="C518" s="637"/>
      <c r="D518" s="637"/>
      <c r="E518" s="639"/>
      <c r="F518" s="639"/>
      <c r="G518" s="639"/>
      <c r="H518" s="637"/>
      <c r="I518" s="637"/>
      <c r="J518" s="637"/>
      <c r="K518" s="641"/>
      <c r="L518" s="641"/>
      <c r="M518" s="641"/>
      <c r="N518" s="665"/>
      <c r="O518" s="382"/>
      <c r="P518" s="382"/>
      <c r="Q518" s="382"/>
      <c r="R518" s="382"/>
      <c r="S518" s="382"/>
      <c r="T518" s="382"/>
      <c r="U518" s="382"/>
      <c r="V518" s="382"/>
      <c r="W518" s="382"/>
      <c r="X518" s="382"/>
    </row>
    <row r="519" spans="2:24">
      <c r="B519" s="637"/>
      <c r="C519" s="637"/>
      <c r="D519" s="637"/>
      <c r="E519" s="639"/>
      <c r="F519" s="639"/>
      <c r="G519" s="639"/>
      <c r="H519" s="637"/>
      <c r="I519" s="637"/>
      <c r="J519" s="637"/>
      <c r="K519" s="641"/>
      <c r="L519" s="641"/>
      <c r="M519" s="641"/>
      <c r="N519" s="665"/>
      <c r="O519" s="382"/>
      <c r="P519" s="382"/>
      <c r="Q519" s="382"/>
      <c r="R519" s="382"/>
      <c r="S519" s="382"/>
      <c r="T519" s="382"/>
      <c r="U519" s="382"/>
      <c r="V519" s="382"/>
      <c r="W519" s="382"/>
      <c r="X519" s="382"/>
    </row>
    <row r="520" spans="2:24">
      <c r="B520" s="637"/>
      <c r="C520" s="637"/>
      <c r="D520" s="637"/>
      <c r="E520" s="639"/>
      <c r="F520" s="639"/>
      <c r="G520" s="639"/>
      <c r="H520" s="637"/>
      <c r="I520" s="637"/>
      <c r="J520" s="637"/>
      <c r="K520" s="641"/>
      <c r="L520" s="641"/>
      <c r="M520" s="641"/>
      <c r="N520" s="665"/>
      <c r="O520" s="382"/>
      <c r="P520" s="382"/>
      <c r="Q520" s="382"/>
      <c r="R520" s="382"/>
      <c r="S520" s="382"/>
      <c r="T520" s="382"/>
      <c r="U520" s="382"/>
      <c r="V520" s="382"/>
      <c r="W520" s="382"/>
      <c r="X520" s="382"/>
    </row>
    <row r="521" spans="2:24">
      <c r="B521" s="637"/>
      <c r="C521" s="637"/>
      <c r="D521" s="637"/>
      <c r="E521" s="639"/>
      <c r="F521" s="639"/>
      <c r="G521" s="639"/>
      <c r="H521" s="637"/>
      <c r="I521" s="637"/>
      <c r="J521" s="637"/>
      <c r="K521" s="641"/>
      <c r="L521" s="641"/>
      <c r="M521" s="641"/>
      <c r="N521" s="665"/>
      <c r="O521" s="382"/>
      <c r="P521" s="382"/>
      <c r="Q521" s="382"/>
      <c r="R521" s="382"/>
      <c r="S521" s="382"/>
      <c r="T521" s="382"/>
      <c r="U521" s="382"/>
      <c r="V521" s="382"/>
      <c r="W521" s="382"/>
      <c r="X521" s="382"/>
    </row>
    <row r="522" spans="2:24">
      <c r="B522" s="637"/>
      <c r="C522" s="637"/>
      <c r="D522" s="637"/>
      <c r="E522" s="639"/>
      <c r="F522" s="639"/>
      <c r="G522" s="639"/>
      <c r="H522" s="637"/>
      <c r="I522" s="637"/>
      <c r="J522" s="637"/>
      <c r="K522" s="641"/>
      <c r="L522" s="641"/>
      <c r="M522" s="641"/>
      <c r="N522" s="665"/>
      <c r="O522" s="382"/>
      <c r="P522" s="382"/>
      <c r="Q522" s="382"/>
      <c r="R522" s="382"/>
      <c r="S522" s="382"/>
      <c r="T522" s="382"/>
      <c r="U522" s="382"/>
      <c r="V522" s="382"/>
      <c r="W522" s="382"/>
      <c r="X522" s="382"/>
    </row>
    <row r="523" spans="2:24">
      <c r="B523" s="637"/>
      <c r="C523" s="637"/>
      <c r="D523" s="637"/>
      <c r="E523" s="639"/>
      <c r="F523" s="639"/>
      <c r="G523" s="639"/>
      <c r="H523" s="637"/>
      <c r="I523" s="637"/>
      <c r="J523" s="637"/>
      <c r="K523" s="641"/>
      <c r="L523" s="641"/>
      <c r="M523" s="641"/>
      <c r="N523" s="665"/>
      <c r="O523" s="382"/>
      <c r="P523" s="382"/>
      <c r="Q523" s="382"/>
      <c r="R523" s="382"/>
      <c r="S523" s="382"/>
      <c r="T523" s="382"/>
      <c r="U523" s="382"/>
      <c r="V523" s="382"/>
      <c r="W523" s="382"/>
      <c r="X523" s="382"/>
    </row>
    <row r="524" spans="2:24">
      <c r="B524" s="637"/>
      <c r="C524" s="637"/>
      <c r="D524" s="637"/>
      <c r="E524" s="639"/>
      <c r="F524" s="639"/>
      <c r="G524" s="639"/>
      <c r="H524" s="637"/>
      <c r="I524" s="637"/>
      <c r="J524" s="637"/>
      <c r="K524" s="641"/>
      <c r="L524" s="641"/>
      <c r="M524" s="641"/>
      <c r="N524" s="665"/>
      <c r="O524" s="382"/>
      <c r="P524" s="382"/>
      <c r="Q524" s="382"/>
      <c r="R524" s="382"/>
      <c r="S524" s="382"/>
      <c r="T524" s="382"/>
      <c r="U524" s="382"/>
      <c r="V524" s="382"/>
      <c r="W524" s="382"/>
      <c r="X524" s="382"/>
    </row>
    <row r="525" spans="2:24">
      <c r="B525" s="637"/>
      <c r="C525" s="637"/>
      <c r="D525" s="637"/>
      <c r="E525" s="639"/>
      <c r="F525" s="639"/>
      <c r="G525" s="639"/>
      <c r="H525" s="637"/>
      <c r="I525" s="637"/>
      <c r="J525" s="637"/>
      <c r="K525" s="641"/>
      <c r="L525" s="641"/>
      <c r="M525" s="641"/>
      <c r="N525" s="665"/>
      <c r="O525" s="382"/>
      <c r="P525" s="382"/>
      <c r="Q525" s="382"/>
      <c r="R525" s="382"/>
      <c r="S525" s="382"/>
      <c r="T525" s="382"/>
      <c r="U525" s="382"/>
      <c r="V525" s="382"/>
      <c r="W525" s="382"/>
      <c r="X525" s="382"/>
    </row>
    <row r="526" spans="2:24">
      <c r="B526" s="637"/>
      <c r="C526" s="637"/>
      <c r="D526" s="637"/>
      <c r="E526" s="639"/>
      <c r="F526" s="639"/>
      <c r="G526" s="639"/>
      <c r="H526" s="637"/>
      <c r="I526" s="637"/>
      <c r="J526" s="637"/>
      <c r="K526" s="641"/>
      <c r="L526" s="641"/>
      <c r="M526" s="641"/>
      <c r="N526" s="665"/>
      <c r="O526" s="382"/>
      <c r="P526" s="382"/>
      <c r="Q526" s="382"/>
      <c r="R526" s="382"/>
      <c r="S526" s="382"/>
      <c r="T526" s="382"/>
      <c r="U526" s="382"/>
      <c r="V526" s="382"/>
      <c r="W526" s="382"/>
      <c r="X526" s="382"/>
    </row>
    <row r="527" spans="2:24">
      <c r="B527" s="637"/>
      <c r="C527" s="637"/>
      <c r="D527" s="637"/>
      <c r="E527" s="639"/>
      <c r="F527" s="639"/>
      <c r="G527" s="639"/>
      <c r="H527" s="637"/>
      <c r="I527" s="637"/>
      <c r="J527" s="637"/>
      <c r="K527" s="641"/>
      <c r="L527" s="641"/>
      <c r="M527" s="641"/>
      <c r="N527" s="665"/>
      <c r="O527" s="382"/>
      <c r="P527" s="382"/>
      <c r="Q527" s="382"/>
      <c r="R527" s="382"/>
      <c r="S527" s="382"/>
      <c r="T527" s="382"/>
      <c r="U527" s="382"/>
      <c r="V527" s="382"/>
      <c r="W527" s="382"/>
      <c r="X527" s="382"/>
    </row>
    <row r="528" spans="2:24">
      <c r="B528" s="637"/>
      <c r="C528" s="637"/>
      <c r="D528" s="637"/>
      <c r="E528" s="639"/>
      <c r="F528" s="639"/>
      <c r="G528" s="639"/>
      <c r="H528" s="637"/>
      <c r="I528" s="637"/>
      <c r="J528" s="637"/>
      <c r="K528" s="641"/>
      <c r="L528" s="641"/>
      <c r="M528" s="641"/>
      <c r="N528" s="665"/>
      <c r="O528" s="382"/>
      <c r="P528" s="382"/>
      <c r="Q528" s="382"/>
      <c r="R528" s="382"/>
      <c r="S528" s="382"/>
      <c r="T528" s="382"/>
      <c r="U528" s="382"/>
      <c r="V528" s="382"/>
      <c r="W528" s="382"/>
      <c r="X528" s="382"/>
    </row>
    <row r="529" spans="2:24">
      <c r="B529" s="637"/>
      <c r="C529" s="637"/>
      <c r="D529" s="637"/>
      <c r="E529" s="639"/>
      <c r="F529" s="639"/>
      <c r="G529" s="639"/>
      <c r="H529" s="637"/>
      <c r="I529" s="637"/>
      <c r="J529" s="637"/>
      <c r="K529" s="641"/>
      <c r="L529" s="641"/>
      <c r="M529" s="641"/>
      <c r="N529" s="665"/>
      <c r="O529" s="382"/>
      <c r="P529" s="382"/>
      <c r="Q529" s="382"/>
      <c r="R529" s="382"/>
      <c r="S529" s="382"/>
      <c r="T529" s="382"/>
      <c r="U529" s="382"/>
      <c r="V529" s="382"/>
      <c r="W529" s="382"/>
      <c r="X529" s="382"/>
    </row>
    <row r="530" spans="2:24">
      <c r="B530" s="637"/>
      <c r="C530" s="637"/>
      <c r="D530" s="637"/>
      <c r="E530" s="639"/>
      <c r="F530" s="639"/>
      <c r="G530" s="639"/>
      <c r="H530" s="637"/>
      <c r="I530" s="637"/>
      <c r="J530" s="637"/>
      <c r="K530" s="641"/>
      <c r="L530" s="641"/>
      <c r="M530" s="641"/>
      <c r="N530" s="665"/>
      <c r="O530" s="382"/>
      <c r="P530" s="382"/>
      <c r="Q530" s="382"/>
      <c r="R530" s="382"/>
      <c r="S530" s="382"/>
      <c r="T530" s="382"/>
      <c r="U530" s="382"/>
      <c r="V530" s="382"/>
      <c r="W530" s="382"/>
      <c r="X530" s="382"/>
    </row>
    <row r="531" spans="2:24">
      <c r="B531" s="637"/>
      <c r="C531" s="637"/>
      <c r="D531" s="637"/>
      <c r="E531" s="639"/>
      <c r="F531" s="639"/>
      <c r="G531" s="639"/>
      <c r="H531" s="637"/>
      <c r="I531" s="637"/>
      <c r="J531" s="637"/>
      <c r="K531" s="641"/>
      <c r="L531" s="641"/>
      <c r="M531" s="641"/>
      <c r="N531" s="665"/>
      <c r="O531" s="382"/>
      <c r="P531" s="382"/>
      <c r="Q531" s="382"/>
      <c r="R531" s="382"/>
      <c r="S531" s="382"/>
      <c r="T531" s="382"/>
      <c r="U531" s="382"/>
      <c r="V531" s="382"/>
      <c r="W531" s="382"/>
      <c r="X531" s="382"/>
    </row>
    <row r="532" spans="2:24">
      <c r="B532" s="637"/>
      <c r="C532" s="637"/>
      <c r="D532" s="637"/>
      <c r="E532" s="639"/>
      <c r="F532" s="639"/>
      <c r="G532" s="639"/>
      <c r="H532" s="637"/>
      <c r="I532" s="637"/>
      <c r="J532" s="637"/>
      <c r="K532" s="641"/>
      <c r="L532" s="641"/>
      <c r="M532" s="641"/>
      <c r="N532" s="665"/>
      <c r="O532" s="382"/>
      <c r="P532" s="382"/>
      <c r="Q532" s="382"/>
      <c r="R532" s="382"/>
      <c r="S532" s="382"/>
      <c r="T532" s="382"/>
      <c r="U532" s="382"/>
      <c r="V532" s="382"/>
      <c r="W532" s="382"/>
      <c r="X532" s="382"/>
    </row>
    <row r="533" spans="2:24">
      <c r="B533" s="637"/>
      <c r="C533" s="637"/>
      <c r="D533" s="637"/>
      <c r="E533" s="639"/>
      <c r="F533" s="639"/>
      <c r="G533" s="639"/>
      <c r="H533" s="637"/>
      <c r="I533" s="637"/>
      <c r="J533" s="637"/>
      <c r="K533" s="641"/>
      <c r="L533" s="641"/>
      <c r="M533" s="641"/>
      <c r="N533" s="665"/>
      <c r="O533" s="382"/>
      <c r="P533" s="382"/>
      <c r="Q533" s="382"/>
      <c r="R533" s="382"/>
      <c r="S533" s="382"/>
      <c r="T533" s="382"/>
      <c r="U533" s="382"/>
      <c r="V533" s="382"/>
      <c r="W533" s="382"/>
      <c r="X533" s="382"/>
    </row>
    <row r="534" spans="2:24">
      <c r="B534" s="637"/>
      <c r="C534" s="637"/>
      <c r="D534" s="637"/>
      <c r="E534" s="639"/>
      <c r="F534" s="639"/>
      <c r="G534" s="639"/>
      <c r="H534" s="637"/>
      <c r="I534" s="637"/>
      <c r="J534" s="637"/>
      <c r="K534" s="641"/>
      <c r="L534" s="641"/>
      <c r="M534" s="641"/>
      <c r="N534" s="665"/>
      <c r="O534" s="382"/>
      <c r="P534" s="382"/>
      <c r="Q534" s="382"/>
      <c r="R534" s="382"/>
      <c r="S534" s="382"/>
      <c r="T534" s="382"/>
      <c r="U534" s="382"/>
      <c r="V534" s="382"/>
      <c r="W534" s="382"/>
      <c r="X534" s="382"/>
    </row>
    <row r="535" spans="2:24">
      <c r="B535" s="637"/>
      <c r="C535" s="637"/>
      <c r="D535" s="637"/>
      <c r="E535" s="639"/>
      <c r="F535" s="639"/>
      <c r="G535" s="639"/>
      <c r="H535" s="637"/>
      <c r="I535" s="637"/>
      <c r="J535" s="637"/>
      <c r="K535" s="641"/>
      <c r="L535" s="641"/>
      <c r="M535" s="641"/>
      <c r="N535" s="665"/>
      <c r="O535" s="382"/>
      <c r="P535" s="382"/>
      <c r="Q535" s="382"/>
      <c r="R535" s="382"/>
      <c r="S535" s="382"/>
      <c r="T535" s="382"/>
      <c r="U535" s="382"/>
      <c r="V535" s="382"/>
      <c r="W535" s="382"/>
      <c r="X535" s="382"/>
    </row>
    <row r="536" spans="2:24">
      <c r="B536" s="637"/>
      <c r="C536" s="637"/>
      <c r="D536" s="637"/>
      <c r="E536" s="639"/>
      <c r="F536" s="639"/>
      <c r="G536" s="639"/>
      <c r="H536" s="637"/>
      <c r="I536" s="637"/>
      <c r="J536" s="637"/>
      <c r="K536" s="641"/>
      <c r="L536" s="641"/>
      <c r="M536" s="641"/>
      <c r="N536" s="665"/>
      <c r="O536" s="382"/>
      <c r="P536" s="382"/>
      <c r="Q536" s="382"/>
      <c r="R536" s="382"/>
      <c r="S536" s="382"/>
      <c r="T536" s="382"/>
      <c r="U536" s="382"/>
      <c r="V536" s="382"/>
      <c r="W536" s="382"/>
      <c r="X536" s="382"/>
    </row>
    <row r="537" spans="2:24">
      <c r="B537" s="637"/>
      <c r="C537" s="637"/>
      <c r="D537" s="637"/>
      <c r="E537" s="639"/>
      <c r="F537" s="639"/>
      <c r="G537" s="639"/>
      <c r="H537" s="637"/>
      <c r="I537" s="637"/>
      <c r="J537" s="637"/>
      <c r="K537" s="641"/>
      <c r="L537" s="641"/>
      <c r="M537" s="641"/>
      <c r="N537" s="665"/>
      <c r="O537" s="382"/>
      <c r="P537" s="382"/>
      <c r="Q537" s="382"/>
      <c r="R537" s="382"/>
      <c r="S537" s="382"/>
      <c r="T537" s="382"/>
      <c r="U537" s="382"/>
      <c r="V537" s="382"/>
      <c r="W537" s="382"/>
      <c r="X537" s="382"/>
    </row>
    <row r="538" spans="2:24">
      <c r="B538" s="637"/>
      <c r="C538" s="637"/>
      <c r="D538" s="637"/>
      <c r="E538" s="639"/>
      <c r="F538" s="639"/>
      <c r="G538" s="639"/>
      <c r="H538" s="637"/>
      <c r="I538" s="637"/>
      <c r="J538" s="637"/>
      <c r="K538" s="641"/>
      <c r="L538" s="641"/>
      <c r="M538" s="641"/>
      <c r="N538" s="665"/>
      <c r="O538" s="382"/>
      <c r="P538" s="382"/>
      <c r="Q538" s="382"/>
      <c r="R538" s="382"/>
      <c r="S538" s="382"/>
      <c r="T538" s="382"/>
      <c r="U538" s="382"/>
      <c r="V538" s="382"/>
      <c r="W538" s="382"/>
      <c r="X538" s="382"/>
    </row>
    <row r="539" spans="2:24">
      <c r="B539" s="637"/>
      <c r="C539" s="637"/>
      <c r="D539" s="637"/>
      <c r="E539" s="639"/>
      <c r="F539" s="639"/>
      <c r="G539" s="639"/>
      <c r="H539" s="637"/>
      <c r="I539" s="637"/>
      <c r="J539" s="637"/>
      <c r="K539" s="641"/>
      <c r="L539" s="641"/>
      <c r="M539" s="641"/>
      <c r="N539" s="665"/>
      <c r="O539" s="382"/>
      <c r="P539" s="382"/>
      <c r="Q539" s="382"/>
      <c r="R539" s="382"/>
      <c r="S539" s="382"/>
      <c r="T539" s="382"/>
      <c r="U539" s="382"/>
      <c r="V539" s="382"/>
      <c r="W539" s="382"/>
      <c r="X539" s="382"/>
    </row>
    <row r="540" spans="2:24">
      <c r="B540" s="637"/>
      <c r="C540" s="637"/>
      <c r="D540" s="637"/>
      <c r="E540" s="639"/>
      <c r="F540" s="639"/>
      <c r="G540" s="639"/>
      <c r="H540" s="637"/>
      <c r="I540" s="637"/>
      <c r="J540" s="637"/>
      <c r="K540" s="641"/>
      <c r="L540" s="641"/>
      <c r="M540" s="641"/>
      <c r="N540" s="665"/>
      <c r="O540" s="382"/>
      <c r="P540" s="382"/>
      <c r="Q540" s="382"/>
      <c r="R540" s="382"/>
      <c r="S540" s="382"/>
      <c r="T540" s="382"/>
      <c r="U540" s="382"/>
      <c r="V540" s="382"/>
      <c r="W540" s="382"/>
      <c r="X540" s="382"/>
    </row>
    <row r="541" spans="2:24">
      <c r="B541" s="637"/>
      <c r="C541" s="637"/>
      <c r="D541" s="637"/>
      <c r="E541" s="639"/>
      <c r="F541" s="639"/>
      <c r="G541" s="639"/>
      <c r="H541" s="637"/>
      <c r="I541" s="637"/>
      <c r="J541" s="637"/>
      <c r="K541" s="641"/>
      <c r="L541" s="641"/>
      <c r="M541" s="641"/>
      <c r="N541" s="665"/>
      <c r="O541" s="382"/>
      <c r="P541" s="382"/>
      <c r="Q541" s="382"/>
      <c r="R541" s="382"/>
      <c r="S541" s="382"/>
      <c r="T541" s="382"/>
      <c r="U541" s="382"/>
      <c r="V541" s="382"/>
      <c r="W541" s="382"/>
      <c r="X541" s="382"/>
    </row>
    <row r="542" spans="2:24">
      <c r="B542" s="637"/>
      <c r="C542" s="637"/>
      <c r="D542" s="637"/>
      <c r="E542" s="639"/>
      <c r="F542" s="639"/>
      <c r="G542" s="639"/>
      <c r="H542" s="637"/>
      <c r="I542" s="637"/>
      <c r="J542" s="637"/>
      <c r="K542" s="641"/>
      <c r="L542" s="641"/>
      <c r="M542" s="641"/>
      <c r="N542" s="665"/>
      <c r="O542" s="382"/>
      <c r="P542" s="382"/>
      <c r="Q542" s="382"/>
      <c r="R542" s="382"/>
      <c r="S542" s="382"/>
      <c r="T542" s="382"/>
      <c r="U542" s="382"/>
      <c r="V542" s="382"/>
      <c r="W542" s="382"/>
      <c r="X542" s="382"/>
    </row>
    <row r="543" spans="2:24">
      <c r="B543" s="637"/>
      <c r="C543" s="637"/>
      <c r="D543" s="637"/>
      <c r="E543" s="639"/>
      <c r="F543" s="639"/>
      <c r="G543" s="639"/>
      <c r="H543" s="637"/>
      <c r="I543" s="637"/>
      <c r="J543" s="637"/>
      <c r="K543" s="641"/>
      <c r="L543" s="641"/>
      <c r="M543" s="641"/>
      <c r="N543" s="665"/>
      <c r="O543" s="382"/>
      <c r="P543" s="382"/>
      <c r="Q543" s="382"/>
      <c r="R543" s="382"/>
      <c r="S543" s="382"/>
      <c r="T543" s="382"/>
      <c r="U543" s="382"/>
      <c r="V543" s="382"/>
      <c r="W543" s="382"/>
      <c r="X543" s="382"/>
    </row>
    <row r="544" spans="2:24">
      <c r="B544" s="637"/>
      <c r="C544" s="637"/>
      <c r="D544" s="637"/>
      <c r="E544" s="639"/>
      <c r="F544" s="639"/>
      <c r="G544" s="639"/>
      <c r="H544" s="637"/>
      <c r="I544" s="637"/>
      <c r="J544" s="637"/>
      <c r="K544" s="641"/>
      <c r="L544" s="641"/>
      <c r="M544" s="641"/>
      <c r="N544" s="665"/>
      <c r="O544" s="382"/>
      <c r="P544" s="382"/>
      <c r="Q544" s="382"/>
      <c r="R544" s="382"/>
      <c r="S544" s="382"/>
      <c r="T544" s="382"/>
      <c r="U544" s="382"/>
      <c r="V544" s="382"/>
      <c r="W544" s="382"/>
      <c r="X544" s="382"/>
    </row>
    <row r="545" spans="2:24">
      <c r="B545" s="637"/>
      <c r="C545" s="637"/>
      <c r="D545" s="637"/>
      <c r="E545" s="639"/>
      <c r="F545" s="639"/>
      <c r="G545" s="639"/>
      <c r="H545" s="637"/>
      <c r="I545" s="637"/>
      <c r="J545" s="637"/>
      <c r="K545" s="641"/>
      <c r="L545" s="641"/>
      <c r="M545" s="641"/>
      <c r="N545" s="665"/>
      <c r="O545" s="382"/>
      <c r="P545" s="382"/>
      <c r="Q545" s="382"/>
      <c r="R545" s="382"/>
      <c r="S545" s="382"/>
      <c r="T545" s="382"/>
      <c r="U545" s="382"/>
      <c r="V545" s="382"/>
      <c r="W545" s="382"/>
      <c r="X545" s="382"/>
    </row>
    <row r="546" spans="2:24">
      <c r="B546" s="637"/>
      <c r="C546" s="637"/>
      <c r="D546" s="637"/>
      <c r="E546" s="639"/>
      <c r="F546" s="639"/>
      <c r="G546" s="639"/>
      <c r="H546" s="637"/>
      <c r="I546" s="637"/>
      <c r="J546" s="637"/>
      <c r="K546" s="641"/>
      <c r="L546" s="641"/>
      <c r="M546" s="641"/>
      <c r="N546" s="665"/>
      <c r="O546" s="382"/>
      <c r="P546" s="382"/>
      <c r="Q546" s="382"/>
      <c r="R546" s="382"/>
      <c r="S546" s="382"/>
      <c r="T546" s="382"/>
      <c r="U546" s="382"/>
      <c r="V546" s="382"/>
      <c r="W546" s="382"/>
      <c r="X546" s="382"/>
    </row>
    <row r="547" spans="2:24">
      <c r="B547" s="637"/>
      <c r="C547" s="637"/>
      <c r="D547" s="637"/>
      <c r="E547" s="639"/>
      <c r="F547" s="639"/>
      <c r="G547" s="639"/>
      <c r="H547" s="637"/>
      <c r="I547" s="637"/>
      <c r="J547" s="637"/>
      <c r="K547" s="641"/>
      <c r="L547" s="641"/>
      <c r="M547" s="641"/>
      <c r="N547" s="665"/>
      <c r="O547" s="382"/>
      <c r="P547" s="382"/>
      <c r="Q547" s="382"/>
      <c r="R547" s="382"/>
      <c r="S547" s="382"/>
      <c r="T547" s="382"/>
      <c r="U547" s="382"/>
      <c r="V547" s="382"/>
      <c r="W547" s="382"/>
      <c r="X547" s="382"/>
    </row>
    <row r="548" spans="2:24">
      <c r="B548" s="637"/>
      <c r="C548" s="637"/>
      <c r="D548" s="637"/>
      <c r="E548" s="639"/>
      <c r="F548" s="639"/>
      <c r="G548" s="639"/>
      <c r="H548" s="637"/>
      <c r="I548" s="637"/>
      <c r="J548" s="637"/>
      <c r="K548" s="641"/>
      <c r="L548" s="641"/>
      <c r="M548" s="641"/>
      <c r="N548" s="665"/>
      <c r="O548" s="382"/>
      <c r="P548" s="382"/>
      <c r="Q548" s="382"/>
      <c r="R548" s="382"/>
      <c r="S548" s="382"/>
      <c r="T548" s="382"/>
      <c r="U548" s="382"/>
      <c r="V548" s="382"/>
      <c r="W548" s="382"/>
      <c r="X548" s="382"/>
    </row>
    <row r="549" spans="2:24">
      <c r="B549" s="637"/>
      <c r="C549" s="637"/>
      <c r="D549" s="637"/>
      <c r="E549" s="639"/>
      <c r="F549" s="639"/>
      <c r="G549" s="639"/>
      <c r="H549" s="637"/>
      <c r="I549" s="637"/>
      <c r="J549" s="637"/>
      <c r="K549" s="641"/>
      <c r="L549" s="641"/>
      <c r="M549" s="641"/>
      <c r="N549" s="665"/>
      <c r="O549" s="382"/>
      <c r="P549" s="382"/>
      <c r="Q549" s="382"/>
      <c r="R549" s="382"/>
      <c r="S549" s="382"/>
      <c r="T549" s="382"/>
      <c r="U549" s="382"/>
      <c r="V549" s="382"/>
      <c r="W549" s="382"/>
      <c r="X549" s="382"/>
    </row>
    <row r="550" spans="2:24">
      <c r="B550" s="637"/>
      <c r="C550" s="637"/>
      <c r="D550" s="637"/>
      <c r="E550" s="639"/>
      <c r="F550" s="639"/>
      <c r="G550" s="639"/>
      <c r="H550" s="637"/>
      <c r="I550" s="637"/>
      <c r="J550" s="637"/>
      <c r="K550" s="641"/>
      <c r="L550" s="641"/>
      <c r="M550" s="641"/>
      <c r="N550" s="665"/>
      <c r="O550" s="382"/>
      <c r="P550" s="382"/>
      <c r="Q550" s="382"/>
      <c r="R550" s="382"/>
      <c r="S550" s="382"/>
      <c r="T550" s="382"/>
      <c r="U550" s="382"/>
      <c r="V550" s="382"/>
      <c r="W550" s="382"/>
      <c r="X550" s="382"/>
    </row>
    <row r="551" spans="2:24">
      <c r="B551" s="637"/>
      <c r="C551" s="637"/>
      <c r="D551" s="637"/>
      <c r="E551" s="639"/>
      <c r="F551" s="639"/>
      <c r="G551" s="639"/>
      <c r="H551" s="637"/>
      <c r="I551" s="637"/>
      <c r="J551" s="637"/>
      <c r="K551" s="641"/>
      <c r="L551" s="641"/>
      <c r="M551" s="641"/>
      <c r="N551" s="665"/>
      <c r="O551" s="382"/>
      <c r="P551" s="382"/>
      <c r="Q551" s="382"/>
      <c r="R551" s="382"/>
      <c r="S551" s="382"/>
      <c r="T551" s="382"/>
      <c r="U551" s="382"/>
      <c r="V551" s="382"/>
      <c r="W551" s="382"/>
      <c r="X551" s="382"/>
    </row>
    <row r="552" spans="2:24">
      <c r="B552" s="637"/>
      <c r="C552" s="637"/>
      <c r="D552" s="637"/>
      <c r="E552" s="639"/>
      <c r="F552" s="639"/>
      <c r="G552" s="639"/>
      <c r="H552" s="637"/>
      <c r="I552" s="637"/>
      <c r="J552" s="637"/>
      <c r="K552" s="641"/>
      <c r="L552" s="641"/>
      <c r="M552" s="641"/>
      <c r="N552" s="665"/>
      <c r="O552" s="382"/>
      <c r="P552" s="382"/>
      <c r="Q552" s="382"/>
      <c r="R552" s="382"/>
      <c r="S552" s="382"/>
      <c r="T552" s="382"/>
      <c r="U552" s="382"/>
      <c r="V552" s="382"/>
      <c r="W552" s="382"/>
      <c r="X552" s="382"/>
    </row>
    <row r="553" spans="2:24">
      <c r="B553" s="637"/>
      <c r="C553" s="637"/>
      <c r="D553" s="637"/>
      <c r="E553" s="639"/>
      <c r="F553" s="639"/>
      <c r="G553" s="639"/>
      <c r="H553" s="637"/>
      <c r="I553" s="637"/>
      <c r="J553" s="637"/>
      <c r="K553" s="641"/>
      <c r="L553" s="641"/>
      <c r="M553" s="641"/>
      <c r="N553" s="665"/>
      <c r="O553" s="382"/>
      <c r="P553" s="382"/>
      <c r="Q553" s="382"/>
      <c r="R553" s="382"/>
      <c r="S553" s="382"/>
      <c r="T553" s="382"/>
      <c r="U553" s="382"/>
      <c r="V553" s="382"/>
      <c r="W553" s="382"/>
      <c r="X553" s="382"/>
    </row>
    <row r="554" spans="2:24">
      <c r="B554" s="637"/>
      <c r="C554" s="637"/>
      <c r="D554" s="637"/>
      <c r="E554" s="639"/>
      <c r="F554" s="639"/>
      <c r="G554" s="639"/>
      <c r="H554" s="637"/>
      <c r="I554" s="637"/>
      <c r="J554" s="637"/>
      <c r="K554" s="641"/>
      <c r="L554" s="641"/>
      <c r="M554" s="641"/>
      <c r="N554" s="665"/>
      <c r="O554" s="382"/>
      <c r="P554" s="382"/>
      <c r="Q554" s="382"/>
      <c r="R554" s="382"/>
      <c r="S554" s="382"/>
      <c r="T554" s="382"/>
      <c r="U554" s="382"/>
      <c r="V554" s="382"/>
      <c r="W554" s="382"/>
      <c r="X554" s="382"/>
    </row>
    <row r="555" spans="2:24">
      <c r="B555" s="637"/>
      <c r="C555" s="637"/>
      <c r="D555" s="637"/>
      <c r="E555" s="639"/>
      <c r="F555" s="639"/>
      <c r="G555" s="639"/>
      <c r="H555" s="637"/>
      <c r="I555" s="637"/>
      <c r="J555" s="637"/>
      <c r="K555" s="641"/>
      <c r="L555" s="641"/>
      <c r="M555" s="641"/>
      <c r="N555" s="665"/>
      <c r="O555" s="382"/>
      <c r="P555" s="382"/>
      <c r="Q555" s="382"/>
      <c r="R555" s="382"/>
      <c r="S555" s="382"/>
      <c r="T555" s="382"/>
      <c r="U555" s="382"/>
      <c r="V555" s="382"/>
      <c r="W555" s="382"/>
      <c r="X555" s="382"/>
    </row>
    <row r="556" spans="2:24">
      <c r="B556" s="637"/>
      <c r="C556" s="637"/>
      <c r="D556" s="637"/>
      <c r="E556" s="639"/>
      <c r="F556" s="639"/>
      <c r="G556" s="639"/>
      <c r="H556" s="637"/>
      <c r="I556" s="637"/>
      <c r="J556" s="637"/>
      <c r="K556" s="641"/>
      <c r="L556" s="641"/>
      <c r="M556" s="641"/>
      <c r="N556" s="665"/>
      <c r="O556" s="382"/>
      <c r="P556" s="382"/>
      <c r="Q556" s="382"/>
      <c r="R556" s="382"/>
      <c r="S556" s="382"/>
      <c r="T556" s="382"/>
      <c r="U556" s="382"/>
      <c r="V556" s="382"/>
      <c r="W556" s="382"/>
      <c r="X556" s="382"/>
    </row>
    <row r="557" spans="2:24">
      <c r="B557" s="637"/>
      <c r="C557" s="637"/>
      <c r="D557" s="637"/>
      <c r="E557" s="639"/>
      <c r="F557" s="639"/>
      <c r="G557" s="639"/>
      <c r="H557" s="637"/>
      <c r="I557" s="637"/>
      <c r="J557" s="637"/>
      <c r="K557" s="641"/>
      <c r="L557" s="641"/>
      <c r="M557" s="641"/>
      <c r="N557" s="665"/>
      <c r="O557" s="382"/>
      <c r="P557" s="382"/>
      <c r="Q557" s="382"/>
      <c r="R557" s="382"/>
      <c r="S557" s="382"/>
      <c r="T557" s="382"/>
      <c r="U557" s="382"/>
      <c r="V557" s="382"/>
      <c r="W557" s="382"/>
      <c r="X557" s="382"/>
    </row>
    <row r="558" spans="2:24">
      <c r="B558" s="637"/>
      <c r="C558" s="637"/>
      <c r="D558" s="637"/>
      <c r="E558" s="639"/>
      <c r="F558" s="639"/>
      <c r="G558" s="639"/>
      <c r="H558" s="637"/>
      <c r="I558" s="637"/>
      <c r="J558" s="637"/>
      <c r="K558" s="641"/>
      <c r="L558" s="641"/>
      <c r="M558" s="641"/>
      <c r="N558" s="665"/>
      <c r="O558" s="382"/>
      <c r="P558" s="382"/>
      <c r="Q558" s="382"/>
      <c r="R558" s="382"/>
      <c r="S558" s="382"/>
      <c r="T558" s="382"/>
      <c r="U558" s="382"/>
      <c r="V558" s="382"/>
      <c r="W558" s="382"/>
      <c r="X558" s="382"/>
    </row>
    <row r="559" spans="2:24">
      <c r="B559" s="637"/>
      <c r="C559" s="637"/>
      <c r="D559" s="637"/>
      <c r="E559" s="639"/>
      <c r="F559" s="639"/>
      <c r="G559" s="639"/>
      <c r="H559" s="637"/>
      <c r="I559" s="637"/>
      <c r="J559" s="637"/>
      <c r="K559" s="641"/>
      <c r="L559" s="641"/>
      <c r="M559" s="641"/>
      <c r="N559" s="665"/>
      <c r="O559" s="382"/>
      <c r="P559" s="382"/>
      <c r="Q559" s="382"/>
      <c r="R559" s="382"/>
      <c r="S559" s="382"/>
      <c r="T559" s="382"/>
      <c r="U559" s="382"/>
      <c r="V559" s="382"/>
      <c r="W559" s="382"/>
      <c r="X559" s="382"/>
    </row>
    <row r="560" spans="2:24">
      <c r="B560" s="637"/>
      <c r="C560" s="637"/>
      <c r="D560" s="637"/>
      <c r="E560" s="639"/>
      <c r="F560" s="639"/>
      <c r="G560" s="639"/>
      <c r="H560" s="637"/>
      <c r="I560" s="637"/>
      <c r="J560" s="637"/>
      <c r="K560" s="641"/>
      <c r="L560" s="641"/>
      <c r="M560" s="641"/>
      <c r="N560" s="665"/>
      <c r="O560" s="382"/>
      <c r="P560" s="382"/>
      <c r="Q560" s="382"/>
      <c r="R560" s="382"/>
      <c r="S560" s="382"/>
      <c r="T560" s="382"/>
      <c r="U560" s="382"/>
      <c r="V560" s="382"/>
      <c r="W560" s="382"/>
      <c r="X560" s="382"/>
    </row>
    <row r="561" spans="2:24">
      <c r="B561" s="637"/>
      <c r="C561" s="637"/>
      <c r="D561" s="637"/>
      <c r="E561" s="639"/>
      <c r="F561" s="639"/>
      <c r="G561" s="639"/>
      <c r="H561" s="637"/>
      <c r="I561" s="637"/>
      <c r="J561" s="637"/>
      <c r="K561" s="641"/>
      <c r="L561" s="641"/>
      <c r="M561" s="641"/>
      <c r="N561" s="665"/>
      <c r="O561" s="382"/>
      <c r="P561" s="382"/>
      <c r="Q561" s="382"/>
      <c r="R561" s="382"/>
      <c r="S561" s="382"/>
      <c r="T561" s="382"/>
      <c r="U561" s="382"/>
      <c r="V561" s="382"/>
      <c r="W561" s="382"/>
      <c r="X561" s="382"/>
    </row>
    <row r="562" spans="2:24">
      <c r="B562" s="637"/>
      <c r="C562" s="637"/>
      <c r="D562" s="637"/>
      <c r="E562" s="639"/>
      <c r="F562" s="639"/>
      <c r="G562" s="639"/>
      <c r="H562" s="637"/>
      <c r="I562" s="637"/>
      <c r="J562" s="637"/>
      <c r="K562" s="641"/>
      <c r="L562" s="641"/>
      <c r="M562" s="641"/>
      <c r="N562" s="665"/>
      <c r="O562" s="382"/>
      <c r="P562" s="382"/>
      <c r="Q562" s="382"/>
      <c r="R562" s="382"/>
      <c r="S562" s="382"/>
      <c r="T562" s="382"/>
      <c r="U562" s="382"/>
      <c r="V562" s="382"/>
      <c r="W562" s="382"/>
      <c r="X562" s="382"/>
    </row>
    <row r="563" spans="2:24">
      <c r="B563" s="637"/>
      <c r="C563" s="637"/>
      <c r="D563" s="637"/>
      <c r="E563" s="639"/>
      <c r="F563" s="639"/>
      <c r="G563" s="639"/>
      <c r="H563" s="637"/>
      <c r="I563" s="637"/>
      <c r="J563" s="637"/>
      <c r="K563" s="641"/>
      <c r="L563" s="641"/>
      <c r="M563" s="641"/>
      <c r="N563" s="665"/>
      <c r="O563" s="382"/>
      <c r="P563" s="382"/>
      <c r="Q563" s="382"/>
      <c r="R563" s="382"/>
      <c r="S563" s="382"/>
      <c r="T563" s="382"/>
      <c r="U563" s="382"/>
      <c r="V563" s="382"/>
      <c r="W563" s="382"/>
      <c r="X563" s="382"/>
    </row>
    <row r="564" spans="2:24">
      <c r="B564" s="637"/>
      <c r="C564" s="637"/>
      <c r="D564" s="637"/>
      <c r="E564" s="639"/>
      <c r="F564" s="639"/>
      <c r="G564" s="639"/>
      <c r="H564" s="637"/>
      <c r="I564" s="637"/>
      <c r="J564" s="637"/>
      <c r="K564" s="641"/>
      <c r="L564" s="641"/>
      <c r="M564" s="641"/>
      <c r="N564" s="665"/>
      <c r="O564" s="382"/>
      <c r="P564" s="382"/>
      <c r="Q564" s="382"/>
      <c r="R564" s="382"/>
      <c r="S564" s="382"/>
      <c r="T564" s="382"/>
      <c r="U564" s="382"/>
      <c r="V564" s="382"/>
      <c r="W564" s="382"/>
      <c r="X564" s="382"/>
    </row>
    <row r="565" spans="2:24">
      <c r="B565" s="637"/>
      <c r="C565" s="637"/>
      <c r="D565" s="637"/>
      <c r="E565" s="639"/>
      <c r="F565" s="639"/>
      <c r="G565" s="639"/>
      <c r="H565" s="637"/>
      <c r="I565" s="637"/>
      <c r="J565" s="637"/>
      <c r="K565" s="641"/>
      <c r="L565" s="641"/>
      <c r="M565" s="641"/>
      <c r="N565" s="665"/>
      <c r="O565" s="382"/>
      <c r="P565" s="382"/>
      <c r="Q565" s="382"/>
      <c r="R565" s="382"/>
      <c r="S565" s="382"/>
      <c r="T565" s="382"/>
      <c r="U565" s="382"/>
      <c r="V565" s="382"/>
      <c r="W565" s="382"/>
      <c r="X565" s="382"/>
    </row>
    <row r="566" spans="2:24">
      <c r="B566" s="637"/>
      <c r="C566" s="637"/>
      <c r="D566" s="637"/>
      <c r="E566" s="639"/>
      <c r="F566" s="639"/>
      <c r="G566" s="639"/>
      <c r="H566" s="637"/>
      <c r="I566" s="637"/>
      <c r="J566" s="637"/>
      <c r="K566" s="641"/>
      <c r="L566" s="641"/>
      <c r="M566" s="641"/>
      <c r="N566" s="665"/>
      <c r="O566" s="382"/>
      <c r="P566" s="382"/>
      <c r="Q566" s="382"/>
      <c r="R566" s="382"/>
      <c r="S566" s="382"/>
      <c r="T566" s="382"/>
      <c r="U566" s="382"/>
      <c r="V566" s="382"/>
      <c r="W566" s="382"/>
      <c r="X566" s="382"/>
    </row>
    <row r="567" spans="2:24">
      <c r="B567" s="637"/>
      <c r="C567" s="637"/>
      <c r="D567" s="637"/>
      <c r="E567" s="639"/>
      <c r="F567" s="639"/>
      <c r="G567" s="639"/>
      <c r="H567" s="637"/>
      <c r="I567" s="637"/>
      <c r="J567" s="637"/>
      <c r="K567" s="641"/>
      <c r="L567" s="641"/>
      <c r="M567" s="641"/>
      <c r="N567" s="665"/>
      <c r="O567" s="382"/>
      <c r="P567" s="382"/>
      <c r="Q567" s="382"/>
      <c r="R567" s="382"/>
      <c r="S567" s="382"/>
      <c r="T567" s="382"/>
      <c r="U567" s="382"/>
      <c r="V567" s="382"/>
      <c r="W567" s="382"/>
      <c r="X567" s="382"/>
    </row>
    <row r="568" spans="2:24">
      <c r="B568" s="637"/>
      <c r="C568" s="637"/>
      <c r="D568" s="637"/>
      <c r="E568" s="639"/>
      <c r="F568" s="639"/>
      <c r="G568" s="639"/>
      <c r="H568" s="637"/>
      <c r="I568" s="637"/>
      <c r="J568" s="637"/>
      <c r="K568" s="641"/>
      <c r="L568" s="641"/>
      <c r="M568" s="641"/>
      <c r="N568" s="665"/>
      <c r="O568" s="382"/>
      <c r="P568" s="382"/>
      <c r="Q568" s="382"/>
      <c r="R568" s="382"/>
      <c r="S568" s="382"/>
      <c r="T568" s="382"/>
      <c r="U568" s="382"/>
      <c r="V568" s="382"/>
      <c r="W568" s="382"/>
      <c r="X568" s="382"/>
    </row>
  </sheetData>
  <mergeCells count="3">
    <mergeCell ref="E2:G2"/>
    <mergeCell ref="B2:D2"/>
    <mergeCell ref="H2:J2"/>
  </mergeCells>
  <conditionalFormatting sqref="C9">
    <cfRule type="dataBar" priority="4">
      <dataBar>
        <cfvo type="num" val="0"/>
        <cfvo type="num" val="300"/>
        <color rgb="FF4472C4"/>
      </dataBar>
    </cfRule>
  </conditionalFormatting>
  <conditionalFormatting sqref="F8">
    <cfRule type="dataBar" priority="3">
      <dataBar>
        <cfvo type="num" val="0"/>
        <cfvo type="num" val="300"/>
        <color rgb="FF4472C4"/>
      </dataBar>
    </cfRule>
  </conditionalFormatting>
  <conditionalFormatting sqref="I8">
    <cfRule type="dataBar" priority="5">
      <dataBar>
        <cfvo type="num" val="0"/>
        <cfvo type="num" val="300"/>
        <color rgb="FF4472C4"/>
      </dataBar>
    </cfRule>
  </conditionalFormatting>
  <conditionalFormatting sqref="M3:N8">
    <cfRule type="cellIs" dxfId="0" priority="2" operator="lessThan">
      <formula>0.9*$L3</formula>
    </cfRule>
  </conditionalFormatting>
  <conditionalFormatting sqref="P7:P11">
    <cfRule type="colorScale" priority="1">
      <colorScale>
        <cfvo type="num" val="0"/>
        <cfvo type="num" val="85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0"/>
  <sheetViews>
    <sheetView tabSelected="1" topLeftCell="A2" workbookViewId="0">
      <selection activeCell="C20" sqref="C20"/>
    </sheetView>
  </sheetViews>
  <sheetFormatPr defaultRowHeight="14.4"/>
  <cols>
    <col min="1" max="1" width="20" customWidth="1"/>
    <col min="2" max="4" width="15" customWidth="1"/>
    <col min="5" max="5" width="12" customWidth="1"/>
    <col min="6" max="8" width="15" customWidth="1"/>
  </cols>
  <sheetData>
    <row r="1" spans="1:8" ht="25.05" customHeight="1">
      <c r="A1" s="681" t="s">
        <v>799</v>
      </c>
      <c r="B1" s="682"/>
      <c r="C1" s="682"/>
      <c r="D1" s="682"/>
      <c r="E1" s="682"/>
      <c r="F1" s="682"/>
      <c r="G1" s="682"/>
      <c r="H1" s="683"/>
    </row>
    <row r="2" spans="1:8" ht="27.6">
      <c r="A2" s="646" t="s">
        <v>800</v>
      </c>
      <c r="B2" s="645"/>
      <c r="C2" s="645"/>
      <c r="D2" s="645"/>
      <c r="E2" s="645"/>
      <c r="F2" s="645"/>
      <c r="G2" s="645"/>
      <c r="H2" s="645"/>
    </row>
    <row r="3" spans="1:8">
      <c r="A3" s="645"/>
      <c r="B3" s="645"/>
      <c r="C3" s="645"/>
      <c r="D3" s="645"/>
      <c r="E3" s="645"/>
      <c r="F3" s="645"/>
      <c r="G3" s="645"/>
      <c r="H3" s="645"/>
    </row>
    <row r="4" spans="1:8" ht="31.2">
      <c r="A4" s="647" t="s">
        <v>801</v>
      </c>
      <c r="B4" s="645"/>
      <c r="C4" s="645"/>
      <c r="D4" s="645"/>
      <c r="E4" s="645"/>
      <c r="F4" s="645"/>
      <c r="G4" s="645"/>
      <c r="H4" s="645"/>
    </row>
    <row r="5" spans="1:8">
      <c r="A5" s="650" t="s">
        <v>802</v>
      </c>
      <c r="B5" s="650" t="s">
        <v>803</v>
      </c>
      <c r="C5" s="650" t="s">
        <v>804</v>
      </c>
      <c r="D5" s="650" t="s">
        <v>805</v>
      </c>
      <c r="E5" s="650" t="s">
        <v>806</v>
      </c>
      <c r="F5" s="650" t="s">
        <v>807</v>
      </c>
      <c r="G5" s="650" t="s">
        <v>808</v>
      </c>
      <c r="H5" s="650" t="s">
        <v>809</v>
      </c>
    </row>
    <row r="6" spans="1:8">
      <c r="A6" s="645" t="s">
        <v>810</v>
      </c>
      <c r="B6" s="645">
        <f>SUMIF('05_Daily_Orders'!M:M,"&gt;0")</f>
        <v>8905</v>
      </c>
      <c r="C6" s="645" cm="1">
        <f t="array" ref="C6">IF(B6&gt;0,SUMPRODUCT(('05_Daily_Orders'!$M$2:$M$328&gt;0)*('05_Daily_Orders'!$M$2:$M$328)*('05_Daily_Orders'!$O$2:$O$328))/SUMIF('05_Daily_Orders'!$M$2:$M$328,"&gt;0"),0)</f>
        <v>7.8275728759168066</v>
      </c>
      <c r="D6" s="645">
        <f>B6*C6</f>
        <v>69704.536460039162</v>
      </c>
      <c r="E6" s="645">
        <f>IF(B6&gt;0,SUMPRODUCT(('05_Daily_Orders'!$M$2:$M$328&gt;0)*('05_Daily_Orders'!$M$2:$M$328)*('05_Daily_Orders'!$P$2:$P$328))/SUMIF('05_Daily_Orders'!$M$2:$M$328,"&gt;0"),0)</f>
        <v>0.2218948680516564</v>
      </c>
      <c r="F6" s="645">
        <f>SUMIF('05_Daily_Orders'!$M$2:$M$328,"&gt;0",'05_Daily_Orders'!$R$2:$R$328)</f>
        <v>318404.65152642463</v>
      </c>
      <c r="G6" s="645">
        <f>SUMIF('05_Daily_Orders'!$M$2:$M$328,"&gt;0",'05_Daily_Orders'!$S$2:$S$328)</f>
        <v>470.60000000000008</v>
      </c>
      <c r="H6" s="645"/>
    </row>
    <row r="7" spans="1:8">
      <c r="A7" s="645" t="s">
        <v>811</v>
      </c>
      <c r="B7" s="645">
        <f ca="1">SUMIF('10_Cone_Line'!E:E,"&gt;0")</f>
        <v>1705</v>
      </c>
      <c r="C7" s="645">
        <f ca="1">IF(B7&gt;0,SUMPRODUCT(('10_Cone_Line'!$E$2:$E$129&gt;0)*('10_Cone_Line'!$E$2:$E$129)*('10_Cone_Line'!$J$2:$J$129))/SUMIF('10_Cone_Line'!$E$2:$E$129,"&gt;0"),0)</f>
        <v>0</v>
      </c>
      <c r="D7" s="645">
        <f ca="1">B7*C7</f>
        <v>0</v>
      </c>
      <c r="E7" s="645">
        <f ca="1">IF(B7&gt;0,SUMPRODUCT(('10_Cone_Line'!$E$2:$E$129&gt;0)*('10_Cone_Line'!$E$2:$E$129)*('10_Cone_Line'!$K$2:$K$129))/SUMIF('10_Cone_Line'!$E$2:$E$129,"&gt;0"),0)</f>
        <v>0</v>
      </c>
      <c r="F7" s="645">
        <f ca="1">SUMIF('10_Cone_Line'!$E$2:$E$129,"&gt;0",'10_Cone_Line'!$M$2:$M$129)</f>
        <v>0</v>
      </c>
      <c r="G7" s="645">
        <f ca="1">SUMIF('10_Cone_Line'!$E$2:$E$129,"&gt;0",'10_Cone_Line'!$N$2:$N$129)</f>
        <v>0</v>
      </c>
      <c r="H7" s="645"/>
    </row>
    <row r="8" spans="1:8">
      <c r="A8" s="645" t="s">
        <v>388</v>
      </c>
      <c r="B8" s="645">
        <f>SUM('04_Bagging_Order'!I5:I22)</f>
        <v>1040</v>
      </c>
      <c r="C8" s="645">
        <f ca="1">IF(B8&gt;0,SUMPRODUCT(('04_Bagging_Order'!$I$5:$I$22&gt;0)*('04_Bagging_Order'!$I$5:$I$22)*('04_Bagging_Order'!$O$5:$O$22))/SUMIF('04_Bagging_Order'!$I$5:$I$22,"&gt;0"),0)</f>
        <v>0</v>
      </c>
      <c r="D8" s="645">
        <f ca="1">B8*C8</f>
        <v>0</v>
      </c>
      <c r="E8" s="645">
        <f ca="1">IF(B8&gt;0,SUMPRODUCT(('04_Bagging_Order'!$I$5:$I$22&gt;0)*('04_Bagging_Order'!$I$5:$I$22)*('04_Bagging_Order'!$P$5:$P$22))/SUMIF('04_Bagging_Order'!$I$5:$I$22,"&gt;0"),0)</f>
        <v>0</v>
      </c>
      <c r="F8" s="645">
        <f ca="1">SUM('04_Bagging_Order'!R5:R22)</f>
        <v>0</v>
      </c>
      <c r="G8" s="645">
        <f ca="1">SUM('04_Bagging_Order'!S5:S22)</f>
        <v>0</v>
      </c>
      <c r="H8" s="645"/>
    </row>
    <row r="9" spans="1:8">
      <c r="A9" s="651" t="s">
        <v>812</v>
      </c>
      <c r="B9" s="649">
        <f ca="1">SUM(B6:B8)</f>
        <v>11650</v>
      </c>
      <c r="C9" s="649"/>
      <c r="D9" s="649">
        <f ca="1">SUM(D6:D8)</f>
        <v>69704.536460039162</v>
      </c>
      <c r="E9" s="645"/>
      <c r="F9" s="645">
        <f ca="1">SUM(F6:F8)</f>
        <v>318404.65152642463</v>
      </c>
      <c r="G9" s="652">
        <f ca="1">SUM(G6:G8)</f>
        <v>470.60000000000008</v>
      </c>
      <c r="H9" s="645"/>
    </row>
    <row r="10" spans="1:8">
      <c r="A10" s="645"/>
      <c r="B10" s="645"/>
      <c r="C10" s="645"/>
      <c r="D10" s="645"/>
      <c r="E10" s="645"/>
      <c r="F10" s="645"/>
      <c r="G10" s="645"/>
      <c r="H10" s="645"/>
    </row>
    <row r="11" spans="1:8" ht="31.2">
      <c r="A11" s="647" t="s">
        <v>813</v>
      </c>
      <c r="B11" s="645"/>
      <c r="C11" s="645"/>
      <c r="D11" s="645"/>
      <c r="E11" s="645"/>
      <c r="F11" s="645"/>
      <c r="G11" s="645"/>
      <c r="H11" s="645"/>
    </row>
    <row r="12" spans="1:8">
      <c r="A12" s="648" t="s">
        <v>814</v>
      </c>
      <c r="B12" s="648" t="s">
        <v>815</v>
      </c>
      <c r="C12" s="648" t="s">
        <v>816</v>
      </c>
      <c r="D12" s="645"/>
      <c r="E12" s="645"/>
      <c r="F12" s="645"/>
      <c r="G12" s="645"/>
      <c r="H12" s="645"/>
    </row>
    <row r="13" spans="1:8">
      <c r="A13" s="645" t="s">
        <v>817</v>
      </c>
      <c r="B13" s="645">
        <f>'01_Cages_Plan'!C3</f>
        <v>265</v>
      </c>
      <c r="C13" s="645" t="s">
        <v>818</v>
      </c>
      <c r="D13" s="645"/>
      <c r="E13" s="645"/>
      <c r="F13" s="645"/>
      <c r="G13" s="645"/>
      <c r="H13" s="645"/>
    </row>
    <row r="14" spans="1:8" ht="43.2">
      <c r="A14" s="645" t="s">
        <v>819</v>
      </c>
      <c r="B14" s="645">
        <f ca="1">G9</f>
        <v>470.60000000000008</v>
      </c>
      <c r="C14" s="645" t="s">
        <v>820</v>
      </c>
      <c r="D14" s="645"/>
      <c r="E14" s="645"/>
      <c r="F14" s="645"/>
      <c r="G14" s="645"/>
      <c r="H14" s="645"/>
    </row>
    <row r="15" spans="1:8">
      <c r="A15" s="645" t="s">
        <v>821</v>
      </c>
      <c r="B15" s="645">
        <f ca="1">B13-B14</f>
        <v>-205.60000000000008</v>
      </c>
      <c r="C15" s="645"/>
      <c r="D15" s="645"/>
      <c r="E15" s="645"/>
      <c r="F15" s="645"/>
      <c r="G15" s="645"/>
      <c r="H15" s="645"/>
    </row>
    <row r="16" spans="1:8">
      <c r="A16" s="645" t="s">
        <v>822</v>
      </c>
      <c r="B16" s="645" t="str">
        <f ca="1">IF(B15&gt;=0,"充足","不足")</f>
        <v>不足</v>
      </c>
      <c r="C16" s="645" t="s">
        <v>823</v>
      </c>
      <c r="D16" s="645"/>
      <c r="E16" s="645"/>
      <c r="F16" s="645"/>
      <c r="G16" s="645"/>
      <c r="H16" s="645"/>
    </row>
    <row r="17" spans="1:8" ht="15.6">
      <c r="A17" s="647"/>
      <c r="B17" s="645"/>
      <c r="C17" s="645"/>
      <c r="D17" s="645"/>
      <c r="E17" s="645"/>
      <c r="F17" s="645"/>
      <c r="G17" s="645"/>
      <c r="H17" s="645"/>
    </row>
    <row r="18" spans="1:8" ht="15.6">
      <c r="A18" s="653" t="s">
        <v>824</v>
      </c>
      <c r="B18" s="648"/>
      <c r="C18" s="648"/>
      <c r="D18" s="648"/>
      <c r="E18" s="648"/>
      <c r="F18" s="645"/>
      <c r="G18" s="645"/>
      <c r="H18" s="645"/>
    </row>
    <row r="19" spans="1:8">
      <c r="A19" s="648" t="s">
        <v>825</v>
      </c>
      <c r="B19" s="648" t="s">
        <v>826</v>
      </c>
      <c r="C19" s="648" t="s">
        <v>827</v>
      </c>
      <c r="D19" s="648" t="s">
        <v>828</v>
      </c>
      <c r="E19" s="648" t="s">
        <v>809</v>
      </c>
      <c r="F19" s="645"/>
      <c r="G19" s="645"/>
      <c r="H19" s="645"/>
    </row>
    <row r="20" spans="1:8">
      <c r="A20" s="645">
        <f>'06_Resource_Plan'!C2</f>
        <v>61010</v>
      </c>
      <c r="B20" s="645">
        <f>'06_Resource_Plan'!L2</f>
        <v>22</v>
      </c>
      <c r="C20" s="645">
        <f>'06_Resource_Plan'!D2</f>
        <v>0</v>
      </c>
      <c r="D20" s="645">
        <f t="shared" ref="D20:D60" si="0">IF(AND(ISNUMBER(B20),ISNUMBER(C20)),B20-C20,"")</f>
        <v>22</v>
      </c>
      <c r="E20" s="645" t="str">
        <f t="shared" ref="E20:E60" si="1">IF(AND(ISNUMBER(B20),ISNUMBER(C20)),IF(B20&gt;=C20,"OK","缺货"),"")</f>
        <v>OK</v>
      </c>
      <c r="F20" s="645"/>
      <c r="G20" s="645"/>
      <c r="H20" s="645"/>
    </row>
    <row r="21" spans="1:8">
      <c r="A21" s="645">
        <f>'06_Resource_Plan'!C3</f>
        <v>61014</v>
      </c>
      <c r="B21" s="645">
        <f>'06_Resource_Plan'!L3</f>
        <v>0</v>
      </c>
      <c r="C21" s="645">
        <f>'06_Resource_Plan'!D3</f>
        <v>0</v>
      </c>
      <c r="D21" s="645">
        <f t="shared" si="0"/>
        <v>0</v>
      </c>
      <c r="E21" s="645" t="str">
        <f t="shared" si="1"/>
        <v>OK</v>
      </c>
      <c r="F21" s="645"/>
      <c r="G21" s="645"/>
      <c r="H21" s="645"/>
    </row>
    <row r="22" spans="1:8">
      <c r="A22" s="645">
        <f>'06_Resource_Plan'!C4</f>
        <v>61018</v>
      </c>
      <c r="B22" s="645">
        <f>'06_Resource_Plan'!L4</f>
        <v>0</v>
      </c>
      <c r="C22" s="645">
        <f>'06_Resource_Plan'!D4</f>
        <v>0</v>
      </c>
      <c r="D22" s="645">
        <f t="shared" si="0"/>
        <v>0</v>
      </c>
      <c r="E22" s="645" t="str">
        <f t="shared" si="1"/>
        <v>OK</v>
      </c>
      <c r="F22" s="645"/>
      <c r="G22" s="645"/>
      <c r="H22" s="645"/>
    </row>
    <row r="23" spans="1:8">
      <c r="A23" s="645">
        <f>'06_Resource_Plan'!C5</f>
        <v>61040</v>
      </c>
      <c r="B23" s="645">
        <f>'06_Resource_Plan'!L5</f>
        <v>18</v>
      </c>
      <c r="C23" s="645">
        <f>'06_Resource_Plan'!D5</f>
        <v>0</v>
      </c>
      <c r="D23" s="645">
        <f t="shared" si="0"/>
        <v>18</v>
      </c>
      <c r="E23" s="645" t="str">
        <f t="shared" si="1"/>
        <v>OK</v>
      </c>
      <c r="F23" s="645"/>
      <c r="G23" s="645"/>
      <c r="H23" s="645"/>
    </row>
    <row r="24" spans="1:8">
      <c r="A24" s="645">
        <f>'06_Resource_Plan'!C6</f>
        <v>61050</v>
      </c>
      <c r="B24" s="645">
        <f>'06_Resource_Plan'!L6</f>
        <v>0</v>
      </c>
      <c r="C24" s="645">
        <f>'06_Resource_Plan'!D6</f>
        <v>0</v>
      </c>
      <c r="D24" s="645">
        <f t="shared" si="0"/>
        <v>0</v>
      </c>
      <c r="E24" s="645" t="str">
        <f t="shared" si="1"/>
        <v>OK</v>
      </c>
      <c r="F24" s="645"/>
      <c r="G24" s="645"/>
      <c r="H24" s="645"/>
    </row>
    <row r="25" spans="1:8">
      <c r="A25" s="645">
        <f>'06_Resource_Plan'!C7</f>
        <v>61052</v>
      </c>
      <c r="B25" s="645">
        <f>'06_Resource_Plan'!L7</f>
        <v>0</v>
      </c>
      <c r="C25" s="645">
        <f>'06_Resource_Plan'!D7</f>
        <v>0</v>
      </c>
      <c r="D25" s="645">
        <f t="shared" si="0"/>
        <v>0</v>
      </c>
      <c r="E25" s="645" t="str">
        <f t="shared" si="1"/>
        <v>OK</v>
      </c>
      <c r="F25" s="645"/>
      <c r="G25" s="645"/>
      <c r="H25" s="645"/>
    </row>
    <row r="26" spans="1:8">
      <c r="A26" s="645">
        <f>'06_Resource_Plan'!C8</f>
        <v>61054</v>
      </c>
      <c r="B26" s="645">
        <f>'06_Resource_Plan'!L8</f>
        <v>68</v>
      </c>
      <c r="C26" s="645">
        <f>'06_Resource_Plan'!D8</f>
        <v>0</v>
      </c>
      <c r="D26" s="645">
        <f t="shared" si="0"/>
        <v>68</v>
      </c>
      <c r="E26" s="645" t="str">
        <f t="shared" si="1"/>
        <v>OK</v>
      </c>
      <c r="F26" s="645"/>
      <c r="G26" s="645"/>
      <c r="H26" s="645"/>
    </row>
    <row r="27" spans="1:8">
      <c r="A27" s="645">
        <f>'06_Resource_Plan'!C9</f>
        <v>61055</v>
      </c>
      <c r="B27" s="645">
        <f>'06_Resource_Plan'!L9</f>
        <v>144</v>
      </c>
      <c r="C27" s="645">
        <f>'06_Resource_Plan'!D9</f>
        <v>0</v>
      </c>
      <c r="D27" s="645">
        <f t="shared" si="0"/>
        <v>144</v>
      </c>
      <c r="E27" s="645" t="str">
        <f t="shared" si="1"/>
        <v>OK</v>
      </c>
      <c r="F27" s="645"/>
      <c r="G27" s="645"/>
      <c r="H27" s="645"/>
    </row>
    <row r="28" spans="1:8">
      <c r="A28" s="645">
        <f>'06_Resource_Plan'!C10</f>
        <v>61061</v>
      </c>
      <c r="B28" s="645">
        <f>'06_Resource_Plan'!L10</f>
        <v>128</v>
      </c>
      <c r="C28" s="645">
        <f>'06_Resource_Plan'!D10</f>
        <v>0</v>
      </c>
      <c r="D28" s="645">
        <f t="shared" si="0"/>
        <v>128</v>
      </c>
      <c r="E28" s="645" t="str">
        <f t="shared" si="1"/>
        <v>OK</v>
      </c>
      <c r="F28" s="645"/>
      <c r="G28" s="645"/>
      <c r="H28" s="645"/>
    </row>
    <row r="29" spans="1:8">
      <c r="A29" s="645">
        <f>'06_Resource_Plan'!C11</f>
        <v>61064</v>
      </c>
      <c r="B29" s="645">
        <f>'06_Resource_Plan'!L11</f>
        <v>67</v>
      </c>
      <c r="C29" s="645">
        <f>'06_Resource_Plan'!D11</f>
        <v>0</v>
      </c>
      <c r="D29" s="645">
        <f t="shared" si="0"/>
        <v>67</v>
      </c>
      <c r="E29" s="645" t="str">
        <f t="shared" si="1"/>
        <v>OK</v>
      </c>
      <c r="F29" s="645"/>
      <c r="G29" s="645"/>
      <c r="H29" s="645"/>
    </row>
    <row r="30" spans="1:8">
      <c r="A30" s="645">
        <f>'06_Resource_Plan'!C12</f>
        <v>61062</v>
      </c>
      <c r="B30" s="645">
        <f>'06_Resource_Plan'!L12</f>
        <v>2</v>
      </c>
      <c r="C30" s="645">
        <f>'06_Resource_Plan'!D12</f>
        <v>0</v>
      </c>
      <c r="D30" s="645">
        <f t="shared" si="0"/>
        <v>2</v>
      </c>
      <c r="E30" s="645" t="str">
        <f t="shared" si="1"/>
        <v>OK</v>
      </c>
      <c r="F30" s="645"/>
      <c r="G30" s="645"/>
      <c r="H30" s="645"/>
    </row>
    <row r="31" spans="1:8">
      <c r="A31" s="645">
        <f>'06_Resource_Plan'!C13</f>
        <v>61071</v>
      </c>
      <c r="B31" s="645">
        <f>'06_Resource_Plan'!L13</f>
        <v>0</v>
      </c>
      <c r="C31" s="645">
        <f>'06_Resource_Plan'!D13</f>
        <v>0</v>
      </c>
      <c r="D31" s="645">
        <f t="shared" si="0"/>
        <v>0</v>
      </c>
      <c r="E31" s="645" t="str">
        <f t="shared" si="1"/>
        <v>OK</v>
      </c>
      <c r="F31" s="645"/>
      <c r="G31" s="645"/>
      <c r="H31" s="645"/>
    </row>
    <row r="32" spans="1:8">
      <c r="A32" s="645">
        <f>'06_Resource_Plan'!C14</f>
        <v>61072</v>
      </c>
      <c r="B32" s="645">
        <f>'06_Resource_Plan'!L14</f>
        <v>0</v>
      </c>
      <c r="C32" s="645">
        <f>'06_Resource_Plan'!D14</f>
        <v>0</v>
      </c>
      <c r="D32" s="645">
        <f t="shared" si="0"/>
        <v>0</v>
      </c>
      <c r="E32" s="645" t="str">
        <f t="shared" si="1"/>
        <v>OK</v>
      </c>
      <c r="F32" s="645"/>
      <c r="G32" s="645"/>
      <c r="H32" s="645"/>
    </row>
    <row r="33" spans="1:8">
      <c r="A33" s="645">
        <f>'06_Resource_Plan'!C15</f>
        <v>61073</v>
      </c>
      <c r="B33" s="645">
        <f>'06_Resource_Plan'!L15</f>
        <v>0</v>
      </c>
      <c r="C33" s="645">
        <f>'06_Resource_Plan'!D15</f>
        <v>0</v>
      </c>
      <c r="D33" s="645">
        <f t="shared" si="0"/>
        <v>0</v>
      </c>
      <c r="E33" s="645" t="str">
        <f t="shared" si="1"/>
        <v>OK</v>
      </c>
      <c r="F33" s="645"/>
      <c r="G33" s="645"/>
      <c r="H33" s="645"/>
    </row>
    <row r="34" spans="1:8">
      <c r="A34" s="645">
        <f>'06_Resource_Plan'!C16</f>
        <v>61077</v>
      </c>
      <c r="B34" s="645">
        <f>'06_Resource_Plan'!L16</f>
        <v>125</v>
      </c>
      <c r="C34" s="645">
        <f>'06_Resource_Plan'!D16</f>
        <v>0</v>
      </c>
      <c r="D34" s="645">
        <f t="shared" si="0"/>
        <v>125</v>
      </c>
      <c r="E34" s="645" t="str">
        <f t="shared" si="1"/>
        <v>OK</v>
      </c>
      <c r="F34" s="645"/>
      <c r="G34" s="645"/>
      <c r="H34" s="645"/>
    </row>
    <row r="35" spans="1:8">
      <c r="A35" s="645">
        <f>'06_Resource_Plan'!C17</f>
        <v>61078</v>
      </c>
      <c r="B35" s="645">
        <f>'06_Resource_Plan'!L17</f>
        <v>168</v>
      </c>
      <c r="C35" s="645">
        <f>'06_Resource_Plan'!D17</f>
        <v>0</v>
      </c>
      <c r="D35" s="645">
        <f t="shared" si="0"/>
        <v>168</v>
      </c>
      <c r="E35" s="645" t="str">
        <f t="shared" si="1"/>
        <v>OK</v>
      </c>
      <c r="F35" s="645"/>
      <c r="G35" s="645"/>
      <c r="H35" s="645"/>
    </row>
    <row r="36" spans="1:8">
      <c r="A36" s="645">
        <f>'06_Resource_Plan'!C18</f>
        <v>61082</v>
      </c>
      <c r="B36" s="645">
        <f>'06_Resource_Plan'!L18</f>
        <v>0</v>
      </c>
      <c r="C36" s="645">
        <f>'06_Resource_Plan'!D18</f>
        <v>0</v>
      </c>
      <c r="D36" s="645">
        <f t="shared" si="0"/>
        <v>0</v>
      </c>
      <c r="E36" s="645" t="str">
        <f t="shared" si="1"/>
        <v>OK</v>
      </c>
      <c r="F36" s="645"/>
      <c r="G36" s="645"/>
      <c r="H36" s="645"/>
    </row>
    <row r="37" spans="1:8">
      <c r="A37" s="645">
        <f>'06_Resource_Plan'!C19</f>
        <v>61086</v>
      </c>
      <c r="B37" s="645">
        <f>'06_Resource_Plan'!L19</f>
        <v>0</v>
      </c>
      <c r="C37" s="645">
        <f>'06_Resource_Plan'!D19</f>
        <v>0</v>
      </c>
      <c r="D37" s="645">
        <f t="shared" si="0"/>
        <v>0</v>
      </c>
      <c r="E37" s="645" t="str">
        <f t="shared" si="1"/>
        <v>OK</v>
      </c>
      <c r="F37" s="645"/>
      <c r="G37" s="645"/>
      <c r="H37" s="645"/>
    </row>
    <row r="38" spans="1:8">
      <c r="A38" s="645">
        <f>'06_Resource_Plan'!C20</f>
        <v>61104</v>
      </c>
      <c r="B38" s="645">
        <f>'06_Resource_Plan'!L20</f>
        <v>0</v>
      </c>
      <c r="C38" s="645">
        <f>'06_Resource_Plan'!D20</f>
        <v>0</v>
      </c>
      <c r="D38" s="645">
        <f t="shared" si="0"/>
        <v>0</v>
      </c>
      <c r="E38" s="645" t="str">
        <f t="shared" si="1"/>
        <v>OK</v>
      </c>
      <c r="F38" s="645"/>
      <c r="G38" s="645"/>
      <c r="H38" s="645"/>
    </row>
    <row r="39" spans="1:8">
      <c r="A39" s="645">
        <f>'06_Resource_Plan'!C21</f>
        <v>61121</v>
      </c>
      <c r="B39" s="645">
        <f>'06_Resource_Plan'!L21</f>
        <v>24</v>
      </c>
      <c r="C39" s="645">
        <f>'06_Resource_Plan'!D21</f>
        <v>0</v>
      </c>
      <c r="D39" s="645">
        <f t="shared" si="0"/>
        <v>24</v>
      </c>
      <c r="E39" s="645" t="str">
        <f t="shared" si="1"/>
        <v>OK</v>
      </c>
      <c r="F39" s="645"/>
      <c r="G39" s="645"/>
      <c r="H39" s="645"/>
    </row>
    <row r="40" spans="1:8">
      <c r="A40" s="645">
        <f>'06_Resource_Plan'!C22</f>
        <v>200157</v>
      </c>
      <c r="B40" s="645">
        <f>'06_Resource_Plan'!L22</f>
        <v>0</v>
      </c>
      <c r="C40" s="645">
        <f>'06_Resource_Plan'!D22</f>
        <v>0</v>
      </c>
      <c r="D40" s="645">
        <f t="shared" si="0"/>
        <v>0</v>
      </c>
      <c r="E40" s="645" t="str">
        <f t="shared" si="1"/>
        <v>OK</v>
      </c>
      <c r="F40" s="645"/>
      <c r="G40" s="645"/>
      <c r="H40" s="645"/>
    </row>
    <row r="41" spans="1:8">
      <c r="A41" s="645">
        <f>'06_Resource_Plan'!C23</f>
        <v>203043</v>
      </c>
      <c r="B41" s="645">
        <f>'06_Resource_Plan'!L23</f>
        <v>127</v>
      </c>
      <c r="C41" s="645">
        <f>'06_Resource_Plan'!D23</f>
        <v>0</v>
      </c>
      <c r="D41" s="645">
        <f t="shared" si="0"/>
        <v>127</v>
      </c>
      <c r="E41" s="645" t="str">
        <f t="shared" si="1"/>
        <v>OK</v>
      </c>
      <c r="F41" s="645"/>
      <c r="G41" s="645"/>
      <c r="H41" s="645"/>
    </row>
    <row r="42" spans="1:8">
      <c r="A42" s="645">
        <f>'06_Resource_Plan'!C24</f>
        <v>203044</v>
      </c>
      <c r="B42" s="645">
        <f>'06_Resource_Plan'!L24</f>
        <v>47</v>
      </c>
      <c r="C42" s="645">
        <f>'06_Resource_Plan'!D24</f>
        <v>0</v>
      </c>
      <c r="D42" s="645">
        <f t="shared" si="0"/>
        <v>47</v>
      </c>
      <c r="E42" s="645" t="str">
        <f t="shared" si="1"/>
        <v>OK</v>
      </c>
      <c r="F42" s="645"/>
      <c r="G42" s="645"/>
      <c r="H42" s="645"/>
    </row>
    <row r="43" spans="1:8">
      <c r="A43" s="645">
        <f>'06_Resource_Plan'!C25</f>
        <v>203891</v>
      </c>
      <c r="B43" s="645">
        <f>'06_Resource_Plan'!L25</f>
        <v>25</v>
      </c>
      <c r="C43" s="645">
        <f>'06_Resource_Plan'!D25</f>
        <v>0</v>
      </c>
      <c r="D43" s="645">
        <f t="shared" si="0"/>
        <v>25</v>
      </c>
      <c r="E43" s="645" t="str">
        <f t="shared" si="1"/>
        <v>OK</v>
      </c>
      <c r="F43" s="645"/>
      <c r="G43" s="645"/>
      <c r="H43" s="645"/>
    </row>
    <row r="44" spans="1:8">
      <c r="A44" s="645" t="str">
        <f>'06_Resource_Plan'!C26</f>
        <v>61014#2</v>
      </c>
      <c r="B44" s="645">
        <f>'06_Resource_Plan'!L26</f>
        <v>13</v>
      </c>
      <c r="C44" s="645">
        <f>'06_Resource_Plan'!D26</f>
        <v>0</v>
      </c>
      <c r="D44" s="645">
        <f t="shared" si="0"/>
        <v>13</v>
      </c>
      <c r="E44" s="645" t="str">
        <f t="shared" si="1"/>
        <v>OK</v>
      </c>
      <c r="F44" s="645"/>
      <c r="G44" s="645"/>
      <c r="H44" s="645"/>
    </row>
    <row r="45" spans="1:8">
      <c r="A45" s="645" t="str">
        <f>'06_Resource_Plan'!C27</f>
        <v>61014B</v>
      </c>
      <c r="B45" s="645">
        <f>'06_Resource_Plan'!L27</f>
        <v>83</v>
      </c>
      <c r="C45" s="645">
        <f>'06_Resource_Plan'!D27</f>
        <v>0</v>
      </c>
      <c r="D45" s="645">
        <f t="shared" si="0"/>
        <v>83</v>
      </c>
      <c r="E45" s="645" t="str">
        <f t="shared" si="1"/>
        <v>OK</v>
      </c>
      <c r="F45" s="645"/>
      <c r="G45" s="645"/>
      <c r="H45" s="645"/>
    </row>
    <row r="46" spans="1:8">
      <c r="A46" s="645" t="str">
        <f>'06_Resource_Plan'!C28</f>
        <v>61014C</v>
      </c>
      <c r="B46" s="645">
        <f>'06_Resource_Plan'!L28</f>
        <v>0</v>
      </c>
      <c r="C46" s="645">
        <f>'06_Resource_Plan'!D28</f>
        <v>0</v>
      </c>
      <c r="D46" s="645">
        <f t="shared" si="0"/>
        <v>0</v>
      </c>
      <c r="E46" s="645" t="str">
        <f t="shared" si="1"/>
        <v>OK</v>
      </c>
      <c r="F46" s="645"/>
      <c r="G46" s="645"/>
      <c r="H46" s="645"/>
    </row>
    <row r="47" spans="1:8">
      <c r="A47" s="645" t="str">
        <f>'06_Resource_Plan'!C29</f>
        <v>61014F</v>
      </c>
      <c r="B47" s="645">
        <f>'06_Resource_Plan'!L29</f>
        <v>48</v>
      </c>
      <c r="C47" s="645">
        <f>'06_Resource_Plan'!D29</f>
        <v>0</v>
      </c>
      <c r="D47" s="645">
        <f t="shared" si="0"/>
        <v>48</v>
      </c>
      <c r="E47" s="645" t="str">
        <f t="shared" si="1"/>
        <v>OK</v>
      </c>
      <c r="F47" s="645"/>
      <c r="G47" s="645"/>
      <c r="H47" s="645"/>
    </row>
    <row r="48" spans="1:8">
      <c r="A48" s="645" t="str">
        <f>'06_Resource_Plan'!C30</f>
        <v>61040#2</v>
      </c>
      <c r="B48" s="645">
        <f>'06_Resource_Plan'!L30</f>
        <v>0</v>
      </c>
      <c r="C48" s="645">
        <f>'06_Resource_Plan'!D30</f>
        <v>0</v>
      </c>
      <c r="D48" s="645">
        <f t="shared" si="0"/>
        <v>0</v>
      </c>
      <c r="E48" s="645" t="str">
        <f t="shared" si="1"/>
        <v>OK</v>
      </c>
      <c r="F48" s="645"/>
      <c r="G48" s="645"/>
      <c r="H48" s="645"/>
    </row>
    <row r="49" spans="1:8">
      <c r="A49" s="645" t="str">
        <f>'06_Resource_Plan'!C31</f>
        <v>61048#2</v>
      </c>
      <c r="B49" s="645">
        <f>'06_Resource_Plan'!L31</f>
        <v>0</v>
      </c>
      <c r="C49" s="645">
        <f>'06_Resource_Plan'!D31</f>
        <v>0</v>
      </c>
      <c r="D49" s="645">
        <f t="shared" si="0"/>
        <v>0</v>
      </c>
      <c r="E49" s="645" t="str">
        <f t="shared" si="1"/>
        <v>OK</v>
      </c>
      <c r="F49" s="645"/>
      <c r="G49" s="645"/>
      <c r="H49" s="645"/>
    </row>
    <row r="50" spans="1:8">
      <c r="A50" s="645" t="str">
        <f>'06_Resource_Plan'!C32</f>
        <v>61050#2</v>
      </c>
      <c r="B50" s="645">
        <f>'06_Resource_Plan'!L32</f>
        <v>0</v>
      </c>
      <c r="C50" s="645">
        <f>'06_Resource_Plan'!D32</f>
        <v>0</v>
      </c>
      <c r="D50" s="645">
        <f t="shared" si="0"/>
        <v>0</v>
      </c>
      <c r="E50" s="645" t="str">
        <f t="shared" si="1"/>
        <v>OK</v>
      </c>
      <c r="F50" s="645"/>
      <c r="G50" s="645"/>
      <c r="H50" s="645"/>
    </row>
    <row r="51" spans="1:8">
      <c r="A51" s="645" t="str">
        <f>'06_Resource_Plan'!C33</f>
        <v>61050C</v>
      </c>
      <c r="B51" s="645">
        <f>'06_Resource_Plan'!L33</f>
        <v>0</v>
      </c>
      <c r="C51" s="645">
        <f>'06_Resource_Plan'!D33</f>
        <v>0</v>
      </c>
      <c r="D51" s="645">
        <f t="shared" si="0"/>
        <v>0</v>
      </c>
      <c r="E51" s="645" t="str">
        <f t="shared" si="1"/>
        <v>OK</v>
      </c>
      <c r="F51" s="645"/>
      <c r="G51" s="645"/>
      <c r="H51" s="645"/>
    </row>
    <row r="52" spans="1:8">
      <c r="A52" s="645" t="str">
        <f>'06_Resource_Plan'!C34</f>
        <v>61050F</v>
      </c>
      <c r="B52" s="645">
        <f>'06_Resource_Plan'!L34</f>
        <v>0</v>
      </c>
      <c r="C52" s="645">
        <f>'06_Resource_Plan'!D34</f>
        <v>0</v>
      </c>
      <c r="D52" s="645">
        <f t="shared" si="0"/>
        <v>0</v>
      </c>
      <c r="E52" s="645" t="str">
        <f t="shared" si="1"/>
        <v>OK</v>
      </c>
      <c r="F52" s="645"/>
      <c r="G52" s="645"/>
      <c r="H52" s="645"/>
    </row>
    <row r="53" spans="1:8">
      <c r="A53" s="645" t="str">
        <f>'06_Resource_Plan'!C35</f>
        <v>61061F</v>
      </c>
      <c r="B53" s="645">
        <f>'06_Resource_Plan'!L35</f>
        <v>0</v>
      </c>
      <c r="C53" s="645">
        <f>'06_Resource_Plan'!D35</f>
        <v>0</v>
      </c>
      <c r="D53" s="645">
        <f t="shared" si="0"/>
        <v>0</v>
      </c>
      <c r="E53" s="645" t="str">
        <f t="shared" si="1"/>
        <v>OK</v>
      </c>
      <c r="F53" s="645"/>
      <c r="G53" s="645"/>
      <c r="H53" s="645"/>
    </row>
    <row r="54" spans="1:8">
      <c r="A54" s="645" t="str">
        <f>'06_Resource_Plan'!C36</f>
        <v>61072#2</v>
      </c>
      <c r="B54" s="645">
        <f>'06_Resource_Plan'!L36</f>
        <v>0</v>
      </c>
      <c r="C54" s="645">
        <f>'06_Resource_Plan'!D36</f>
        <v>0</v>
      </c>
      <c r="D54" s="645">
        <f t="shared" si="0"/>
        <v>0</v>
      </c>
      <c r="E54" s="645" t="str">
        <f t="shared" si="1"/>
        <v>OK</v>
      </c>
      <c r="F54" s="645"/>
      <c r="G54" s="645"/>
      <c r="H54" s="645"/>
    </row>
    <row r="55" spans="1:8">
      <c r="A55" s="645" t="str">
        <f>'06_Resource_Plan'!C37</f>
        <v>61072C</v>
      </c>
      <c r="B55" s="645">
        <f>'06_Resource_Plan'!L37</f>
        <v>0</v>
      </c>
      <c r="C55" s="645">
        <f>'06_Resource_Plan'!D37</f>
        <v>0</v>
      </c>
      <c r="D55" s="645">
        <f t="shared" si="0"/>
        <v>0</v>
      </c>
      <c r="E55" s="645" t="str">
        <f t="shared" si="1"/>
        <v>OK</v>
      </c>
      <c r="F55" s="645"/>
      <c r="G55" s="645"/>
      <c r="H55" s="645"/>
    </row>
    <row r="56" spans="1:8">
      <c r="A56" s="645" t="str">
        <f>'06_Resource_Plan'!C38</f>
        <v>61072F</v>
      </c>
      <c r="B56" s="645">
        <f>'06_Resource_Plan'!L38</f>
        <v>0</v>
      </c>
      <c r="C56" s="645">
        <f>'06_Resource_Plan'!D38</f>
        <v>0</v>
      </c>
      <c r="D56" s="645">
        <f t="shared" si="0"/>
        <v>0</v>
      </c>
      <c r="E56" s="645" t="str">
        <f t="shared" si="1"/>
        <v>OK</v>
      </c>
      <c r="F56" s="645"/>
      <c r="G56" s="645"/>
      <c r="H56" s="645"/>
    </row>
    <row r="57" spans="1:8">
      <c r="A57" s="645" t="str">
        <f>'06_Resource_Plan'!C39</f>
        <v>61077F</v>
      </c>
      <c r="B57" s="645">
        <f>'06_Resource_Plan'!L39</f>
        <v>0</v>
      </c>
      <c r="C57" s="645">
        <f>'06_Resource_Plan'!D39</f>
        <v>0</v>
      </c>
      <c r="D57" s="645">
        <f t="shared" si="0"/>
        <v>0</v>
      </c>
      <c r="E57" s="645" t="str">
        <f t="shared" si="1"/>
        <v>OK</v>
      </c>
      <c r="F57" s="645"/>
      <c r="G57" s="645"/>
      <c r="H57" s="645"/>
    </row>
    <row r="58" spans="1:8">
      <c r="A58" s="645" t="str">
        <f>'06_Resource_Plan'!C40</f>
        <v>61086#2</v>
      </c>
      <c r="B58" s="645">
        <f>'06_Resource_Plan'!L40</f>
        <v>0</v>
      </c>
      <c r="C58" s="645">
        <f>'06_Resource_Plan'!D40</f>
        <v>0</v>
      </c>
      <c r="D58" s="645">
        <f t="shared" si="0"/>
        <v>0</v>
      </c>
      <c r="E58" s="645" t="str">
        <f t="shared" si="1"/>
        <v>OK</v>
      </c>
      <c r="F58" s="645"/>
      <c r="G58" s="645"/>
      <c r="H58" s="645"/>
    </row>
    <row r="59" spans="1:8">
      <c r="A59" s="645" t="str">
        <f>'06_Resource_Plan'!C41</f>
        <v>61086C</v>
      </c>
      <c r="B59" s="645">
        <f>'06_Resource_Plan'!L41</f>
        <v>0</v>
      </c>
      <c r="C59" s="645">
        <f>'06_Resource_Plan'!D41</f>
        <v>0</v>
      </c>
      <c r="D59" s="645">
        <f t="shared" si="0"/>
        <v>0</v>
      </c>
      <c r="E59" s="645" t="str">
        <f t="shared" si="1"/>
        <v>OK</v>
      </c>
      <c r="F59" s="645"/>
      <c r="G59" s="645"/>
      <c r="H59" s="645"/>
    </row>
    <row r="60" spans="1:8">
      <c r="A60" s="645" t="str">
        <f>'06_Resource_Plan'!C42</f>
        <v>61086F</v>
      </c>
      <c r="B60" s="645">
        <f>'06_Resource_Plan'!L42</f>
        <v>0</v>
      </c>
      <c r="C60" s="645">
        <f>'06_Resource_Plan'!D42</f>
        <v>0</v>
      </c>
      <c r="D60" s="645">
        <f t="shared" si="0"/>
        <v>0</v>
      </c>
      <c r="E60" s="645" t="str">
        <f t="shared" si="1"/>
        <v>OK</v>
      </c>
      <c r="F60" s="645"/>
      <c r="G60" s="645"/>
      <c r="H60" s="645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N108"/>
  <sheetViews>
    <sheetView workbookViewId="0"/>
  </sheetViews>
  <sheetFormatPr defaultRowHeight="14.4"/>
  <cols>
    <col min="1" max="1" width="7.5546875" customWidth="1"/>
    <col min="2" max="2" width="41" customWidth="1"/>
    <col min="3" max="3" width="10.109375" customWidth="1"/>
    <col min="4" max="4" width="10" customWidth="1"/>
    <col min="5" max="5" width="11.44140625" customWidth="1"/>
    <col min="6" max="6" width="6" customWidth="1"/>
    <col min="7" max="7" width="9.77734375" customWidth="1"/>
    <col min="8" max="8" width="11.5546875" customWidth="1"/>
    <col min="9" max="9" width="9.109375" customWidth="1"/>
    <col min="10" max="10" width="8.33203125" customWidth="1"/>
    <col min="11" max="11" width="7.33203125" customWidth="1"/>
    <col min="12" max="13" width="11.109375" customWidth="1"/>
    <col min="25" max="25" width="7.5546875" customWidth="1"/>
    <col min="26" max="26" width="41" customWidth="1"/>
    <col min="27" max="27" width="10.109375" customWidth="1"/>
    <col min="28" max="28" width="10" customWidth="1"/>
    <col min="29" max="29" width="11.44140625" customWidth="1"/>
    <col min="30" max="30" width="6" customWidth="1"/>
    <col min="31" max="31" width="9.77734375" customWidth="1"/>
    <col min="32" max="32" width="11.5546875" customWidth="1"/>
    <col min="33" max="33" width="9.109375" customWidth="1"/>
    <col min="34" max="34" width="8.33203125" customWidth="1"/>
    <col min="35" max="35" width="7.33203125" customWidth="1"/>
    <col min="36" max="36" width="11.109375" customWidth="1"/>
  </cols>
  <sheetData>
    <row r="1" spans="1:14">
      <c r="A1" s="386" t="s">
        <v>444</v>
      </c>
      <c r="B1" s="386" t="s">
        <v>518</v>
      </c>
      <c r="C1" s="386" t="s">
        <v>550</v>
      </c>
      <c r="D1" s="386" t="s">
        <v>551</v>
      </c>
      <c r="E1" s="386" t="s">
        <v>552</v>
      </c>
      <c r="F1" s="386" t="s">
        <v>553</v>
      </c>
      <c r="G1" s="386" t="s">
        <v>554</v>
      </c>
      <c r="H1" s="386" t="s">
        <v>555</v>
      </c>
      <c r="I1" s="386" t="s">
        <v>556</v>
      </c>
      <c r="J1" s="386" t="s">
        <v>557</v>
      </c>
      <c r="K1" s="386" t="s">
        <v>558</v>
      </c>
      <c r="L1" s="386" t="s">
        <v>559</v>
      </c>
    </row>
    <row r="2" spans="1:14">
      <c r="A2">
        <v>61050</v>
      </c>
      <c r="B2" t="s">
        <v>72</v>
      </c>
      <c r="C2">
        <v>0</v>
      </c>
      <c r="D2">
        <v>0</v>
      </c>
      <c r="E2">
        <v>150</v>
      </c>
      <c r="F2">
        <v>150</v>
      </c>
      <c r="G2" s="157">
        <v>3743.85</v>
      </c>
      <c r="H2" s="157">
        <v>4007.85</v>
      </c>
      <c r="I2">
        <v>0.71</v>
      </c>
      <c r="J2">
        <v>10.45</v>
      </c>
      <c r="K2">
        <v>4.3</v>
      </c>
      <c r="L2" s="387">
        <v>0.27638888888888891</v>
      </c>
    </row>
    <row r="3" spans="1:14">
      <c r="A3">
        <v>61064</v>
      </c>
      <c r="B3" t="s">
        <v>903</v>
      </c>
      <c r="C3">
        <v>0</v>
      </c>
      <c r="D3">
        <v>0</v>
      </c>
      <c r="E3">
        <v>4</v>
      </c>
      <c r="F3">
        <v>4</v>
      </c>
      <c r="G3" s="157">
        <v>100.95</v>
      </c>
      <c r="H3" s="157">
        <v>107.99</v>
      </c>
      <c r="I3">
        <v>0.7</v>
      </c>
      <c r="J3">
        <v>0</v>
      </c>
      <c r="K3">
        <v>0.95</v>
      </c>
      <c r="L3" s="387">
        <v>0.28958333333333336</v>
      </c>
    </row>
    <row r="4" spans="1:14">
      <c r="A4">
        <v>200868</v>
      </c>
      <c r="B4" t="s">
        <v>904</v>
      </c>
      <c r="C4">
        <v>0</v>
      </c>
      <c r="D4">
        <v>0</v>
      </c>
      <c r="E4">
        <v>4</v>
      </c>
      <c r="F4">
        <v>4</v>
      </c>
      <c r="G4" s="157">
        <v>72.33</v>
      </c>
      <c r="H4" s="157">
        <v>74.926000000000002</v>
      </c>
      <c r="I4">
        <v>0.36</v>
      </c>
      <c r="J4">
        <v>0</v>
      </c>
      <c r="K4">
        <v>0.33</v>
      </c>
      <c r="L4" s="387">
        <v>0.31319444444444444</v>
      </c>
    </row>
    <row r="5" spans="1:14">
      <c r="A5">
        <v>201894</v>
      </c>
      <c r="B5" t="s">
        <v>53</v>
      </c>
      <c r="C5">
        <v>290</v>
      </c>
      <c r="D5">
        <v>290</v>
      </c>
      <c r="E5">
        <v>40</v>
      </c>
      <c r="F5">
        <v>-250</v>
      </c>
      <c r="G5" s="157">
        <v>719.24</v>
      </c>
      <c r="H5" s="157">
        <v>745.08</v>
      </c>
      <c r="I5">
        <v>0.36</v>
      </c>
      <c r="J5">
        <v>1.78</v>
      </c>
      <c r="K5">
        <v>1.02</v>
      </c>
      <c r="L5" s="387">
        <v>0.28333333333333333</v>
      </c>
    </row>
    <row r="6" spans="1:14">
      <c r="A6">
        <v>420191</v>
      </c>
      <c r="B6" t="s">
        <v>905</v>
      </c>
      <c r="C6">
        <v>0</v>
      </c>
      <c r="D6">
        <v>0</v>
      </c>
      <c r="E6">
        <v>19</v>
      </c>
      <c r="F6">
        <v>19</v>
      </c>
      <c r="G6" s="157">
        <v>190.5</v>
      </c>
      <c r="H6" s="157">
        <v>203.154</v>
      </c>
      <c r="I6">
        <v>0.66</v>
      </c>
      <c r="J6">
        <v>0.45</v>
      </c>
      <c r="K6">
        <v>0.95</v>
      </c>
      <c r="L6" s="387">
        <v>0.31805555555555554</v>
      </c>
    </row>
    <row r="7" spans="1:14">
      <c r="A7">
        <v>2060</v>
      </c>
      <c r="B7" t="s">
        <v>176</v>
      </c>
      <c r="C7">
        <v>0</v>
      </c>
      <c r="D7">
        <v>0</v>
      </c>
      <c r="E7">
        <v>121</v>
      </c>
      <c r="F7">
        <v>121</v>
      </c>
      <c r="G7" s="157">
        <v>1055.5999999999999</v>
      </c>
      <c r="H7" s="157">
        <v>1122.1500000000001</v>
      </c>
      <c r="I7">
        <v>0.63</v>
      </c>
      <c r="J7">
        <v>0</v>
      </c>
      <c r="K7">
        <v>0</v>
      </c>
      <c r="L7" s="387">
        <v>0.27569444444444446</v>
      </c>
    </row>
    <row r="8" spans="1:14">
      <c r="A8">
        <v>2061</v>
      </c>
      <c r="B8" t="s">
        <v>177</v>
      </c>
      <c r="C8">
        <v>0</v>
      </c>
      <c r="D8">
        <v>0</v>
      </c>
      <c r="E8">
        <v>51</v>
      </c>
      <c r="F8">
        <v>51</v>
      </c>
      <c r="G8" s="157">
        <v>595.4</v>
      </c>
      <c r="H8" s="157">
        <v>623.45000000000005</v>
      </c>
      <c r="I8">
        <v>0.47</v>
      </c>
      <c r="J8">
        <v>0</v>
      </c>
      <c r="K8">
        <v>0</v>
      </c>
      <c r="L8" s="387">
        <v>0.31180555555555556</v>
      </c>
    </row>
    <row r="9" spans="1:14">
      <c r="A9">
        <v>2075</v>
      </c>
      <c r="B9" t="s">
        <v>188</v>
      </c>
      <c r="C9">
        <v>0</v>
      </c>
      <c r="D9">
        <v>0</v>
      </c>
      <c r="E9">
        <v>150</v>
      </c>
      <c r="F9">
        <v>150</v>
      </c>
      <c r="G9" s="157">
        <v>1218.9000000000001</v>
      </c>
      <c r="H9" s="157">
        <v>1299.9000000000001</v>
      </c>
      <c r="I9">
        <v>0.67</v>
      </c>
      <c r="J9">
        <v>0</v>
      </c>
      <c r="K9">
        <v>0</v>
      </c>
      <c r="L9" s="387">
        <v>0.27847222222222223</v>
      </c>
      <c r="N9" s="157"/>
    </row>
    <row r="10" spans="1:14">
      <c r="A10">
        <v>7823</v>
      </c>
      <c r="B10" t="s">
        <v>906</v>
      </c>
      <c r="C10">
        <v>0</v>
      </c>
      <c r="D10">
        <v>0</v>
      </c>
      <c r="E10">
        <v>95</v>
      </c>
      <c r="F10">
        <v>95</v>
      </c>
      <c r="G10" s="157">
        <v>632.1</v>
      </c>
      <c r="H10" s="157">
        <v>897.81500000000005</v>
      </c>
      <c r="I10">
        <v>4.2</v>
      </c>
      <c r="J10">
        <v>0</v>
      </c>
      <c r="K10">
        <v>0</v>
      </c>
      <c r="L10" s="387">
        <v>0.27500000000000002</v>
      </c>
    </row>
    <row r="11" spans="1:14">
      <c r="A11">
        <v>7827</v>
      </c>
      <c r="B11" t="s">
        <v>907</v>
      </c>
      <c r="C11">
        <v>0</v>
      </c>
      <c r="D11">
        <v>0</v>
      </c>
      <c r="E11">
        <v>60</v>
      </c>
      <c r="F11">
        <v>60</v>
      </c>
      <c r="G11" s="157">
        <v>665.92</v>
      </c>
      <c r="H11" s="157">
        <v>838.72</v>
      </c>
      <c r="I11">
        <v>2.6</v>
      </c>
      <c r="J11">
        <v>0</v>
      </c>
      <c r="K11">
        <v>0</v>
      </c>
      <c r="L11" s="387">
        <v>0.28611111111111109</v>
      </c>
    </row>
    <row r="12" spans="1:14">
      <c r="A12">
        <v>7831</v>
      </c>
      <c r="B12" t="s">
        <v>907</v>
      </c>
      <c r="C12">
        <v>0</v>
      </c>
      <c r="D12">
        <v>0</v>
      </c>
      <c r="E12">
        <v>89</v>
      </c>
      <c r="F12">
        <v>89</v>
      </c>
      <c r="G12" s="157">
        <v>861.81</v>
      </c>
      <c r="H12" s="157">
        <v>1118.1300000000001</v>
      </c>
      <c r="I12">
        <v>2.97</v>
      </c>
      <c r="J12">
        <v>0</v>
      </c>
      <c r="K12">
        <v>0</v>
      </c>
      <c r="L12" s="387">
        <v>0.31319444444444444</v>
      </c>
    </row>
    <row r="13" spans="1:14">
      <c r="A13">
        <v>7851</v>
      </c>
      <c r="B13" t="s">
        <v>908</v>
      </c>
      <c r="C13">
        <v>0</v>
      </c>
      <c r="D13">
        <v>0</v>
      </c>
      <c r="E13">
        <v>124</v>
      </c>
      <c r="F13">
        <v>124</v>
      </c>
      <c r="G13" s="157">
        <v>654.94000000000005</v>
      </c>
      <c r="H13" s="157">
        <v>1011.936</v>
      </c>
      <c r="I13">
        <v>5.45</v>
      </c>
      <c r="J13">
        <v>0</v>
      </c>
      <c r="K13">
        <v>0</v>
      </c>
      <c r="L13" s="387">
        <v>0.27569444444444446</v>
      </c>
    </row>
    <row r="14" spans="1:14">
      <c r="A14">
        <v>7853</v>
      </c>
      <c r="B14" t="s">
        <v>906</v>
      </c>
      <c r="C14">
        <v>0</v>
      </c>
      <c r="D14">
        <v>0</v>
      </c>
      <c r="E14">
        <v>114</v>
      </c>
      <c r="F14">
        <v>114</v>
      </c>
      <c r="G14" s="157">
        <v>714.92</v>
      </c>
      <c r="H14" s="157">
        <v>1034.2339999999999</v>
      </c>
      <c r="I14">
        <v>4.47</v>
      </c>
      <c r="J14">
        <v>0</v>
      </c>
      <c r="K14">
        <v>0</v>
      </c>
      <c r="L14" s="387">
        <v>0.30763888888888891</v>
      </c>
    </row>
    <row r="15" spans="1:14">
      <c r="A15">
        <v>7860</v>
      </c>
      <c r="B15" t="s">
        <v>909</v>
      </c>
      <c r="C15">
        <v>0</v>
      </c>
      <c r="D15">
        <v>0</v>
      </c>
      <c r="E15">
        <v>183</v>
      </c>
      <c r="F15">
        <v>183</v>
      </c>
      <c r="G15" s="157">
        <v>1050.58</v>
      </c>
      <c r="H15" s="157">
        <v>1558.588</v>
      </c>
      <c r="I15">
        <v>4.84</v>
      </c>
      <c r="J15">
        <v>0</v>
      </c>
      <c r="K15">
        <v>0</v>
      </c>
      <c r="L15" s="387">
        <v>0.27500000000000002</v>
      </c>
    </row>
    <row r="16" spans="1:14">
      <c r="A16">
        <v>200168</v>
      </c>
      <c r="B16" t="s">
        <v>344</v>
      </c>
      <c r="C16">
        <v>0</v>
      </c>
      <c r="D16">
        <v>0</v>
      </c>
      <c r="E16">
        <v>114</v>
      </c>
      <c r="F16">
        <v>114</v>
      </c>
      <c r="G16" s="157">
        <v>1138.0899999999999</v>
      </c>
      <c r="H16" s="157">
        <v>1203.184</v>
      </c>
      <c r="I16">
        <v>0.56999999999999995</v>
      </c>
      <c r="J16">
        <v>0</v>
      </c>
      <c r="K16">
        <v>0</v>
      </c>
      <c r="L16" s="387">
        <v>0.27430555555555558</v>
      </c>
    </row>
    <row r="17" spans="1:12">
      <c r="A17">
        <v>200715</v>
      </c>
      <c r="B17" t="s">
        <v>357</v>
      </c>
      <c r="C17">
        <v>0</v>
      </c>
      <c r="D17">
        <v>0</v>
      </c>
      <c r="E17">
        <v>5</v>
      </c>
      <c r="F17">
        <v>5</v>
      </c>
      <c r="G17" s="157">
        <v>45.3</v>
      </c>
      <c r="H17" s="157">
        <v>48.09</v>
      </c>
      <c r="I17">
        <v>0.62</v>
      </c>
      <c r="J17">
        <v>0</v>
      </c>
      <c r="K17">
        <v>0</v>
      </c>
      <c r="L17" s="387">
        <v>0.32361111111111113</v>
      </c>
    </row>
    <row r="18" spans="1:12">
      <c r="A18">
        <v>61086</v>
      </c>
      <c r="B18" t="s">
        <v>90</v>
      </c>
      <c r="C18">
        <v>0</v>
      </c>
      <c r="D18">
        <v>0</v>
      </c>
      <c r="E18">
        <v>49</v>
      </c>
      <c r="F18">
        <v>49</v>
      </c>
      <c r="G18" s="157">
        <v>1226.74</v>
      </c>
      <c r="H18" s="157">
        <v>1312.98</v>
      </c>
      <c r="I18">
        <v>0.7</v>
      </c>
      <c r="J18">
        <v>1.04</v>
      </c>
      <c r="K18">
        <v>2.78</v>
      </c>
      <c r="L18" s="387">
        <v>0.28125</v>
      </c>
    </row>
    <row r="19" spans="1:12">
      <c r="A19">
        <v>6494</v>
      </c>
      <c r="B19" t="s">
        <v>916</v>
      </c>
      <c r="C19">
        <v>0</v>
      </c>
      <c r="D19">
        <v>0</v>
      </c>
      <c r="E19">
        <v>1</v>
      </c>
      <c r="F19">
        <v>1</v>
      </c>
      <c r="G19" s="157">
        <v>18.11</v>
      </c>
      <c r="H19" s="157">
        <v>18.756</v>
      </c>
      <c r="I19">
        <v>0.36</v>
      </c>
      <c r="J19">
        <v>0</v>
      </c>
      <c r="K19">
        <v>0.11</v>
      </c>
      <c r="L19" s="387">
        <v>0.34583333333333333</v>
      </c>
    </row>
    <row r="20" spans="1:12">
      <c r="A20">
        <v>6496</v>
      </c>
      <c r="B20" t="s">
        <v>910</v>
      </c>
      <c r="C20">
        <v>0</v>
      </c>
      <c r="D20">
        <v>0</v>
      </c>
      <c r="E20">
        <v>1</v>
      </c>
      <c r="F20">
        <v>1</v>
      </c>
      <c r="G20" s="157">
        <v>18.16</v>
      </c>
      <c r="H20" s="157">
        <v>18.806000000000001</v>
      </c>
      <c r="I20">
        <v>0.36</v>
      </c>
      <c r="J20">
        <v>0</v>
      </c>
      <c r="K20">
        <v>0.16</v>
      </c>
      <c r="L20" s="387">
        <v>0.29236111111111113</v>
      </c>
    </row>
    <row r="21" spans="1:12">
      <c r="A21">
        <v>6497</v>
      </c>
      <c r="B21" t="s">
        <v>911</v>
      </c>
      <c r="C21">
        <v>0</v>
      </c>
      <c r="D21">
        <v>0</v>
      </c>
      <c r="E21">
        <v>1</v>
      </c>
      <c r="F21">
        <v>1</v>
      </c>
      <c r="G21" s="157">
        <v>18.09</v>
      </c>
      <c r="H21" s="157">
        <v>18.736000000000001</v>
      </c>
      <c r="I21">
        <v>0.36</v>
      </c>
      <c r="J21">
        <v>0</v>
      </c>
      <c r="K21">
        <v>0.09</v>
      </c>
      <c r="L21" s="387">
        <v>0.30486111111111114</v>
      </c>
    </row>
    <row r="22" spans="1:12">
      <c r="A22">
        <v>61014</v>
      </c>
      <c r="B22" t="s">
        <v>65</v>
      </c>
      <c r="C22">
        <v>0</v>
      </c>
      <c r="D22">
        <v>0</v>
      </c>
      <c r="E22">
        <v>52</v>
      </c>
      <c r="F22">
        <v>52</v>
      </c>
      <c r="G22" s="157">
        <v>1303.9000000000001</v>
      </c>
      <c r="H22" s="157">
        <v>1395.42</v>
      </c>
      <c r="I22">
        <v>0.7</v>
      </c>
      <c r="J22">
        <v>1.72</v>
      </c>
      <c r="K22">
        <v>5.62</v>
      </c>
      <c r="L22" s="387">
        <v>0.27708333333333335</v>
      </c>
    </row>
    <row r="23" spans="1:12">
      <c r="A23">
        <v>61072</v>
      </c>
      <c r="B23" t="s">
        <v>82</v>
      </c>
      <c r="C23">
        <v>0</v>
      </c>
      <c r="D23">
        <v>0</v>
      </c>
      <c r="E23">
        <v>9</v>
      </c>
      <c r="F23">
        <v>9</v>
      </c>
      <c r="G23" s="157">
        <v>224.69</v>
      </c>
      <c r="H23" s="157">
        <v>240.53</v>
      </c>
      <c r="I23">
        <v>0.71</v>
      </c>
      <c r="J23">
        <v>0.62</v>
      </c>
      <c r="K23">
        <v>0.31</v>
      </c>
      <c r="L23" s="387">
        <v>0.27638888888888891</v>
      </c>
    </row>
    <row r="24" spans="1:12">
      <c r="A24">
        <v>61121</v>
      </c>
      <c r="B24" t="s">
        <v>94</v>
      </c>
      <c r="C24">
        <v>0</v>
      </c>
      <c r="D24">
        <v>0</v>
      </c>
      <c r="E24">
        <v>3</v>
      </c>
      <c r="F24">
        <v>3</v>
      </c>
      <c r="G24" s="157">
        <v>75.2</v>
      </c>
      <c r="H24" s="157">
        <v>80.48</v>
      </c>
      <c r="I24">
        <v>0.7</v>
      </c>
      <c r="J24">
        <v>0</v>
      </c>
      <c r="K24">
        <v>0.2</v>
      </c>
      <c r="L24" s="387">
        <v>0.2902777777777778</v>
      </c>
    </row>
    <row r="25" spans="1:12">
      <c r="A25">
        <v>200095</v>
      </c>
      <c r="B25" t="s">
        <v>48</v>
      </c>
      <c r="C25">
        <v>30</v>
      </c>
      <c r="D25">
        <v>30</v>
      </c>
      <c r="E25">
        <v>80</v>
      </c>
      <c r="F25">
        <v>50</v>
      </c>
      <c r="G25" s="157">
        <v>1439.72</v>
      </c>
      <c r="H25" s="157">
        <v>1491.4</v>
      </c>
      <c r="I25">
        <v>0.36</v>
      </c>
      <c r="J25">
        <v>2.4500000000000002</v>
      </c>
      <c r="K25">
        <v>2.17</v>
      </c>
      <c r="L25" s="387">
        <v>0.29930555555555555</v>
      </c>
    </row>
    <row r="26" spans="1:12">
      <c r="A26">
        <v>200119</v>
      </c>
      <c r="B26" t="s">
        <v>912</v>
      </c>
      <c r="C26">
        <v>0</v>
      </c>
      <c r="D26">
        <v>0</v>
      </c>
      <c r="E26">
        <v>1</v>
      </c>
      <c r="F26">
        <v>1</v>
      </c>
      <c r="G26" s="157">
        <v>682.32</v>
      </c>
      <c r="H26" s="157">
        <v>781.99699999999996</v>
      </c>
      <c r="I26">
        <v>1.46</v>
      </c>
      <c r="J26">
        <v>0</v>
      </c>
      <c r="K26">
        <v>0</v>
      </c>
      <c r="L26" s="387">
        <v>0.31736111111111109</v>
      </c>
    </row>
    <row r="27" spans="1:12">
      <c r="A27">
        <v>200171</v>
      </c>
      <c r="B27" t="s">
        <v>913</v>
      </c>
      <c r="C27">
        <v>0</v>
      </c>
      <c r="D27">
        <v>0</v>
      </c>
      <c r="E27">
        <v>2</v>
      </c>
      <c r="F27">
        <v>2</v>
      </c>
      <c r="G27" s="157">
        <v>1586.84</v>
      </c>
      <c r="H27" s="157">
        <v>1784.4939999999999</v>
      </c>
      <c r="I27">
        <v>1.25</v>
      </c>
      <c r="J27">
        <v>0</v>
      </c>
      <c r="K27">
        <v>0</v>
      </c>
      <c r="L27" s="387">
        <v>0.30625000000000002</v>
      </c>
    </row>
    <row r="28" spans="1:12">
      <c r="A28">
        <v>200903</v>
      </c>
      <c r="B28" t="s">
        <v>51</v>
      </c>
      <c r="C28">
        <v>50</v>
      </c>
      <c r="D28">
        <v>50</v>
      </c>
      <c r="E28">
        <v>61</v>
      </c>
      <c r="F28">
        <v>11</v>
      </c>
      <c r="G28" s="157">
        <v>1099.72</v>
      </c>
      <c r="H28" s="157">
        <v>1139.126</v>
      </c>
      <c r="I28">
        <v>0.36</v>
      </c>
      <c r="J28">
        <v>1.65</v>
      </c>
      <c r="K28">
        <v>3.37</v>
      </c>
      <c r="L28" s="387">
        <v>0.30694444444444446</v>
      </c>
    </row>
    <row r="29" spans="1:12">
      <c r="A29">
        <v>203624</v>
      </c>
      <c r="B29" t="s">
        <v>62</v>
      </c>
      <c r="C29">
        <v>0</v>
      </c>
      <c r="D29">
        <v>0</v>
      </c>
      <c r="E29">
        <v>5</v>
      </c>
      <c r="F29">
        <v>5</v>
      </c>
      <c r="G29" s="157">
        <v>125.37</v>
      </c>
      <c r="H29" s="157">
        <v>134.02000000000001</v>
      </c>
      <c r="I29">
        <v>0.69</v>
      </c>
      <c r="J29">
        <v>0</v>
      </c>
      <c r="K29">
        <v>0.37</v>
      </c>
      <c r="L29" s="387">
        <v>0.2951388888888889</v>
      </c>
    </row>
    <row r="30" spans="1:12">
      <c r="A30">
        <v>423002</v>
      </c>
      <c r="B30" t="s">
        <v>914</v>
      </c>
      <c r="C30">
        <v>0</v>
      </c>
      <c r="D30">
        <v>0</v>
      </c>
      <c r="E30">
        <v>18</v>
      </c>
      <c r="F30">
        <v>18</v>
      </c>
      <c r="G30" s="157">
        <v>452.14</v>
      </c>
      <c r="H30" s="157">
        <v>483.28</v>
      </c>
      <c r="I30">
        <v>0.69</v>
      </c>
      <c r="J30">
        <v>0.02</v>
      </c>
      <c r="K30">
        <v>2.16</v>
      </c>
      <c r="L30" s="387">
        <v>0.27986111111111112</v>
      </c>
    </row>
    <row r="31" spans="1:12">
      <c r="A31" t="s">
        <v>915</v>
      </c>
      <c r="C31">
        <v>370</v>
      </c>
      <c r="D31">
        <v>370</v>
      </c>
      <c r="E31">
        <v>1606</v>
      </c>
      <c r="F31">
        <v>1236</v>
      </c>
      <c r="G31" s="157">
        <v>21731.43</v>
      </c>
      <c r="H31" s="157">
        <v>24795.22</v>
      </c>
      <c r="I31">
        <v>14.1</v>
      </c>
      <c r="J31">
        <v>20.18</v>
      </c>
      <c r="K31">
        <v>25</v>
      </c>
      <c r="L31" s="387"/>
    </row>
    <row r="32" spans="1:12">
      <c r="G32" s="157"/>
      <c r="H32" s="157"/>
      <c r="L32" s="387"/>
    </row>
    <row r="33" spans="7:12">
      <c r="G33" s="157"/>
      <c r="H33" s="157"/>
      <c r="L33" s="387"/>
    </row>
    <row r="34" spans="7:12">
      <c r="G34" s="157"/>
      <c r="H34" s="157"/>
      <c r="L34" s="387"/>
    </row>
    <row r="35" spans="7:12">
      <c r="G35" s="157"/>
      <c r="H35" s="157"/>
      <c r="L35" s="387"/>
    </row>
    <row r="36" spans="7:12">
      <c r="G36" s="157"/>
      <c r="H36" s="157"/>
      <c r="L36" s="387"/>
    </row>
    <row r="37" spans="7:12">
      <c r="G37" s="157"/>
      <c r="H37" s="157"/>
      <c r="L37" s="387"/>
    </row>
    <row r="38" spans="7:12">
      <c r="G38" s="157"/>
      <c r="H38" s="157"/>
      <c r="L38" s="387"/>
    </row>
    <row r="39" spans="7:12">
      <c r="G39" s="157"/>
      <c r="H39" s="157"/>
      <c r="L39" s="387"/>
    </row>
    <row r="40" spans="7:12">
      <c r="G40" s="157"/>
      <c r="H40" s="157"/>
      <c r="L40" s="387"/>
    </row>
    <row r="41" spans="7:12">
      <c r="G41" s="157"/>
      <c r="H41" s="157"/>
      <c r="L41" s="387"/>
    </row>
    <row r="42" spans="7:12">
      <c r="G42" s="157"/>
      <c r="H42" s="157"/>
      <c r="L42" s="387"/>
    </row>
    <row r="43" spans="7:12">
      <c r="G43" s="157"/>
      <c r="H43" s="157"/>
      <c r="L43" s="387"/>
    </row>
    <row r="44" spans="7:12">
      <c r="G44" s="157"/>
      <c r="H44" s="157"/>
      <c r="L44" s="387"/>
    </row>
    <row r="45" spans="7:12">
      <c r="G45" s="157"/>
      <c r="H45" s="157"/>
      <c r="L45" s="387"/>
    </row>
    <row r="46" spans="7:12">
      <c r="G46" s="157"/>
      <c r="H46" s="157"/>
      <c r="L46" s="387"/>
    </row>
    <row r="47" spans="7:12">
      <c r="G47" s="157"/>
      <c r="H47" s="157"/>
      <c r="L47" s="387"/>
    </row>
    <row r="48" spans="7:12">
      <c r="G48" s="157"/>
      <c r="H48" s="157"/>
      <c r="L48" s="387"/>
    </row>
    <row r="49" spans="7:12">
      <c r="G49" s="157"/>
      <c r="H49" s="157"/>
      <c r="L49" s="387"/>
    </row>
    <row r="50" spans="7:12">
      <c r="G50" s="157"/>
      <c r="H50" s="157"/>
      <c r="L50" s="387"/>
    </row>
    <row r="51" spans="7:12">
      <c r="G51" s="157"/>
      <c r="H51" s="157"/>
      <c r="L51" s="387"/>
    </row>
    <row r="52" spans="7:12">
      <c r="G52" s="157"/>
      <c r="H52" s="157"/>
      <c r="L52" s="387"/>
    </row>
    <row r="53" spans="7:12">
      <c r="G53" s="157"/>
      <c r="H53" s="157"/>
      <c r="L53" s="387"/>
    </row>
    <row r="54" spans="7:12">
      <c r="G54" s="157"/>
      <c r="H54" s="157"/>
      <c r="L54" s="387"/>
    </row>
    <row r="55" spans="7:12">
      <c r="G55" s="157"/>
      <c r="H55" s="157"/>
      <c r="L55" s="387"/>
    </row>
    <row r="56" spans="7:12">
      <c r="G56" s="157"/>
      <c r="H56" s="157"/>
      <c r="L56" s="387"/>
    </row>
    <row r="57" spans="7:12">
      <c r="G57" s="157"/>
      <c r="H57" s="157"/>
      <c r="L57" s="387"/>
    </row>
    <row r="58" spans="7:12">
      <c r="G58" s="157"/>
      <c r="H58" s="157"/>
      <c r="L58" s="387"/>
    </row>
    <row r="59" spans="7:12">
      <c r="G59" s="157"/>
      <c r="H59" s="157"/>
      <c r="L59" s="387"/>
    </row>
    <row r="60" spans="7:12">
      <c r="G60" s="157"/>
      <c r="H60" s="157"/>
      <c r="L60" s="387"/>
    </row>
    <row r="61" spans="7:12">
      <c r="G61" s="157"/>
      <c r="H61" s="157"/>
      <c r="L61" s="387"/>
    </row>
    <row r="62" spans="7:12">
      <c r="G62" s="157"/>
      <c r="H62" s="157"/>
      <c r="L62" s="387"/>
    </row>
    <row r="63" spans="7:12">
      <c r="G63" s="157"/>
      <c r="H63" s="157"/>
      <c r="L63" s="387"/>
    </row>
    <row r="64" spans="7:12">
      <c r="G64" s="157"/>
      <c r="H64" s="157"/>
      <c r="L64" s="387"/>
    </row>
    <row r="65" spans="7:12">
      <c r="G65" s="157"/>
      <c r="H65" s="157"/>
      <c r="L65" s="387"/>
    </row>
    <row r="66" spans="7:12">
      <c r="G66" s="157"/>
      <c r="H66" s="157"/>
      <c r="L66" s="387"/>
    </row>
    <row r="67" spans="7:12">
      <c r="G67" s="157"/>
      <c r="H67" s="157"/>
      <c r="L67" s="387"/>
    </row>
    <row r="68" spans="7:12">
      <c r="G68" s="157"/>
      <c r="H68" s="157"/>
      <c r="L68" s="387"/>
    </row>
    <row r="69" spans="7:12">
      <c r="G69" s="157"/>
      <c r="H69" s="157"/>
      <c r="L69" s="387"/>
    </row>
    <row r="70" spans="7:12">
      <c r="G70" s="157"/>
      <c r="H70" s="157"/>
      <c r="L70" s="387"/>
    </row>
    <row r="71" spans="7:12">
      <c r="G71" s="157"/>
      <c r="H71" s="157"/>
      <c r="L71" s="387"/>
    </row>
    <row r="72" spans="7:12">
      <c r="G72" s="157"/>
      <c r="H72" s="157"/>
      <c r="L72" s="387"/>
    </row>
    <row r="73" spans="7:12">
      <c r="G73" s="157"/>
      <c r="H73" s="157"/>
      <c r="L73" s="387"/>
    </row>
    <row r="74" spans="7:12">
      <c r="G74" s="157"/>
      <c r="H74" s="157"/>
      <c r="L74" s="387"/>
    </row>
    <row r="75" spans="7:12">
      <c r="G75" s="157"/>
      <c r="H75" s="157"/>
      <c r="L75" s="387"/>
    </row>
    <row r="76" spans="7:12">
      <c r="G76" s="157"/>
      <c r="H76" s="157"/>
      <c r="L76" s="387"/>
    </row>
    <row r="77" spans="7:12">
      <c r="G77" s="157"/>
      <c r="H77" s="157"/>
      <c r="L77" s="387"/>
    </row>
    <row r="78" spans="7:12">
      <c r="G78" s="157"/>
      <c r="H78" s="157"/>
      <c r="L78" s="387"/>
    </row>
    <row r="79" spans="7:12">
      <c r="G79" s="157"/>
      <c r="H79" s="157"/>
      <c r="L79" s="387"/>
    </row>
    <row r="80" spans="7:12">
      <c r="G80" s="157"/>
      <c r="H80" s="157"/>
      <c r="L80" s="387"/>
    </row>
    <row r="81" spans="7:12">
      <c r="G81" s="157"/>
      <c r="H81" s="157"/>
      <c r="L81" s="387"/>
    </row>
    <row r="82" spans="7:12">
      <c r="G82" s="157"/>
      <c r="H82" s="157"/>
      <c r="L82" s="387"/>
    </row>
    <row r="83" spans="7:12">
      <c r="G83" s="157"/>
      <c r="H83" s="157"/>
      <c r="L83" s="387"/>
    </row>
    <row r="84" spans="7:12">
      <c r="G84" s="157"/>
      <c r="H84" s="157"/>
      <c r="L84" s="387"/>
    </row>
    <row r="85" spans="7:12">
      <c r="G85" s="157"/>
      <c r="H85" s="157"/>
      <c r="L85" s="387"/>
    </row>
    <row r="86" spans="7:12">
      <c r="G86" s="157"/>
      <c r="H86" s="157"/>
      <c r="L86" s="387"/>
    </row>
    <row r="87" spans="7:12">
      <c r="G87" s="157"/>
      <c r="H87" s="157"/>
      <c r="L87" s="387"/>
    </row>
    <row r="88" spans="7:12">
      <c r="G88" s="157"/>
      <c r="H88" s="157"/>
      <c r="L88" s="387"/>
    </row>
    <row r="89" spans="7:12">
      <c r="G89" s="157"/>
      <c r="H89" s="157"/>
      <c r="L89" s="387"/>
    </row>
    <row r="90" spans="7:12">
      <c r="G90" s="157"/>
      <c r="H90" s="157"/>
      <c r="L90" s="387"/>
    </row>
    <row r="91" spans="7:12">
      <c r="G91" s="157"/>
      <c r="H91" s="157"/>
      <c r="L91" s="387"/>
    </row>
    <row r="92" spans="7:12">
      <c r="G92" s="157"/>
      <c r="H92" s="157"/>
      <c r="L92" s="387"/>
    </row>
    <row r="93" spans="7:12">
      <c r="G93" s="157"/>
      <c r="H93" s="157"/>
      <c r="L93" s="387"/>
    </row>
    <row r="94" spans="7:12">
      <c r="G94" s="157"/>
      <c r="H94" s="157"/>
      <c r="L94" s="387"/>
    </row>
    <row r="95" spans="7:12">
      <c r="G95" s="157"/>
      <c r="H95" s="157"/>
      <c r="L95" s="387"/>
    </row>
    <row r="96" spans="7:12">
      <c r="G96" s="157"/>
      <c r="H96" s="157"/>
      <c r="L96" s="387"/>
    </row>
    <row r="97" spans="7:12">
      <c r="G97" s="157"/>
      <c r="H97" s="157"/>
      <c r="L97" s="387"/>
    </row>
    <row r="98" spans="7:12">
      <c r="G98" s="157"/>
      <c r="H98" s="157"/>
      <c r="L98" s="387"/>
    </row>
    <row r="99" spans="7:12">
      <c r="G99" s="157"/>
      <c r="H99" s="157"/>
      <c r="L99" s="387"/>
    </row>
    <row r="100" spans="7:12">
      <c r="G100" s="157"/>
      <c r="H100" s="157"/>
      <c r="L100" s="387"/>
    </row>
    <row r="101" spans="7:12">
      <c r="G101" s="157"/>
      <c r="H101" s="157"/>
      <c r="L101" s="387"/>
    </row>
    <row r="102" spans="7:12">
      <c r="G102" s="157"/>
      <c r="H102" s="157"/>
      <c r="L102" s="387"/>
    </row>
    <row r="103" spans="7:12">
      <c r="G103" s="157"/>
      <c r="H103" s="157"/>
      <c r="L103" s="387"/>
    </row>
    <row r="104" spans="7:12">
      <c r="G104" s="157"/>
      <c r="H104" s="157"/>
      <c r="L104" s="387"/>
    </row>
    <row r="105" spans="7:12">
      <c r="G105" s="157"/>
      <c r="H105" s="157"/>
      <c r="L105" s="387"/>
    </row>
    <row r="106" spans="7:12">
      <c r="G106" s="157"/>
      <c r="H106" s="157"/>
      <c r="L106" s="387"/>
    </row>
    <row r="107" spans="7:12">
      <c r="G107" s="157"/>
      <c r="H107" s="157"/>
      <c r="L107" s="387"/>
    </row>
    <row r="108" spans="7:12">
      <c r="G108" s="157"/>
      <c r="H108" s="157"/>
      <c r="L108" s="387"/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5A5A5"/>
  </sheetPr>
  <dimension ref="B1:AD56"/>
  <sheetViews>
    <sheetView workbookViewId="0"/>
  </sheetViews>
  <sheetFormatPr defaultRowHeight="14.4"/>
  <cols>
    <col min="1" max="1" width="2.21875" customWidth="1"/>
    <col min="2" max="2" width="21" customWidth="1"/>
    <col min="3" max="3" width="8.5546875" customWidth="1"/>
    <col min="4" max="4" width="0.77734375" customWidth="1"/>
    <col min="5" max="5" width="9.77734375" customWidth="1"/>
    <col min="6" max="6" width="15.5546875" customWidth="1"/>
    <col min="7" max="7" width="12.109375" customWidth="1"/>
    <col min="14" max="14" width="1" customWidth="1"/>
    <col min="16" max="16" width="11" customWidth="1"/>
    <col min="17" max="17" width="1.5546875" customWidth="1"/>
    <col min="18" max="18" width="11.5546875" customWidth="1"/>
    <col min="19" max="19" width="8.5546875" customWidth="1"/>
    <col min="20" max="20" width="14.5546875" customWidth="1"/>
    <col min="21" max="21" width="12.21875" customWidth="1"/>
    <col min="22" max="22" width="10.109375" customWidth="1"/>
    <col min="23" max="23" width="7.109375" customWidth="1"/>
    <col min="24" max="24" width="4.109375" customWidth="1"/>
    <col min="25" max="25" width="10.77734375" customWidth="1"/>
    <col min="26" max="26" width="8.77734375" customWidth="1"/>
    <col min="27" max="27" width="9.109375" customWidth="1"/>
    <col min="28" max="28" width="12.44140625" customWidth="1"/>
    <col min="29" max="29" width="10.109375" customWidth="1"/>
    <col min="30" max="30" width="7.109375" customWidth="1"/>
  </cols>
  <sheetData>
    <row r="1" spans="2:30" ht="46.05" customHeight="1">
      <c r="E1" s="388" t="s">
        <v>829</v>
      </c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</row>
    <row r="3" spans="2:30" ht="31.05" customHeight="1">
      <c r="C3" s="50"/>
      <c r="D3" s="50"/>
      <c r="E3" s="390" t="str">
        <f ca="1">"Week "&amp;WEEKNUM(F3)</f>
        <v>Week 1</v>
      </c>
      <c r="F3" s="391">
        <f ca="1">TODAY()</f>
        <v>46024</v>
      </c>
      <c r="G3" s="392" t="s">
        <v>830</v>
      </c>
      <c r="H3" s="392" t="s">
        <v>831</v>
      </c>
      <c r="I3" s="392" t="s">
        <v>832</v>
      </c>
      <c r="J3" s="392" t="s">
        <v>833</v>
      </c>
      <c r="K3" s="392" t="s">
        <v>834</v>
      </c>
      <c r="L3" s="392" t="s">
        <v>835</v>
      </c>
      <c r="M3" s="393" t="s">
        <v>836</v>
      </c>
      <c r="N3" s="394"/>
      <c r="O3" s="395" t="s">
        <v>545</v>
      </c>
      <c r="P3" s="396" t="s">
        <v>457</v>
      </c>
      <c r="R3" s="397" t="s">
        <v>837</v>
      </c>
    </row>
    <row r="4" spans="2:30" ht="15.45" customHeight="1">
      <c r="C4" s="50"/>
      <c r="D4" s="50"/>
      <c r="E4" s="398" t="s">
        <v>838</v>
      </c>
      <c r="F4" s="381"/>
      <c r="G4" s="399">
        <f>'15_5Day_Forecast'!Y2</f>
        <v>0</v>
      </c>
      <c r="H4" s="399">
        <f>'15_5Day_Forecast'!Z2</f>
        <v>0</v>
      </c>
      <c r="I4" s="399">
        <f>'15_5Day_Forecast'!AA2</f>
        <v>0</v>
      </c>
      <c r="J4" s="399">
        <f>'15_5Day_Forecast'!AB2</f>
        <v>0</v>
      </c>
      <c r="K4" s="399">
        <f>'15_5Day_Forecast'!AC2</f>
        <v>0</v>
      </c>
      <c r="L4" s="399">
        <f>'15_5Day_Forecast'!AD2</f>
        <v>0</v>
      </c>
      <c r="M4" s="400">
        <f>'15_5Day_Forecast'!AE2</f>
        <v>0</v>
      </c>
      <c r="O4" s="401">
        <f>SUM(G4:M4)/$C$5</f>
        <v>0</v>
      </c>
      <c r="P4" s="402">
        <f>SUM(G4:M4)</f>
        <v>0</v>
      </c>
      <c r="R4" s="403"/>
      <c r="T4" s="15" t="s">
        <v>130</v>
      </c>
      <c r="U4" s="15">
        <f>ROUND(SUMIF('05_Daily_Orders'!$K$3:$K$349,T4,'05_Daily_Orders'!$G$3:$G$349)+50,-2)</f>
        <v>100</v>
      </c>
    </row>
    <row r="5" spans="2:30">
      <c r="B5" s="404" t="s">
        <v>839</v>
      </c>
      <c r="C5" s="405">
        <v>2</v>
      </c>
      <c r="D5" s="50"/>
      <c r="E5" s="406" t="s">
        <v>840</v>
      </c>
      <c r="F5" s="381"/>
      <c r="G5" s="407">
        <f>SUMIF('15_5Day_Forecast'!$L$4:$L$274,"fast",'15_5Day_Forecast'!$N$4:$N$274)</f>
        <v>0</v>
      </c>
      <c r="H5" s="407">
        <f>SUMIF('15_5Day_Forecast'!$L$4:$L$274,"fast",'15_5Day_Forecast'!$O$4:$O$274)</f>
        <v>0</v>
      </c>
      <c r="I5" s="407">
        <f>SUMIF('15_5Day_Forecast'!$L$4:$L$274,"fast",'15_5Day_Forecast'!$P$4:$P$274)</f>
        <v>0</v>
      </c>
      <c r="J5" s="407">
        <f>SUMIF('15_5Day_Forecast'!$L$4:$L$274,"fast",'15_5Day_Forecast'!$Q$4:$Q$274)</f>
        <v>0</v>
      </c>
      <c r="K5" s="407">
        <f>SUMIF('15_5Day_Forecast'!$L$4:$L$274,"fast",'15_5Day_Forecast'!$R$4:$R$274)</f>
        <v>0</v>
      </c>
      <c r="L5" s="407">
        <f>SUMIF('15_5Day_Forecast'!$L$4:$L$274,"fast",'15_5Day_Forecast'!$S$4:$S$274)</f>
        <v>0</v>
      </c>
      <c r="M5" s="408">
        <f>SUMIF('15_5Day_Forecast'!$L$4:$L$274,"fast",'15_5Day_Forecast'!$T$4:$T$274)</f>
        <v>0</v>
      </c>
      <c r="O5" s="409">
        <f>SUM(G5:M5)/$C$5</f>
        <v>0</v>
      </c>
      <c r="P5" s="410">
        <f>SUM(G5:M5)</f>
        <v>0</v>
      </c>
      <c r="R5" s="411">
        <f>SUM(P4,R4)/C5</f>
        <v>0</v>
      </c>
      <c r="T5" s="15" t="s">
        <v>134</v>
      </c>
      <c r="U5" s="15">
        <f>ROUND(SUMIF('05_Daily_Orders'!$K$3:$K$349,T5,'05_Daily_Orders'!$G$3:$G$349)+50,-2)</f>
        <v>100</v>
      </c>
    </row>
    <row r="6" spans="2:30">
      <c r="B6" s="412" t="s">
        <v>841</v>
      </c>
      <c r="C6" s="413">
        <v>8</v>
      </c>
      <c r="D6" s="50"/>
      <c r="E6" s="414" t="s">
        <v>842</v>
      </c>
      <c r="F6" s="381"/>
      <c r="G6" s="415">
        <f>G5/C22/C6</f>
        <v>0</v>
      </c>
      <c r="H6" s="415">
        <f>H5/C22/C6</f>
        <v>0</v>
      </c>
      <c r="I6" s="415">
        <f>I5/C22/C6</f>
        <v>0</v>
      </c>
      <c r="J6" s="415">
        <f>J5/C22/C6</f>
        <v>0</v>
      </c>
      <c r="K6" s="415">
        <f>K5/C22/C6</f>
        <v>0</v>
      </c>
      <c r="L6" s="415">
        <f>L5/C22/C6</f>
        <v>0</v>
      </c>
      <c r="M6" s="416">
        <f>M5/C22/C6</f>
        <v>0</v>
      </c>
      <c r="O6" s="417">
        <f>SUM(G6:M6)/$C$5</f>
        <v>0</v>
      </c>
      <c r="P6" s="402">
        <f>SUM(G6:M6)</f>
        <v>0</v>
      </c>
      <c r="T6" s="15" t="s">
        <v>227</v>
      </c>
      <c r="U6" s="15">
        <f>ROUND(SUMIF('05_Daily_Orders'!$K$3:$K$349,T6,'05_Daily_Orders'!$G$3:$G$349)+50,-2)</f>
        <v>100</v>
      </c>
    </row>
    <row r="7" spans="2:30">
      <c r="B7" s="412"/>
      <c r="C7" s="418"/>
      <c r="D7" s="44"/>
      <c r="E7" s="419" t="s">
        <v>843</v>
      </c>
      <c r="F7" s="381"/>
      <c r="G7" s="420" t="str">
        <f ca="1">IFERROR(G5/'15_5Day_Forecast'!N2,"")</f>
        <v/>
      </c>
      <c r="H7" s="420" t="str">
        <f ca="1">IFERROR(H5/'15_5Day_Forecast'!O2,"")</f>
        <v/>
      </c>
      <c r="I7" s="420" t="str">
        <f ca="1">IFERROR(I5/'15_5Day_Forecast'!P2,"")</f>
        <v/>
      </c>
      <c r="J7" s="420" t="str">
        <f ca="1">IFERROR(J5/'15_5Day_Forecast'!Q2,"")</f>
        <v/>
      </c>
      <c r="K7" s="420" t="str">
        <f ca="1">IFERROR(K5/'15_5Day_Forecast'!R2,"")</f>
        <v/>
      </c>
      <c r="L7" s="420" t="str">
        <f ca="1">IFERROR(L5/'15_5Day_Forecast'!S2,"")</f>
        <v/>
      </c>
      <c r="M7" s="420" t="str">
        <f ca="1">IFERROR(M5/'15_5Day_Forecast'!T2,"")</f>
        <v/>
      </c>
      <c r="O7" s="417"/>
      <c r="P7" s="421" t="str">
        <f ca="1">IFERROR(P5/'15_5Day_Forecast'!U2,"")</f>
        <v/>
      </c>
      <c r="T7" s="15" t="s">
        <v>297</v>
      </c>
      <c r="U7" s="15">
        <f>ROUND(SUMIF('05_Daily_Orders'!$K$3:$K$349,T7,'05_Daily_Orders'!$G$3:$G$349)+50,-2)</f>
        <v>100</v>
      </c>
    </row>
    <row r="8" spans="2:30">
      <c r="B8" s="412" t="s">
        <v>844</v>
      </c>
      <c r="C8" s="422" t="e">
        <f ca="1">SUM('15_5Day_Forecast'!N2:T2)</f>
        <v>#NAME?</v>
      </c>
      <c r="D8" s="50"/>
      <c r="E8" s="423" t="s">
        <v>845</v>
      </c>
      <c r="F8" s="381"/>
      <c r="G8" s="424">
        <f>SUMIF('15_5Day_Forecast'!$L$4:$L$274,"Normal",'15_5Day_Forecast'!$N$4:$N$274)</f>
        <v>0</v>
      </c>
      <c r="H8" s="424">
        <f>SUMIF('15_5Day_Forecast'!$L$4:$L$274,"Normal",'15_5Day_Forecast'!$O$4:$O$274)</f>
        <v>0</v>
      </c>
      <c r="I8" s="424">
        <f>SUMIF('15_5Day_Forecast'!$L$4:$L$274,"Normal",'15_5Day_Forecast'!$P$4:$P$274)</f>
        <v>0</v>
      </c>
      <c r="J8" s="424">
        <f>SUMIF('15_5Day_Forecast'!$L$4:$L$274,"Normal",'15_5Day_Forecast'!$Q$4:$Q$274)</f>
        <v>0</v>
      </c>
      <c r="K8" s="424">
        <f>SUMIF('15_5Day_Forecast'!$L$4:$L$274,"Normal",'15_5Day_Forecast'!$R$4:$R$274)</f>
        <v>0</v>
      </c>
      <c r="L8" s="424">
        <f>SUMIF('15_5Day_Forecast'!$L$4:$L$274,"Normal",'15_5Day_Forecast'!$S$4:$S$274)</f>
        <v>0</v>
      </c>
      <c r="M8" s="425">
        <f>SUMIF('15_5Day_Forecast'!$L$4:$L$274,"Normal",'15_5Day_Forecast'!$T$4:$T$274)</f>
        <v>0</v>
      </c>
      <c r="O8" s="409">
        <f>SUM(G8:M8)/C5</f>
        <v>0</v>
      </c>
      <c r="P8" s="410">
        <f>SUM(G8:M8)</f>
        <v>0</v>
      </c>
      <c r="T8" s="15" t="s">
        <v>377</v>
      </c>
      <c r="U8" s="15">
        <f>ROUND(SUMIF('05_Daily_Orders'!$K$3:$K$349,T8,'05_Daily_Orders'!$G$3:$G$349)+50,-2)</f>
        <v>100</v>
      </c>
    </row>
    <row r="9" spans="2:30">
      <c r="B9" s="426" t="s">
        <v>846</v>
      </c>
      <c r="C9" s="427">
        <v>1</v>
      </c>
      <c r="D9" s="44"/>
      <c r="E9" s="428" t="s">
        <v>842</v>
      </c>
      <c r="F9" s="381"/>
      <c r="G9" s="429">
        <f>G8/C6/C23</f>
        <v>0</v>
      </c>
      <c r="H9" s="429">
        <f>H8/C6/C23</f>
        <v>0</v>
      </c>
      <c r="I9" s="429">
        <f>I8/C6/C23</f>
        <v>0</v>
      </c>
      <c r="J9" s="429">
        <f>J8/C6/C23</f>
        <v>0</v>
      </c>
      <c r="K9" s="429">
        <f>K8/C6/C23</f>
        <v>0</v>
      </c>
      <c r="L9" s="429">
        <f>L8/C6/C23</f>
        <v>0</v>
      </c>
      <c r="M9" s="430">
        <f>M8/C6/C23</f>
        <v>0</v>
      </c>
      <c r="O9" s="417">
        <f>SUM(G9:M9)/C5</f>
        <v>0</v>
      </c>
      <c r="P9" s="402">
        <f>SUM(G9:M9)</f>
        <v>0</v>
      </c>
      <c r="T9" s="15" t="s">
        <v>847</v>
      </c>
      <c r="U9" s="15">
        <v>1000</v>
      </c>
    </row>
    <row r="10" spans="2:30">
      <c r="B10" s="412"/>
      <c r="C10" s="413"/>
      <c r="D10" s="50"/>
      <c r="E10" s="431" t="s">
        <v>848</v>
      </c>
      <c r="F10" s="381"/>
      <c r="G10" s="432" t="str">
        <f ca="1">IFERROR(G8/'15_5Day_Forecast'!N2,"")</f>
        <v/>
      </c>
      <c r="H10" s="432" t="str">
        <f ca="1">IFERROR(H8/'15_5Day_Forecast'!O2,"")</f>
        <v/>
      </c>
      <c r="I10" s="432" t="str">
        <f ca="1">IFERROR(I8/'15_5Day_Forecast'!P2,"")</f>
        <v/>
      </c>
      <c r="J10" s="432" t="str">
        <f ca="1">IFERROR(J8/'15_5Day_Forecast'!Q2,"")</f>
        <v/>
      </c>
      <c r="K10" s="432" t="str">
        <f ca="1">IFERROR(K8/'15_5Day_Forecast'!R2,"")</f>
        <v/>
      </c>
      <c r="L10" s="432" t="str">
        <f ca="1">IFERROR(L8/'15_5Day_Forecast'!S2,"")</f>
        <v/>
      </c>
      <c r="M10" s="432" t="str">
        <f ca="1">IFERROR(M8/'15_5Day_Forecast'!T2,"")</f>
        <v/>
      </c>
      <c r="O10" s="417"/>
      <c r="P10" s="421" t="str">
        <f ca="1">IFERROR(P8/'15_5Day_Forecast'!U2,"")</f>
        <v/>
      </c>
    </row>
    <row r="11" spans="2:30">
      <c r="B11" s="412"/>
      <c r="C11" s="418"/>
      <c r="D11" s="44"/>
      <c r="E11" s="433" t="s">
        <v>849</v>
      </c>
      <c r="F11" s="381"/>
      <c r="G11" s="434">
        <f>SUMIF('15_5Day_Forecast'!$L$4:$L$274,"slow",'15_5Day_Forecast'!$N$4:$N$274)</f>
        <v>0</v>
      </c>
      <c r="H11" s="434">
        <f>SUMIF('15_5Day_Forecast'!$L$4:$L$274,"slow",'15_5Day_Forecast'!$O$4:$O$274)</f>
        <v>0</v>
      </c>
      <c r="I11" s="434">
        <f>SUMIF('15_5Day_Forecast'!$L$4:$L$274,"slow",'15_5Day_Forecast'!$P$4:$P$274)</f>
        <v>0</v>
      </c>
      <c r="J11" s="434">
        <f>SUMIF('15_5Day_Forecast'!$L$4:$L$274,"slow",'15_5Day_Forecast'!$Q$4:$Q$274)</f>
        <v>0</v>
      </c>
      <c r="K11" s="434">
        <f>SUMIF('15_5Day_Forecast'!$L$4:$L$274,"slow",'15_5Day_Forecast'!$R$4:$R$274)</f>
        <v>0</v>
      </c>
      <c r="L11" s="434">
        <f>SUMIF('15_5Day_Forecast'!$L$4:$L$274,"slow",'15_5Day_Forecast'!$S$4:$S$274)</f>
        <v>0</v>
      </c>
      <c r="M11" s="435">
        <f>SUMIF('15_5Day_Forecast'!$L$4:$L$274,"slow",'15_5Day_Forecast'!$T$4:$T$274)</f>
        <v>0</v>
      </c>
      <c r="O11" s="409">
        <f>SUM(G11:M11)/C5</f>
        <v>0</v>
      </c>
      <c r="P11" s="410">
        <f>SUM(G11:M11)</f>
        <v>0</v>
      </c>
    </row>
    <row r="12" spans="2:30">
      <c r="B12" s="412"/>
      <c r="C12" s="413"/>
      <c r="D12" s="50"/>
      <c r="E12" s="431" t="s">
        <v>842</v>
      </c>
      <c r="F12" s="381"/>
      <c r="G12" s="436">
        <f>G11/C6/C24</f>
        <v>0</v>
      </c>
      <c r="H12" s="436">
        <f>H11/C6/C24</f>
        <v>0</v>
      </c>
      <c r="I12" s="436">
        <f>I11/C6/C24</f>
        <v>0</v>
      </c>
      <c r="J12" s="436">
        <f>J11/C6/C24</f>
        <v>0</v>
      </c>
      <c r="K12" s="436">
        <f>K11/C6/C24</f>
        <v>0</v>
      </c>
      <c r="L12" s="436">
        <f>L11/C6/C24</f>
        <v>0</v>
      </c>
      <c r="M12" s="437">
        <f>M11/C6/C24</f>
        <v>0</v>
      </c>
      <c r="O12" s="417">
        <f>SUM(G12:M12)/C5</f>
        <v>0</v>
      </c>
      <c r="P12" s="402">
        <f>SUM(G12:M12)</f>
        <v>0</v>
      </c>
    </row>
    <row r="13" spans="2:30">
      <c r="B13" s="412"/>
      <c r="C13" s="413"/>
      <c r="D13" s="50"/>
      <c r="E13" s="431" t="s">
        <v>850</v>
      </c>
      <c r="F13" s="381"/>
      <c r="G13" s="438" t="str">
        <f ca="1">IFERROR(G11/'15_5Day_Forecast'!N2,"")</f>
        <v/>
      </c>
      <c r="H13" s="438" t="str">
        <f ca="1">IFERROR(H11/'15_5Day_Forecast'!O2,"")</f>
        <v/>
      </c>
      <c r="I13" s="438" t="str">
        <f ca="1">IFERROR(I11/'15_5Day_Forecast'!P2,"")</f>
        <v/>
      </c>
      <c r="J13" s="438" t="str">
        <f ca="1">IFERROR(J11/'15_5Day_Forecast'!Q2,"")</f>
        <v/>
      </c>
      <c r="K13" s="438" t="str">
        <f ca="1">IFERROR(K11/'15_5Day_Forecast'!R2,"")</f>
        <v/>
      </c>
      <c r="L13" s="438" t="str">
        <f ca="1">IFERROR(L11/'15_5Day_Forecast'!S2,"")</f>
        <v/>
      </c>
      <c r="M13" s="438" t="str">
        <f ca="1">IFERROR(M11/'15_5Day_Forecast'!T2,"")</f>
        <v/>
      </c>
      <c r="O13" s="417"/>
      <c r="P13" s="421" t="str">
        <f ca="1">IFERROR(P11/'15_5Day_Forecast'!U2,"")</f>
        <v/>
      </c>
      <c r="S13">
        <f>O4/2</f>
        <v>0</v>
      </c>
    </row>
    <row r="14" spans="2:30">
      <c r="B14" s="412"/>
      <c r="C14" s="413"/>
      <c r="D14" s="50"/>
      <c r="E14" s="439" t="s">
        <v>851</v>
      </c>
      <c r="F14" s="440"/>
      <c r="G14" s="441">
        <f>SUM(G5,G8,G11)/C6</f>
        <v>0</v>
      </c>
      <c r="H14" s="441">
        <f>SUM(H5,H8,H11)/C6</f>
        <v>0</v>
      </c>
      <c r="I14" s="441">
        <f>SUM(I5,I8,I11)/C6</f>
        <v>0</v>
      </c>
      <c r="J14" s="441">
        <f>SUM(J5,J8,J11)/C6</f>
        <v>0</v>
      </c>
      <c r="K14" s="441">
        <f>SUM(K5,K8,K11)/C6</f>
        <v>0</v>
      </c>
      <c r="L14" s="441">
        <f>SUM(L5,L8,L11)/C6</f>
        <v>0</v>
      </c>
      <c r="M14" s="442">
        <f>SUM(M5,M8,M11)/C6</f>
        <v>0</v>
      </c>
      <c r="O14" s="443" t="s">
        <v>852</v>
      </c>
      <c r="P14" s="444">
        <f>SUM(P5,P8,P11)</f>
        <v>0</v>
      </c>
    </row>
    <row r="15" spans="2:30" ht="15.45" customHeight="1">
      <c r="B15" s="412"/>
      <c r="C15" s="413"/>
      <c r="D15" s="50"/>
      <c r="G15" s="33"/>
      <c r="H15" s="445"/>
      <c r="I15" s="446"/>
      <c r="J15" s="446"/>
      <c r="K15" s="50"/>
      <c r="O15" s="33"/>
      <c r="P15" s="33"/>
    </row>
    <row r="16" spans="2:30" ht="15.45" customHeight="1">
      <c r="B16" s="412"/>
      <c r="C16" s="413"/>
      <c r="D16" s="50"/>
      <c r="E16" s="447" t="s">
        <v>853</v>
      </c>
      <c r="F16" s="448" t="s">
        <v>854</v>
      </c>
      <c r="G16" s="449"/>
      <c r="H16" s="449"/>
      <c r="I16" s="449"/>
      <c r="J16" s="449"/>
      <c r="K16" s="449"/>
      <c r="L16" s="450"/>
      <c r="M16" s="451"/>
      <c r="O16" s="452" t="str">
        <f>IFERROR(AVERAGE(G16:K16),"")</f>
        <v/>
      </c>
      <c r="P16" s="405">
        <f>SUM(G16:K16)</f>
        <v>0</v>
      </c>
      <c r="R16" s="15" t="s">
        <v>855</v>
      </c>
      <c r="S16" s="453" t="s">
        <v>830</v>
      </c>
      <c r="T16" s="453" t="s">
        <v>831</v>
      </c>
      <c r="U16" s="453" t="s">
        <v>832</v>
      </c>
      <c r="V16" s="453" t="s">
        <v>833</v>
      </c>
      <c r="W16" s="453" t="s">
        <v>834</v>
      </c>
      <c r="X16" s="454"/>
      <c r="Y16" s="15" t="s">
        <v>855</v>
      </c>
      <c r="Z16" s="453" t="s">
        <v>830</v>
      </c>
      <c r="AA16" s="453" t="s">
        <v>831</v>
      </c>
      <c r="AB16" s="453" t="s">
        <v>832</v>
      </c>
      <c r="AC16" s="453" t="s">
        <v>833</v>
      </c>
      <c r="AD16" s="453" t="s">
        <v>834</v>
      </c>
    </row>
    <row r="17" spans="2:30">
      <c r="B17" s="412"/>
      <c r="C17" s="413"/>
      <c r="D17" s="50"/>
      <c r="E17" s="455" t="s">
        <v>508</v>
      </c>
      <c r="F17" s="22" t="s">
        <v>856</v>
      </c>
      <c r="G17" s="40" t="e">
        <f ca="1">'15_5Day_Forecast'!D2</f>
        <v>#NAME?</v>
      </c>
      <c r="H17" s="40" t="e">
        <f ca="1">'15_5Day_Forecast'!E2</f>
        <v>#NAME?</v>
      </c>
      <c r="I17" s="40" t="e">
        <f ca="1">'15_5Day_Forecast'!F2</f>
        <v>#NAME?</v>
      </c>
      <c r="J17" s="40" t="e">
        <f ca="1">'15_5Day_Forecast'!G2</f>
        <v>#NAME?</v>
      </c>
      <c r="K17" s="40" t="e">
        <f ca="1">SUM('15_5Day_Forecast'!H2:J2)</f>
        <v>#NAME?</v>
      </c>
      <c r="L17" s="456"/>
      <c r="M17" s="457"/>
      <c r="O17" s="458"/>
      <c r="P17" s="459"/>
      <c r="R17" s="15"/>
      <c r="S17" s="15">
        <v>5000</v>
      </c>
      <c r="T17" s="15">
        <v>5000</v>
      </c>
      <c r="U17" s="380">
        <v>0</v>
      </c>
      <c r="V17" s="15">
        <v>5000</v>
      </c>
      <c r="W17" s="15">
        <v>5000</v>
      </c>
      <c r="Y17" s="15" t="s">
        <v>405</v>
      </c>
      <c r="Z17" s="15">
        <v>250</v>
      </c>
      <c r="AA17" s="15">
        <v>250</v>
      </c>
      <c r="AB17" s="15">
        <v>250</v>
      </c>
      <c r="AC17" s="15">
        <v>250</v>
      </c>
      <c r="AD17" s="15">
        <v>250</v>
      </c>
    </row>
    <row r="18" spans="2:30">
      <c r="B18" s="412"/>
      <c r="C18" s="413"/>
      <c r="D18" s="50"/>
      <c r="E18" s="460"/>
      <c r="F18" s="461" t="s">
        <v>857</v>
      </c>
      <c r="G18" s="462" t="str">
        <f ca="1">IFERROR(G17/SUM(G5,G8,G11),"")</f>
        <v/>
      </c>
      <c r="H18" s="462" t="str">
        <f ca="1">IFERROR(H17/SUM(H5,H8,H11),"")</f>
        <v/>
      </c>
      <c r="I18" s="462" t="str">
        <f ca="1">IFERROR(I17/SUM(I5,I8,I11),"")</f>
        <v/>
      </c>
      <c r="J18" s="462" t="str">
        <f ca="1">IFERROR(J17/SUM(J5,J8,J11),"")</f>
        <v/>
      </c>
      <c r="K18" s="463" t="str">
        <f ca="1">IFERROR(K17/SUM(K5:M5,,K11:M11,K8:M8),"")</f>
        <v/>
      </c>
      <c r="L18" s="464"/>
      <c r="M18" s="465"/>
      <c r="O18" s="443" t="str">
        <f ca="1">IFERROR(AVERAGE(G18:K18),"")</f>
        <v/>
      </c>
      <c r="P18" s="444"/>
      <c r="R18" s="15"/>
      <c r="S18" s="15">
        <v>5000</v>
      </c>
      <c r="T18" s="15">
        <v>5000</v>
      </c>
      <c r="U18" s="15">
        <v>5000</v>
      </c>
      <c r="V18" s="15">
        <v>5000</v>
      </c>
      <c r="W18" s="15">
        <v>5000</v>
      </c>
      <c r="Y18" s="15" t="s">
        <v>858</v>
      </c>
      <c r="Z18" s="15">
        <v>145</v>
      </c>
      <c r="AA18" s="15">
        <v>145</v>
      </c>
      <c r="AB18" s="15">
        <v>145</v>
      </c>
      <c r="AC18" s="15">
        <v>145</v>
      </c>
      <c r="AD18" s="15">
        <v>145</v>
      </c>
    </row>
    <row r="19" spans="2:30">
      <c r="B19" s="412"/>
      <c r="C19" s="413"/>
      <c r="D19" s="50"/>
      <c r="F19" s="466"/>
      <c r="O19" s="33"/>
      <c r="P19" s="33"/>
      <c r="R19" s="15"/>
      <c r="S19" s="15"/>
      <c r="T19" s="15"/>
      <c r="U19" s="15"/>
      <c r="V19" s="15"/>
      <c r="W19" s="15"/>
      <c r="Y19" s="15"/>
      <c r="Z19" s="15"/>
      <c r="AA19" s="15"/>
      <c r="AB19" s="15"/>
      <c r="AC19" s="15"/>
      <c r="AD19" s="15"/>
    </row>
    <row r="20" spans="2:30">
      <c r="B20" s="467"/>
      <c r="C20" s="468"/>
      <c r="D20" s="44"/>
      <c r="E20" s="469" t="s">
        <v>859</v>
      </c>
      <c r="F20" s="470" t="s">
        <v>860</v>
      </c>
      <c r="G20" s="471">
        <f>SUM(G5,G8,G11)/C6/2</f>
        <v>0</v>
      </c>
      <c r="H20" s="472">
        <f>(SUM(H5,H8,H11))/C6/2</f>
        <v>0</v>
      </c>
      <c r="I20" s="472">
        <f>(SUM(I5,I8,I11))/C6/2</f>
        <v>0</v>
      </c>
      <c r="J20" s="472">
        <f>(SUM(J5,J8,J11))/C6/2</f>
        <v>0</v>
      </c>
      <c r="K20" s="472">
        <f>(SUM(K5:M5,K8:M8,K11:M11))/C6/2</f>
        <v>0</v>
      </c>
      <c r="L20" s="473"/>
      <c r="M20" s="474"/>
      <c r="O20" s="475">
        <f>SUM(G20:K20)/C5</f>
        <v>0</v>
      </c>
      <c r="P20" s="476">
        <f>SUM(G20:K20)*2</f>
        <v>0</v>
      </c>
      <c r="R20" s="15"/>
      <c r="S20" s="15"/>
      <c r="T20" s="15"/>
      <c r="U20" s="15"/>
      <c r="V20" s="15"/>
      <c r="W20" s="15"/>
      <c r="Y20" s="15" t="s">
        <v>861</v>
      </c>
      <c r="Z20" s="15">
        <f>Z17-Z18</f>
        <v>105</v>
      </c>
      <c r="AA20" s="15">
        <f>AA17-AA18</f>
        <v>105</v>
      </c>
      <c r="AB20" s="15">
        <f>AB17-AB18</f>
        <v>105</v>
      </c>
      <c r="AC20" s="15">
        <f>AC17-AC18</f>
        <v>105</v>
      </c>
      <c r="AD20" s="15">
        <f>AD17-AD18</f>
        <v>105</v>
      </c>
    </row>
    <row r="21" spans="2:30">
      <c r="B21" s="51"/>
      <c r="C21" s="50"/>
      <c r="D21" s="50"/>
      <c r="E21" s="477"/>
      <c r="F21" s="478" t="s">
        <v>862</v>
      </c>
      <c r="G21" s="479">
        <f>SUM(G6,G9,G12)/2</f>
        <v>0</v>
      </c>
      <c r="H21" s="463">
        <f>SUM(H6,H9,H12)/2</f>
        <v>0</v>
      </c>
      <c r="I21" s="463">
        <f>SUM(I6,I9,I12)/2</f>
        <v>0</v>
      </c>
      <c r="J21" s="463">
        <f>SUM(J6,J9,J12)/2</f>
        <v>0</v>
      </c>
      <c r="K21" s="463">
        <f>SUM(K6:M6,K9:M9,K12:M12)/2</f>
        <v>0</v>
      </c>
      <c r="L21" s="480"/>
      <c r="M21" s="481"/>
      <c r="O21" s="482">
        <f>P21/C5</f>
        <v>0</v>
      </c>
      <c r="P21" s="444">
        <f>SUM(G21:K21)</f>
        <v>0</v>
      </c>
      <c r="R21" s="15"/>
      <c r="S21" s="15"/>
      <c r="T21" s="15"/>
      <c r="U21" s="15"/>
      <c r="V21" s="380" t="s">
        <v>863</v>
      </c>
      <c r="W21" s="15">
        <f>SUM(S17:W18)</f>
        <v>45000</v>
      </c>
    </row>
    <row r="22" spans="2:30">
      <c r="B22" s="404" t="s">
        <v>864</v>
      </c>
      <c r="C22" s="483">
        <v>11</v>
      </c>
      <c r="D22" s="50"/>
      <c r="R22" s="15"/>
      <c r="S22" s="15"/>
      <c r="T22" s="15"/>
      <c r="U22" s="15"/>
      <c r="V22" s="380" t="s">
        <v>865</v>
      </c>
      <c r="W22" s="385">
        <f>W21-P4</f>
        <v>45000</v>
      </c>
    </row>
    <row r="23" spans="2:30">
      <c r="B23" s="412" t="s">
        <v>866</v>
      </c>
      <c r="C23" s="484">
        <v>13</v>
      </c>
      <c r="D23" s="44"/>
      <c r="E23" s="485" t="s">
        <v>867</v>
      </c>
      <c r="F23" s="486"/>
      <c r="G23" s="487">
        <f>COUNTIF('15_5Day_Forecast'!Y4:Y244,"&gt;0")</f>
        <v>0</v>
      </c>
      <c r="H23" s="487">
        <f>COUNTIF('15_5Day_Forecast'!Z4:Z244,"&gt;0")</f>
        <v>0</v>
      </c>
      <c r="I23" s="487">
        <f>COUNTIF('15_5Day_Forecast'!AA4:AA244,"&gt;0")</f>
        <v>0</v>
      </c>
      <c r="J23" s="487">
        <f>COUNTIF('15_5Day_Forecast'!AB4:AB244,"&gt;0")</f>
        <v>0</v>
      </c>
      <c r="K23" s="487">
        <f>COUNTIF('15_5Day_Forecast'!AC4:AC244,"&gt;0")</f>
        <v>65</v>
      </c>
      <c r="L23" s="487">
        <f>COUNTIF('15_5Day_Forecast'!AD4:AD244,"&gt;0")</f>
        <v>16</v>
      </c>
      <c r="M23" s="488">
        <f>COUNTIF('15_5Day_Forecast'!AE4:AE244,"&gt;0")</f>
        <v>58</v>
      </c>
      <c r="O23" s="489"/>
      <c r="P23" s="386"/>
      <c r="W23" s="490"/>
    </row>
    <row r="24" spans="2:30">
      <c r="B24" s="467" t="s">
        <v>868</v>
      </c>
      <c r="C24" s="491">
        <v>19</v>
      </c>
      <c r="D24" s="44"/>
      <c r="E24" s="492" t="s">
        <v>869</v>
      </c>
      <c r="F24" s="493"/>
      <c r="G24" s="494"/>
      <c r="H24" s="335"/>
      <c r="I24" s="335"/>
      <c r="J24" s="335"/>
      <c r="K24" s="335"/>
      <c r="L24" s="206"/>
      <c r="M24" s="495"/>
      <c r="O24" s="489"/>
      <c r="P24" s="386"/>
    </row>
    <row r="25" spans="2:30">
      <c r="B25" s="50"/>
      <c r="C25" s="44"/>
      <c r="D25" s="44"/>
      <c r="E25" s="496" t="s">
        <v>870</v>
      </c>
      <c r="F25" s="497"/>
      <c r="G25" s="498"/>
      <c r="H25" s="499"/>
      <c r="I25" s="499"/>
      <c r="J25" s="500"/>
      <c r="K25" s="500"/>
      <c r="L25" s="501"/>
      <c r="M25" s="502"/>
      <c r="O25" s="489"/>
      <c r="P25" s="386"/>
    </row>
    <row r="26" spans="2:30">
      <c r="B26" s="50"/>
      <c r="C26" s="44"/>
      <c r="D26" s="44"/>
      <c r="E26" s="503"/>
      <c r="F26" s="504"/>
      <c r="G26" s="504"/>
      <c r="H26" s="504"/>
      <c r="I26" s="504"/>
      <c r="J26" s="505"/>
      <c r="K26" s="505"/>
      <c r="L26" s="506"/>
      <c r="M26" s="506"/>
      <c r="O26" s="489"/>
      <c r="P26" s="386"/>
    </row>
    <row r="27" spans="2:30" ht="15.45" customHeight="1">
      <c r="B27" s="50"/>
      <c r="C27" s="44"/>
      <c r="D27" s="44"/>
      <c r="E27" s="507" t="s">
        <v>135</v>
      </c>
      <c r="F27" s="508" t="s">
        <v>871</v>
      </c>
      <c r="G27" s="509">
        <f>SUMIF('15_5Day_Forecast'!$W$4:$W$270,[1]Plan!E27,'15_5Day_Forecast'!$Y$4:$Y$270)</f>
        <v>0</v>
      </c>
      <c r="H27" s="509">
        <f>SUMIF('15_5Day_Forecast'!$W$4:$W$270,[1]Plan!E27,'15_5Day_Forecast'!$Z$4:$Z$270)</f>
        <v>0</v>
      </c>
      <c r="I27" s="510">
        <f>SUMIF('15_5Day_Forecast'!$W$4:$W$270,[1]Plan!E27,'15_5Day_Forecast'!$AA$4:$AA$270)</f>
        <v>0</v>
      </c>
      <c r="J27" s="511">
        <f>SUMIF('15_5Day_Forecast'!$W$4:$W$270,[1]Plan!E27,'15_5Day_Forecast'!$AB$4:$AB$270)</f>
        <v>0</v>
      </c>
      <c r="K27" s="511">
        <f>SUMIF('15_5Day_Forecast'!$W$4:$W$270,[1]Plan!E27,'15_5Day_Forecast'!$AC$4:$AC$270)</f>
        <v>0</v>
      </c>
      <c r="L27" s="511">
        <f>SUMIF('15_5Day_Forecast'!$W$4:$W$270,[1]Plan!E27,'15_5Day_Forecast'!$AD$4:$AD$270)</f>
        <v>0</v>
      </c>
      <c r="M27" s="512">
        <f>SUMIF('15_5Day_Forecast'!$W$4:$W$270,[1]Plan!E27,'15_5Day_Forecast'!$AE$4:$AE$270)</f>
        <v>0</v>
      </c>
      <c r="O27" s="513" t="s">
        <v>420</v>
      </c>
      <c r="P27" s="405">
        <f>SUM(G27:M27)</f>
        <v>0</v>
      </c>
      <c r="R27" s="15" t="s">
        <v>872</v>
      </c>
      <c r="S27" s="453" t="s">
        <v>830</v>
      </c>
      <c r="T27" s="453" t="s">
        <v>831</v>
      </c>
      <c r="U27" s="453" t="s">
        <v>832</v>
      </c>
      <c r="V27" s="453" t="s">
        <v>833</v>
      </c>
      <c r="W27" s="453" t="s">
        <v>834</v>
      </c>
    </row>
    <row r="28" spans="2:30">
      <c r="B28" s="50"/>
      <c r="C28" s="44"/>
      <c r="D28" s="44"/>
      <c r="E28" s="514" t="s">
        <v>125</v>
      </c>
      <c r="F28" s="515" t="s">
        <v>871</v>
      </c>
      <c r="G28" s="335">
        <f>SUMIF('15_5Day_Forecast'!$W$4:$W$270,[1]Plan!E28,'15_5Day_Forecast'!$Y$4:$Y$270)</f>
        <v>0</v>
      </c>
      <c r="H28" s="335">
        <f>SUMIF('15_5Day_Forecast'!$W$4:$W$270,[1]Plan!E28,'15_5Day_Forecast'!$Z$4:$Z$270)</f>
        <v>0</v>
      </c>
      <c r="I28" s="516">
        <f>SUMIF('15_5Day_Forecast'!$W$4:$W$270,[1]Plan!E28,'15_5Day_Forecast'!$AA$4:$AA$270)</f>
        <v>0</v>
      </c>
      <c r="J28" s="516">
        <f>SUMIF('15_5Day_Forecast'!$W$4:$W$270,[1]Plan!E28,'15_5Day_Forecast'!$AB$4:$AB$270)</f>
        <v>0</v>
      </c>
      <c r="K28" s="516">
        <f>SUMIF('15_5Day_Forecast'!$W$4:$W$270,[1]Plan!E28,'15_5Day_Forecast'!$AC$4:$AC$270)</f>
        <v>0</v>
      </c>
      <c r="L28" s="516">
        <f>SUMIF('15_5Day_Forecast'!$W$4:$W$270,[1]Plan!E28,'15_5Day_Forecast'!$AD$4:$AD$270)</f>
        <v>0</v>
      </c>
      <c r="M28" s="517">
        <f>SUMIF('15_5Day_Forecast'!$W$4:$W$270,[1]Plan!E28,'15_5Day_Forecast'!$AE$4:$AE$270)</f>
        <v>0</v>
      </c>
      <c r="O28" s="518"/>
      <c r="P28" s="413">
        <f>SUM(G28:M28)</f>
        <v>0</v>
      </c>
      <c r="R28" s="15"/>
      <c r="S28" s="15">
        <v>5000</v>
      </c>
      <c r="T28" s="15">
        <v>5000</v>
      </c>
      <c r="U28" s="15">
        <v>5000</v>
      </c>
      <c r="V28" s="15">
        <v>2000</v>
      </c>
      <c r="W28" s="15">
        <v>5000</v>
      </c>
    </row>
    <row r="29" spans="2:30">
      <c r="B29" s="50"/>
      <c r="C29" s="44"/>
      <c r="D29" s="44"/>
      <c r="E29" s="514" t="s">
        <v>370</v>
      </c>
      <c r="F29" s="515" t="s">
        <v>871</v>
      </c>
      <c r="G29" s="335">
        <f>SUMIF('15_5Day_Forecast'!$W$4:$W$270,[1]Plan!E29,'15_5Day_Forecast'!$Y$4:$Y$270)</f>
        <v>0</v>
      </c>
      <c r="H29" s="335">
        <f>SUMIF('15_5Day_Forecast'!$W$4:$W$270,[1]Plan!E29,'15_5Day_Forecast'!$Z$4:$Z$270)</f>
        <v>0</v>
      </c>
      <c r="I29" s="516">
        <f>SUMIF('15_5Day_Forecast'!$W$4:$W$270,[1]Plan!E29,'15_5Day_Forecast'!$AA$4:$AA$270)</f>
        <v>0</v>
      </c>
      <c r="J29" s="516">
        <f>SUMIF('15_5Day_Forecast'!$W$4:$W$270,[1]Plan!E29,'15_5Day_Forecast'!$AB$4:$AB$270)</f>
        <v>0</v>
      </c>
      <c r="K29" s="516">
        <f>SUMIF('15_5Day_Forecast'!$W$4:$W$270,[1]Plan!E29,'15_5Day_Forecast'!$AC$4:$AC$270)</f>
        <v>0</v>
      </c>
      <c r="L29" s="516">
        <f>SUMIF('15_5Day_Forecast'!$W$4:$W$270,[1]Plan!E29,'15_5Day_Forecast'!$AD$4:$AD$270)</f>
        <v>0</v>
      </c>
      <c r="M29" s="517">
        <f>SUMIF('15_5Day_Forecast'!$W$4:$W$270,[1]Plan!E29,'15_5Day_Forecast'!$AE$4:$AE$270)</f>
        <v>0</v>
      </c>
      <c r="O29" s="518"/>
      <c r="P29" s="413">
        <f>SUM(G29:M29)</f>
        <v>0</v>
      </c>
      <c r="R29" s="15"/>
      <c r="S29" s="15">
        <v>5000</v>
      </c>
      <c r="T29" s="15">
        <v>2000</v>
      </c>
      <c r="U29" s="15">
        <v>5000</v>
      </c>
      <c r="V29" s="15">
        <v>5000</v>
      </c>
      <c r="W29" s="15">
        <v>5000</v>
      </c>
    </row>
    <row r="30" spans="2:30">
      <c r="B30" s="50"/>
      <c r="C30" s="44"/>
      <c r="D30" s="44"/>
      <c r="E30" s="519" t="s">
        <v>377</v>
      </c>
      <c r="F30" s="520" t="s">
        <v>871</v>
      </c>
      <c r="G30" s="499">
        <f>SUMIF('15_5Day_Forecast'!$W$4:$W$270,[1]Plan!E30,'15_5Day_Forecast'!$Y$4:$Y$270)</f>
        <v>0</v>
      </c>
      <c r="H30" s="499">
        <f>SUMIF('15_5Day_Forecast'!$W$4:$W$270,[1]Plan!E30,'15_5Day_Forecast'!$Z$4:$Z$270)</f>
        <v>0</v>
      </c>
      <c r="I30" s="500">
        <f>SUMIF('15_5Day_Forecast'!$W$4:$W$270,[1]Plan!E30,'15_5Day_Forecast'!$AA$4:$AA$270)</f>
        <v>0</v>
      </c>
      <c r="J30" s="500">
        <f>SUMIF('15_5Day_Forecast'!$W$4:$W$270,[1]Plan!E30,'15_5Day_Forecast'!$AB$4:$AB$270)</f>
        <v>0</v>
      </c>
      <c r="K30" s="500">
        <f>SUMIF('15_5Day_Forecast'!$W$4:$W$270,[1]Plan!E30,'15_5Day_Forecast'!$AC$4:$AC$270)</f>
        <v>0</v>
      </c>
      <c r="L30" s="500">
        <f>SUMIF('15_5Day_Forecast'!$W$4:$W$270,[1]Plan!E30,'15_5Day_Forecast'!$AD$4:$AD$270)</f>
        <v>0</v>
      </c>
      <c r="M30" s="521">
        <f>SUMIF('15_5Day_Forecast'!$W$4:$W$270,[1]Plan!E30,'15_5Day_Forecast'!$AE$4:$AE$270)</f>
        <v>0</v>
      </c>
      <c r="O30" s="522"/>
      <c r="P30" s="523">
        <f>SUM(G30:M30)</f>
        <v>0</v>
      </c>
      <c r="R30" s="15"/>
      <c r="S30" s="15"/>
      <c r="T30" s="15"/>
      <c r="U30" s="15"/>
      <c r="V30" s="15"/>
      <c r="W30" s="15"/>
    </row>
    <row r="31" spans="2:30">
      <c r="B31" s="124"/>
      <c r="C31" s="127"/>
      <c r="D31" s="127"/>
      <c r="E31" s="524"/>
      <c r="F31" s="524"/>
      <c r="G31" s="525"/>
      <c r="H31" s="525"/>
      <c r="I31" s="526"/>
      <c r="J31" s="526"/>
      <c r="K31" s="526"/>
      <c r="L31" s="526"/>
      <c r="M31" s="526"/>
      <c r="R31" s="15"/>
      <c r="S31" s="15"/>
      <c r="T31" s="15"/>
      <c r="U31" s="15"/>
      <c r="V31" s="15"/>
      <c r="W31" s="15"/>
    </row>
    <row r="32" spans="2:30" ht="58.05" customHeight="1">
      <c r="B32" s="135"/>
      <c r="C32" s="130"/>
      <c r="D32" s="130"/>
      <c r="E32" s="527"/>
      <c r="F32" s="528"/>
      <c r="G32" s="473"/>
      <c r="H32" s="529" t="s">
        <v>873</v>
      </c>
      <c r="I32" s="529" t="s">
        <v>874</v>
      </c>
      <c r="J32" s="529" t="s">
        <v>875</v>
      </c>
      <c r="K32" s="530" t="s">
        <v>876</v>
      </c>
      <c r="L32" s="530" t="s">
        <v>877</v>
      </c>
      <c r="M32" s="531" t="s">
        <v>878</v>
      </c>
      <c r="R32" s="15"/>
      <c r="S32" s="15"/>
      <c r="T32" s="15"/>
      <c r="U32" s="15"/>
      <c r="V32" s="380" t="s">
        <v>863</v>
      </c>
      <c r="W32" s="15">
        <f>SUM(S28:W29)</f>
        <v>44000</v>
      </c>
    </row>
    <row r="33" spans="5:23">
      <c r="E33" s="532" t="s">
        <v>879</v>
      </c>
      <c r="F33" s="23">
        <f>C6</f>
        <v>8</v>
      </c>
      <c r="G33" s="14" t="s">
        <v>830</v>
      </c>
      <c r="H33" s="14"/>
      <c r="I33" s="14"/>
      <c r="J33" s="40">
        <f>H33*$F$33+I33*$F$34</f>
        <v>0</v>
      </c>
      <c r="K33" s="14"/>
      <c r="L33" s="14"/>
      <c r="M33" s="418">
        <f>K33*$F$33+L33*$F$34</f>
        <v>0</v>
      </c>
      <c r="R33" s="15"/>
      <c r="S33" s="15"/>
      <c r="T33" s="15"/>
      <c r="U33" s="15"/>
      <c r="V33" s="380" t="s">
        <v>865</v>
      </c>
      <c r="W33" s="385">
        <f>W32-P4</f>
        <v>44000</v>
      </c>
    </row>
    <row r="34" spans="5:23">
      <c r="E34" s="533" t="s">
        <v>880</v>
      </c>
      <c r="F34" s="23">
        <v>3</v>
      </c>
      <c r="G34" s="14" t="s">
        <v>831</v>
      </c>
      <c r="H34" s="14"/>
      <c r="I34" s="14"/>
      <c r="J34" s="40">
        <f>H34*$F$33+I34*$F$34</f>
        <v>0</v>
      </c>
      <c r="K34" s="14"/>
      <c r="L34" s="14"/>
      <c r="M34" s="418">
        <f>K34*$F$33+L34*$F$34</f>
        <v>0</v>
      </c>
    </row>
    <row r="35" spans="5:23">
      <c r="E35" s="532"/>
      <c r="F35" s="23"/>
      <c r="G35" s="14" t="s">
        <v>832</v>
      </c>
      <c r="H35" s="14"/>
      <c r="I35" s="14"/>
      <c r="J35" s="40">
        <f>H35*$F$33+I35*$F$34</f>
        <v>0</v>
      </c>
      <c r="K35" s="14"/>
      <c r="L35" s="14"/>
      <c r="M35" s="418">
        <f>K35*$F$33+L35*$F$34</f>
        <v>0</v>
      </c>
    </row>
    <row r="36" spans="5:23" ht="15.45" customHeight="1">
      <c r="E36" s="532" t="s">
        <v>881</v>
      </c>
      <c r="F36" s="534">
        <f>P14</f>
        <v>0</v>
      </c>
      <c r="G36" s="14" t="s">
        <v>833</v>
      </c>
      <c r="H36" s="14"/>
      <c r="I36" s="14"/>
      <c r="J36" s="40">
        <f>H36*$F$33+I36*$F$34</f>
        <v>0</v>
      </c>
      <c r="K36" s="14"/>
      <c r="L36" s="14"/>
      <c r="M36" s="418">
        <f>K36*$F$33+L36*$F$34</f>
        <v>0</v>
      </c>
      <c r="R36" s="15" t="s">
        <v>882</v>
      </c>
      <c r="S36" s="453" t="s">
        <v>830</v>
      </c>
      <c r="T36" s="453" t="s">
        <v>831</v>
      </c>
      <c r="U36" s="453" t="s">
        <v>832</v>
      </c>
      <c r="V36" s="453" t="s">
        <v>833</v>
      </c>
      <c r="W36" s="453" t="s">
        <v>834</v>
      </c>
    </row>
    <row r="37" spans="5:23">
      <c r="E37" s="535" t="s">
        <v>883</v>
      </c>
      <c r="F37" s="536">
        <f>SUM(J33:J37,M33:M37)</f>
        <v>0</v>
      </c>
      <c r="G37" s="537" t="s">
        <v>834</v>
      </c>
      <c r="H37" s="537"/>
      <c r="I37" s="537"/>
      <c r="J37" s="538">
        <f>H37*$F$33+I37*$F$34</f>
        <v>0</v>
      </c>
      <c r="K37" s="537"/>
      <c r="L37" s="537"/>
      <c r="M37" s="468">
        <f>K37*$F$33+L37*$F$34</f>
        <v>0</v>
      </c>
      <c r="R37" s="15"/>
      <c r="S37" s="15"/>
      <c r="T37" s="15"/>
      <c r="U37" s="15">
        <v>4000</v>
      </c>
      <c r="V37" s="15">
        <v>4500</v>
      </c>
      <c r="W37" s="15">
        <v>4500</v>
      </c>
    </row>
    <row r="38" spans="5:23">
      <c r="L38" s="539"/>
      <c r="R38" s="15"/>
      <c r="S38" s="15"/>
      <c r="T38" s="15"/>
      <c r="U38" s="15">
        <v>4500</v>
      </c>
      <c r="V38" s="15">
        <v>4500</v>
      </c>
      <c r="W38" s="15">
        <v>4500</v>
      </c>
    </row>
    <row r="39" spans="5:23" ht="15.45" customHeight="1">
      <c r="E39" s="540" t="s">
        <v>388</v>
      </c>
      <c r="F39" s="383"/>
      <c r="G39" s="392" t="s">
        <v>830</v>
      </c>
      <c r="H39" s="392" t="s">
        <v>831</v>
      </c>
      <c r="I39" s="392" t="s">
        <v>832</v>
      </c>
      <c r="J39" s="392" t="s">
        <v>833</v>
      </c>
      <c r="K39" s="392" t="s">
        <v>834</v>
      </c>
      <c r="L39" s="392" t="s">
        <v>835</v>
      </c>
      <c r="M39" s="396" t="s">
        <v>836</v>
      </c>
      <c r="O39" s="395" t="s">
        <v>545</v>
      </c>
      <c r="P39" s="396" t="s">
        <v>457</v>
      </c>
      <c r="R39" s="15"/>
      <c r="S39" s="15"/>
      <c r="T39" s="15"/>
      <c r="U39" s="15"/>
      <c r="V39" s="15"/>
      <c r="W39" s="15"/>
    </row>
    <row r="40" spans="5:23" ht="15.45" customHeight="1">
      <c r="E40" s="541"/>
      <c r="F40" s="542"/>
      <c r="G40" s="543">
        <f>'15_5Day_Forecast'!AI2</f>
        <v>85</v>
      </c>
      <c r="H40" s="543">
        <f>'15_5Day_Forecast'!AJ2</f>
        <v>120</v>
      </c>
      <c r="I40" s="543">
        <f>'15_5Day_Forecast'!AK2</f>
        <v>88</v>
      </c>
      <c r="J40" s="543">
        <f>'15_5Day_Forecast'!AL2</f>
        <v>120</v>
      </c>
      <c r="K40" s="543">
        <f>'15_5Day_Forecast'!AM2</f>
        <v>125</v>
      </c>
      <c r="L40" s="543">
        <f>'15_5Day_Forecast'!AN2</f>
        <v>0</v>
      </c>
      <c r="M40" s="543">
        <f>'15_5Day_Forecast'!AO2</f>
        <v>44</v>
      </c>
      <c r="O40" s="443">
        <f>SUM(G40:M40)/C5</f>
        <v>291</v>
      </c>
      <c r="P40" s="468">
        <f>SUM(G40:M40)</f>
        <v>582</v>
      </c>
      <c r="R40" s="15"/>
      <c r="S40" s="15"/>
      <c r="T40" s="15"/>
      <c r="U40" s="15"/>
      <c r="V40" s="15"/>
      <c r="W40" s="15"/>
    </row>
    <row r="41" spans="5:23">
      <c r="R41" s="15"/>
      <c r="S41" s="15"/>
      <c r="T41" s="15"/>
      <c r="U41" s="15"/>
      <c r="V41" s="380" t="s">
        <v>863</v>
      </c>
      <c r="W41" s="15">
        <f>SUM(S37:W38)</f>
        <v>26500</v>
      </c>
    </row>
    <row r="42" spans="5:23">
      <c r="R42" s="15"/>
      <c r="S42" s="15"/>
      <c r="T42" s="15"/>
      <c r="U42" s="15"/>
      <c r="V42" s="380" t="s">
        <v>865</v>
      </c>
      <c r="W42" s="385">
        <f>W41-P4</f>
        <v>26500</v>
      </c>
    </row>
    <row r="44" spans="5:23">
      <c r="R44" s="14" t="s">
        <v>884</v>
      </c>
      <c r="S44" s="15"/>
    </row>
    <row r="45" spans="5:23">
      <c r="R45" s="14">
        <v>0</v>
      </c>
      <c r="S45" s="15">
        <f t="shared" ref="S45:S56" si="0">ROUND(0,-2)</f>
        <v>0</v>
      </c>
    </row>
    <row r="46" spans="5:23">
      <c r="R46" s="14">
        <v>0</v>
      </c>
      <c r="S46" s="15">
        <f t="shared" si="0"/>
        <v>0</v>
      </c>
    </row>
    <row r="47" spans="5:23">
      <c r="R47" s="14">
        <v>0</v>
      </c>
      <c r="S47" s="15">
        <f t="shared" si="0"/>
        <v>0</v>
      </c>
    </row>
    <row r="48" spans="5:23">
      <c r="R48" s="14">
        <v>0</v>
      </c>
      <c r="S48" s="15">
        <f t="shared" si="0"/>
        <v>0</v>
      </c>
    </row>
    <row r="49" spans="18:19">
      <c r="R49" s="14">
        <v>0</v>
      </c>
      <c r="S49" s="15">
        <f t="shared" si="0"/>
        <v>0</v>
      </c>
    </row>
    <row r="50" spans="18:19">
      <c r="R50" s="14">
        <v>0</v>
      </c>
      <c r="S50" s="15">
        <f t="shared" si="0"/>
        <v>0</v>
      </c>
    </row>
    <row r="51" spans="18:19">
      <c r="R51" s="14">
        <v>0</v>
      </c>
      <c r="S51" s="15">
        <f t="shared" si="0"/>
        <v>0</v>
      </c>
    </row>
    <row r="52" spans="18:19">
      <c r="R52" s="14">
        <v>0</v>
      </c>
      <c r="S52" s="15">
        <f t="shared" si="0"/>
        <v>0</v>
      </c>
    </row>
    <row r="53" spans="18:19">
      <c r="R53" s="14">
        <v>0</v>
      </c>
      <c r="S53" s="15">
        <f t="shared" si="0"/>
        <v>0</v>
      </c>
    </row>
    <row r="54" spans="18:19">
      <c r="R54" s="14">
        <v>0</v>
      </c>
      <c r="S54" s="15">
        <f t="shared" si="0"/>
        <v>0</v>
      </c>
    </row>
    <row r="55" spans="18:19">
      <c r="R55" s="14">
        <v>0</v>
      </c>
      <c r="S55" s="15">
        <f t="shared" si="0"/>
        <v>0</v>
      </c>
    </row>
    <row r="56" spans="18:19">
      <c r="R56" s="14">
        <v>0</v>
      </c>
      <c r="S56" s="15">
        <f t="shared" si="0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5A5A5"/>
  </sheetPr>
  <dimension ref="A1:AS272"/>
  <sheetViews>
    <sheetView workbookViewId="0"/>
  </sheetViews>
  <sheetFormatPr defaultRowHeight="14.4"/>
  <cols>
    <col min="1" max="1" width="10.44140625" customWidth="1"/>
    <col min="2" max="2" width="37.5546875" customWidth="1"/>
    <col min="3" max="3" width="10.109375" customWidth="1"/>
    <col min="4" max="4" width="9.109375" customWidth="1"/>
    <col min="5" max="5" width="7.5546875" customWidth="1"/>
    <col min="12" max="12" width="9.44140625" customWidth="1"/>
    <col min="13" max="13" width="9.109375" customWidth="1"/>
    <col min="14" max="14" width="8.109375" customWidth="1"/>
    <col min="22" max="22" width="1.5546875" customWidth="1"/>
    <col min="23" max="23" width="10.21875" customWidth="1"/>
    <col min="24" max="24" width="10.109375" customWidth="1"/>
    <col min="25" max="25" width="8.5546875" customWidth="1"/>
    <col min="32" max="32" width="8.5546875" customWidth="1"/>
    <col min="33" max="33" width="1.5546875" customWidth="1"/>
    <col min="34" max="34" width="8.77734375" customWidth="1"/>
    <col min="42" max="42" width="1.5546875" customWidth="1"/>
    <col min="43" max="43" width="8.5546875" customWidth="1"/>
  </cols>
  <sheetData>
    <row r="1" spans="1:45">
      <c r="A1" s="14" t="s">
        <v>885</v>
      </c>
      <c r="B1" s="14" t="s">
        <v>518</v>
      </c>
      <c r="C1" s="544" t="s">
        <v>1</v>
      </c>
      <c r="D1" s="545" t="s">
        <v>830</v>
      </c>
      <c r="E1" s="545" t="s">
        <v>831</v>
      </c>
      <c r="F1" s="545" t="s">
        <v>832</v>
      </c>
      <c r="G1" s="545" t="s">
        <v>833</v>
      </c>
      <c r="H1" s="545" t="s">
        <v>834</v>
      </c>
      <c r="I1" s="545" t="s">
        <v>835</v>
      </c>
      <c r="J1" s="545" t="s">
        <v>836</v>
      </c>
      <c r="K1" s="544" t="s">
        <v>457</v>
      </c>
      <c r="L1" s="546" t="s">
        <v>526</v>
      </c>
      <c r="M1" s="547" t="s">
        <v>1</v>
      </c>
      <c r="N1" s="548" t="s">
        <v>830</v>
      </c>
      <c r="O1" s="548" t="s">
        <v>831</v>
      </c>
      <c r="P1" s="548" t="s">
        <v>832</v>
      </c>
      <c r="Q1" s="548" t="s">
        <v>833</v>
      </c>
      <c r="R1" s="548" t="s">
        <v>834</v>
      </c>
      <c r="S1" s="548" t="s">
        <v>835</v>
      </c>
      <c r="T1" s="548" t="s">
        <v>836</v>
      </c>
      <c r="U1" s="547" t="s">
        <v>457</v>
      </c>
      <c r="V1" s="50"/>
      <c r="W1" s="50"/>
      <c r="X1" s="129" t="s">
        <v>1</v>
      </c>
      <c r="Y1" s="138" t="s">
        <v>830</v>
      </c>
      <c r="Z1" s="138" t="s">
        <v>831</v>
      </c>
      <c r="AA1" s="138" t="s">
        <v>832</v>
      </c>
      <c r="AB1" s="138" t="s">
        <v>833</v>
      </c>
      <c r="AC1" s="138" t="s">
        <v>834</v>
      </c>
      <c r="AD1" s="138" t="s">
        <v>835</v>
      </c>
      <c r="AE1" s="138" t="s">
        <v>836</v>
      </c>
      <c r="AF1" s="14">
        <f>SUM(AF4:AF274)</f>
        <v>18803</v>
      </c>
      <c r="AH1" s="549" t="s">
        <v>503</v>
      </c>
      <c r="AI1" s="550" t="s">
        <v>830</v>
      </c>
      <c r="AJ1" s="550" t="s">
        <v>831</v>
      </c>
      <c r="AK1" s="550" t="s">
        <v>832</v>
      </c>
      <c r="AL1" s="550" t="s">
        <v>833</v>
      </c>
      <c r="AM1" s="550" t="s">
        <v>834</v>
      </c>
      <c r="AN1" s="550" t="s">
        <v>835</v>
      </c>
      <c r="AO1" s="550" t="s">
        <v>836</v>
      </c>
      <c r="AQ1" s="138" t="s">
        <v>886</v>
      </c>
      <c r="AR1" s="138" t="s">
        <v>887</v>
      </c>
      <c r="AS1" s="551"/>
    </row>
    <row r="2" spans="1:45">
      <c r="A2" s="138" t="str">
        <f>_xlfn.XLOOKUP(C4,'00_SKU_Master'!$B$2:$B$378,'00_SKU_Master'!$C$2:$C$378)</f>
        <v>61040#2</v>
      </c>
      <c r="B2" s="138"/>
      <c r="C2" s="138">
        <f t="shared" ref="C2:C65" si="0">X4</f>
        <v>484</v>
      </c>
      <c r="D2" s="552" t="e">
        <f ca="1">_xludf.IFNA(_xlfn.XLOOKUP(C4,'00_SKU_Master'!$B$2:$B$378,'00_SKU_Master'!$F$2:$F$378,0)*Y4,"")</f>
        <v>#NAME?</v>
      </c>
      <c r="E2" s="552" t="e">
        <f ca="1">_xludf.IFNA(_xlfn.XLOOKUP(C4,'00_SKU_Master'!$B$2:$B$378,'00_SKU_Master'!$F$2:$F$378,0)*Z4,"")</f>
        <v>#NAME?</v>
      </c>
      <c r="F2" s="552" t="e">
        <f ca="1">_xludf.IFNA(_xlfn.XLOOKUP(C4,'00_SKU_Master'!$B$2:$B$378,'00_SKU_Master'!$F$2:$F$378,0)*AA4,"")</f>
        <v>#NAME?</v>
      </c>
      <c r="G2" s="552" t="e">
        <f ca="1">_xludf.IFNA(_xlfn.XLOOKUP(C4,'00_SKU_Master'!$B$2:$B$378,'00_SKU_Master'!$F$2:$F$378,0)*AB4,"")</f>
        <v>#NAME?</v>
      </c>
      <c r="H2" s="552" t="e">
        <f ca="1">_xludf.IFNA(_xlfn.XLOOKUP(C4,'00_SKU_Master'!$B$2:$B$378,'00_SKU_Master'!$F$2:$F$378,0)*AC4,"")</f>
        <v>#NAME?</v>
      </c>
      <c r="I2" s="552" t="e">
        <f ca="1">_xludf.IFNA(_xlfn.XLOOKUP(C4,'00_SKU_Master'!$B$2:$B$378,'00_SKU_Master'!$F$2:$F$378,0)*AD4,"")</f>
        <v>#NAME?</v>
      </c>
      <c r="J2" s="552" t="e">
        <f ca="1">_xludf.IFNA(_xlfn.XLOOKUP(C4,'00_SKU_Master'!$B$2:$B$378,'00_SKU_Master'!$F$2:$F$378,0)*AE4,"")</f>
        <v>#NAME?</v>
      </c>
      <c r="K2" s="553" t="e">
        <f t="shared" ref="K2:K65" ca="1" si="1">SUM(D4:J4)</f>
        <v>#NAME?</v>
      </c>
      <c r="L2" s="187" t="e">
        <f>_xlfn.XLOOKUP(C4,'00_SKU_Master'!$B$2:$B$378,'00_SKU_Master'!K:K)</f>
        <v>#VALUE!</v>
      </c>
      <c r="M2" s="14">
        <f t="shared" ref="M2:M65" si="2">X4</f>
        <v>484</v>
      </c>
      <c r="N2" s="147" t="e">
        <f ca="1">_xludf.IFNA(D4/_xlfn.XLOOKUP($M4,'00_SKU_Master'!$B$2:$B$378,'00_SKU_Master'!$M$2:$M$378,0)/$M$2,"0")</f>
        <v>#NAME?</v>
      </c>
      <c r="O2" s="147" t="e">
        <f ca="1">_xludf.IFNA(E4/_xlfn.XLOOKUP($M4,'00_SKU_Master'!$B$2:$B$378,'00_SKU_Master'!$M$2:$M$378,0)/$M$2,"0")</f>
        <v>#NAME?</v>
      </c>
      <c r="P2" s="147" t="e">
        <f ca="1">_xludf.IFNA(F4/_xlfn.XLOOKUP($M4,'00_SKU_Master'!$B$2:$B$378,'00_SKU_Master'!$M$2:$M$378,0)/$M$2,"0")</f>
        <v>#NAME?</v>
      </c>
      <c r="Q2" s="147" t="e">
        <f ca="1">_xludf.IFNA(G4/_xlfn.XLOOKUP($M4,'00_SKU_Master'!$B$2:$B$378,'00_SKU_Master'!$M$2:$M$378,0)/$M$2,"0")</f>
        <v>#NAME?</v>
      </c>
      <c r="R2" s="147" t="e">
        <f ca="1">_xludf.IFNA(H4/_xlfn.XLOOKUP($M4,'00_SKU_Master'!$B$2:$B$378,'00_SKU_Master'!$M$2:$M$378,0)/$M$2,"0")</f>
        <v>#NAME?</v>
      </c>
      <c r="S2" s="147" t="e">
        <f ca="1">_xludf.IFNA(I4/_xlfn.XLOOKUP($M4,'00_SKU_Master'!$B$2:$B$378,'00_SKU_Master'!$M$2:$M$378,0)/$M$2,"0")</f>
        <v>#NAME?</v>
      </c>
      <c r="T2" s="147" t="e">
        <f ca="1">_xludf.IFNA(J4/_xlfn.XLOOKUP($M4,'00_SKU_Master'!$B$2:$B$378,'00_SKU_Master'!$M$2:$M$378,0)/$M$2,"0")</f>
        <v>#NAME?</v>
      </c>
      <c r="U2" s="147" t="e">
        <f t="shared" ref="U2:U65" ca="1" si="3">SUM(N4:T4)</f>
        <v>#NAME?</v>
      </c>
      <c r="V2" s="4"/>
      <c r="W2" s="4" t="e">
        <f>_xlfn.XLOOKUP(M4,'00_SKU_Master'!$B$2:$B$378,'00_SKU_Master'!D:D)</f>
        <v>#VALUE!</v>
      </c>
      <c r="X2" s="14">
        <f>'05_Daily_Orders'!B3</f>
        <v>331</v>
      </c>
      <c r="Y2" s="554"/>
      <c r="Z2" s="555"/>
      <c r="AA2" s="555"/>
      <c r="AB2" s="555"/>
      <c r="AC2" s="555">
        <v>0</v>
      </c>
      <c r="AD2" s="555">
        <v>0</v>
      </c>
      <c r="AE2" s="555">
        <v>0</v>
      </c>
      <c r="AF2" s="553">
        <f t="shared" ref="AF2:AF65" si="4">SUM(Y4:AE4)</f>
        <v>0</v>
      </c>
      <c r="AH2" s="14">
        <v>2050</v>
      </c>
      <c r="AI2" s="14">
        <v>85</v>
      </c>
      <c r="AJ2" s="14">
        <v>120</v>
      </c>
      <c r="AK2" s="14">
        <v>88</v>
      </c>
      <c r="AL2" s="14">
        <v>120</v>
      </c>
      <c r="AM2" s="14">
        <v>125</v>
      </c>
      <c r="AN2" s="14">
        <v>0</v>
      </c>
      <c r="AO2" s="14">
        <v>44</v>
      </c>
      <c r="AQ2" s="23">
        <v>0</v>
      </c>
      <c r="AR2" s="23">
        <v>0</v>
      </c>
      <c r="AS2" s="23">
        <f t="shared" ref="AS2:AS65" si="5">AR4-AQ4</f>
        <v>0</v>
      </c>
    </row>
    <row r="3" spans="1:45">
      <c r="A3" s="138" t="str">
        <f>_xlfn.XLOOKUP(C5,'00_SKU_Master'!$B$2:$B$378,'00_SKU_Master'!$C$2:$C$378)</f>
        <v>61072#2</v>
      </c>
      <c r="B3" s="138"/>
      <c r="C3" s="138">
        <f t="shared" si="0"/>
        <v>784</v>
      </c>
      <c r="D3" s="552" t="e">
        <f ca="1">_xludf.IFNA(_xlfn.XLOOKUP(C5,'00_SKU_Master'!$B$2:$B$378,'00_SKU_Master'!$F$2:$F$378,0)*Y5,"")</f>
        <v>#NAME?</v>
      </c>
      <c r="E3" s="552" t="e">
        <f ca="1">_xludf.IFNA(_xlfn.XLOOKUP(C5,'00_SKU_Master'!$B$2:$B$378,'00_SKU_Master'!$F$2:$F$378,0)*Z5,"")</f>
        <v>#NAME?</v>
      </c>
      <c r="F3" s="552" t="e">
        <f ca="1">_xludf.IFNA(_xlfn.XLOOKUP(C5,'00_SKU_Master'!$B$2:$B$378,'00_SKU_Master'!$F$2:$F$378,0)*AA5,"")</f>
        <v>#NAME?</v>
      </c>
      <c r="G3" s="552" t="e">
        <f ca="1">_xludf.IFNA(_xlfn.XLOOKUP(C5,'00_SKU_Master'!$B$2:$B$378,'00_SKU_Master'!$F$2:$F$378,0)*AB5,"")</f>
        <v>#NAME?</v>
      </c>
      <c r="H3" s="552" t="e">
        <f ca="1">_xludf.IFNA(_xlfn.XLOOKUP(C5,'00_SKU_Master'!$B$2:$B$378,'00_SKU_Master'!$F$2:$F$378,0)*AC5,"")</f>
        <v>#NAME?</v>
      </c>
      <c r="I3" s="552" t="e">
        <f ca="1">_xludf.IFNA(_xlfn.XLOOKUP(C5,'00_SKU_Master'!$B$2:$B$378,'00_SKU_Master'!$F$2:$F$378,0)*AD5,"")</f>
        <v>#NAME?</v>
      </c>
      <c r="J3" s="552" t="e">
        <f ca="1">_xludf.IFNA(_xlfn.XLOOKUP(C5,'00_SKU_Master'!$B$2:$B$378,'00_SKU_Master'!$F$2:$F$378,0)*AE5,"")</f>
        <v>#NAME?</v>
      </c>
      <c r="K3" s="553" t="e">
        <f t="shared" ca="1" si="1"/>
        <v>#NAME?</v>
      </c>
      <c r="L3" s="187" t="e">
        <f>_xlfn.XLOOKUP(C5,'00_SKU_Master'!$B$2:$B$378,'00_SKU_Master'!K:K)</f>
        <v>#VALUE!</v>
      </c>
      <c r="M3" s="14">
        <f t="shared" si="2"/>
        <v>784</v>
      </c>
      <c r="N3" s="147" t="e">
        <f ca="1">_xludf.IFNA(D5/_xlfn.XLOOKUP($M5,'00_SKU_Master'!$B$2:$B$378,'00_SKU_Master'!$M$2:$M$378,0)/$M$2,"0")</f>
        <v>#NAME?</v>
      </c>
      <c r="O3" s="147" t="e">
        <f ca="1">_xludf.IFNA(E5/_xlfn.XLOOKUP($M5,'00_SKU_Master'!$B$2:$B$378,'00_SKU_Master'!$M$2:$M$378,0)/$M$2,"0")</f>
        <v>#NAME?</v>
      </c>
      <c r="P3" s="147" t="e">
        <f ca="1">_xludf.IFNA(F5/_xlfn.XLOOKUP($M5,'00_SKU_Master'!$B$2:$B$378,'00_SKU_Master'!$M$2:$M$378,0)/$M$2,"0")</f>
        <v>#NAME?</v>
      </c>
      <c r="Q3" s="147" t="e">
        <f ca="1">_xludf.IFNA(G5/_xlfn.XLOOKUP($M5,'00_SKU_Master'!$B$2:$B$378,'00_SKU_Master'!$M$2:$M$378,0)/$M$2,"0")</f>
        <v>#NAME?</v>
      </c>
      <c r="R3" s="147" t="e">
        <f ca="1">_xludf.IFNA(H5/_xlfn.XLOOKUP($M5,'00_SKU_Master'!$B$2:$B$378,'00_SKU_Master'!$M$2:$M$378,0)/$M$2,"0")</f>
        <v>#NAME?</v>
      </c>
      <c r="S3" s="147" t="e">
        <f ca="1">_xludf.IFNA(I5/_xlfn.XLOOKUP($M5,'00_SKU_Master'!$B$2:$B$378,'00_SKU_Master'!$M$2:$M$378,0)/$M$2,"0")</f>
        <v>#NAME?</v>
      </c>
      <c r="T3" s="147" t="e">
        <f ca="1">_xludf.IFNA(J5/_xlfn.XLOOKUP($M5,'00_SKU_Master'!$B$2:$B$378,'00_SKU_Master'!$M$2:$M$378,0)/$M$2,"0")</f>
        <v>#NAME?</v>
      </c>
      <c r="U3" s="147" t="e">
        <f t="shared" ca="1" si="3"/>
        <v>#NAME?</v>
      </c>
      <c r="V3" s="4"/>
      <c r="W3" s="4" t="e">
        <f>_xlfn.XLOOKUP(M5,'00_SKU_Master'!$B$2:$B$378,'00_SKU_Master'!D:D)</f>
        <v>#VALUE!</v>
      </c>
      <c r="X3" s="14">
        <f>'05_Daily_Orders'!B4</f>
        <v>349</v>
      </c>
      <c r="Y3" s="554"/>
      <c r="Z3" s="555"/>
      <c r="AA3" s="555"/>
      <c r="AB3" s="555"/>
      <c r="AC3" s="555">
        <v>5</v>
      </c>
      <c r="AD3" s="555">
        <v>0</v>
      </c>
      <c r="AE3" s="555">
        <v>12</v>
      </c>
      <c r="AF3" s="553">
        <f t="shared" si="4"/>
        <v>97</v>
      </c>
      <c r="AH3" s="14">
        <v>2051</v>
      </c>
      <c r="AI3" s="14">
        <v>175</v>
      </c>
      <c r="AJ3" s="14">
        <v>235</v>
      </c>
      <c r="AK3" s="14">
        <v>175</v>
      </c>
      <c r="AL3" s="14">
        <v>269</v>
      </c>
      <c r="AM3" s="14">
        <v>245</v>
      </c>
      <c r="AN3" s="14">
        <v>0</v>
      </c>
      <c r="AO3" s="14">
        <v>280</v>
      </c>
      <c r="AQ3" s="23">
        <v>8</v>
      </c>
      <c r="AR3" s="23">
        <v>0</v>
      </c>
      <c r="AS3" s="23">
        <f t="shared" si="5"/>
        <v>10</v>
      </c>
    </row>
    <row r="4" spans="1:45">
      <c r="A4" s="138">
        <f>_xlfn.XLOOKUP(C6,'00_SKU_Master'!$B$2:$B$378,'00_SKU_Master'!$C$2:$C$378)</f>
        <v>61082</v>
      </c>
      <c r="B4" s="138"/>
      <c r="C4" s="138">
        <f t="shared" si="0"/>
        <v>946</v>
      </c>
      <c r="D4" s="552" t="e">
        <f ca="1">_xludf.IFNA(_xlfn.XLOOKUP(C6,'00_SKU_Master'!$B$2:$B$378,'00_SKU_Master'!$F$2:$F$378,0)*Y6,"")</f>
        <v>#NAME?</v>
      </c>
      <c r="E4" s="552" t="e">
        <f ca="1">_xludf.IFNA(_xlfn.XLOOKUP(C6,'00_SKU_Master'!$B$2:$B$378,'00_SKU_Master'!$F$2:$F$378,0)*Z6,"")</f>
        <v>#NAME?</v>
      </c>
      <c r="F4" s="552" t="e">
        <f ca="1">_xludf.IFNA(_xlfn.XLOOKUP(C6,'00_SKU_Master'!$B$2:$B$378,'00_SKU_Master'!$F$2:$F$378,0)*AA6,"")</f>
        <v>#NAME?</v>
      </c>
      <c r="G4" s="552" t="e">
        <f ca="1">_xludf.IFNA(_xlfn.XLOOKUP(C6,'00_SKU_Master'!$B$2:$B$378,'00_SKU_Master'!$F$2:$F$378,0)*AB6,"")</f>
        <v>#NAME?</v>
      </c>
      <c r="H4" s="552" t="e">
        <f ca="1">_xludf.IFNA(_xlfn.XLOOKUP(C6,'00_SKU_Master'!$B$2:$B$378,'00_SKU_Master'!$F$2:$F$378,0)*AC6,"")</f>
        <v>#NAME?</v>
      </c>
      <c r="I4" s="552" t="e">
        <f ca="1">_xludf.IFNA(_xlfn.XLOOKUP(C6,'00_SKU_Master'!$B$2:$B$378,'00_SKU_Master'!$F$2:$F$378,0)*AD6,"")</f>
        <v>#NAME?</v>
      </c>
      <c r="J4" s="552" t="e">
        <f ca="1">_xludf.IFNA(_xlfn.XLOOKUP(C6,'00_SKU_Master'!$B$2:$B$378,'00_SKU_Master'!$F$2:$F$378,0)*AE6,"")</f>
        <v>#NAME?</v>
      </c>
      <c r="K4" s="553" t="e">
        <f t="shared" ca="1" si="1"/>
        <v>#NAME?</v>
      </c>
      <c r="L4" s="187" t="e">
        <f>_xlfn.XLOOKUP(C6,'00_SKU_Master'!$B$2:$B$378,'00_SKU_Master'!K:K)</f>
        <v>#VALUE!</v>
      </c>
      <c r="M4" s="14">
        <f t="shared" si="2"/>
        <v>946</v>
      </c>
      <c r="N4" s="147" t="e">
        <f ca="1">_xludf.IFNA(D6/_xlfn.XLOOKUP($M6,'00_SKU_Master'!$B$2:$B$378,'00_SKU_Master'!$M$2:$M$378,0)/$M$2,"0")</f>
        <v>#NAME?</v>
      </c>
      <c r="O4" s="147" t="e">
        <f ca="1">_xludf.IFNA(E6/_xlfn.XLOOKUP($M6,'00_SKU_Master'!$B$2:$B$378,'00_SKU_Master'!$M$2:$M$378,0)/$M$2,"0")</f>
        <v>#NAME?</v>
      </c>
      <c r="P4" s="147" t="e">
        <f ca="1">_xludf.IFNA(F6/_xlfn.XLOOKUP($M6,'00_SKU_Master'!$B$2:$B$378,'00_SKU_Master'!$M$2:$M$378,0)/$M$2,"0")</f>
        <v>#NAME?</v>
      </c>
      <c r="Q4" s="147" t="e">
        <f ca="1">_xludf.IFNA(G6/_xlfn.XLOOKUP($M6,'00_SKU_Master'!$B$2:$B$378,'00_SKU_Master'!$M$2:$M$378,0)/$M$2,"0")</f>
        <v>#NAME?</v>
      </c>
      <c r="R4" s="147" t="e">
        <f ca="1">_xludf.IFNA(H6/_xlfn.XLOOKUP($M6,'00_SKU_Master'!$B$2:$B$378,'00_SKU_Master'!$M$2:$M$378,0)/$M$2,"0")</f>
        <v>#NAME?</v>
      </c>
      <c r="S4" s="147" t="e">
        <f ca="1">_xludf.IFNA(I6/_xlfn.XLOOKUP($M6,'00_SKU_Master'!$B$2:$B$378,'00_SKU_Master'!$M$2:$M$378,0)/$M$2,"0")</f>
        <v>#NAME?</v>
      </c>
      <c r="T4" s="147" t="e">
        <f ca="1">_xludf.IFNA(J6/_xlfn.XLOOKUP($M6,'00_SKU_Master'!$B$2:$B$378,'00_SKU_Master'!$M$2:$M$378,0)/$M$2,"0")</f>
        <v>#NAME?</v>
      </c>
      <c r="U4" s="147" t="e">
        <f t="shared" ca="1" si="3"/>
        <v>#NAME?</v>
      </c>
      <c r="V4" s="4"/>
      <c r="W4" s="4" t="e">
        <f>_xlfn.XLOOKUP(M6,'00_SKU_Master'!$B$2:$B$378,'00_SKU_Master'!D:D)</f>
        <v>#VALUE!</v>
      </c>
      <c r="X4" s="14">
        <f>'05_Daily_Orders'!B5</f>
        <v>484</v>
      </c>
      <c r="Y4" s="554"/>
      <c r="Z4" s="555"/>
      <c r="AA4" s="555"/>
      <c r="AB4" s="555"/>
      <c r="AC4" s="555">
        <v>0</v>
      </c>
      <c r="AD4" s="555">
        <v>0</v>
      </c>
      <c r="AE4" s="555">
        <v>0</v>
      </c>
      <c r="AF4" s="553">
        <f t="shared" si="4"/>
        <v>285</v>
      </c>
      <c r="AH4" s="14">
        <v>2081</v>
      </c>
      <c r="AI4" s="14">
        <v>92</v>
      </c>
      <c r="AJ4" s="14">
        <v>105</v>
      </c>
      <c r="AK4" s="14">
        <v>95</v>
      </c>
      <c r="AL4" s="14">
        <v>122</v>
      </c>
      <c r="AM4" s="14">
        <v>130</v>
      </c>
      <c r="AN4" s="14">
        <v>0</v>
      </c>
      <c r="AO4" s="14">
        <v>145</v>
      </c>
      <c r="AQ4" s="23">
        <v>0</v>
      </c>
      <c r="AR4" s="23">
        <v>0</v>
      </c>
      <c r="AS4" s="23">
        <f t="shared" si="5"/>
        <v>39</v>
      </c>
    </row>
    <row r="5" spans="1:45">
      <c r="A5" s="138">
        <f>_xlfn.XLOOKUP(C7,'00_SKU_Master'!$B$2:$B$378,'00_SKU_Master'!$C$2:$C$378)</f>
        <v>61121</v>
      </c>
      <c r="B5" s="138"/>
      <c r="C5" s="138">
        <f t="shared" si="0"/>
        <v>956</v>
      </c>
      <c r="D5" s="552" t="e">
        <f ca="1">_xludf.IFNA(_xlfn.XLOOKUP(C7,'00_SKU_Master'!$B$2:$B$378,'00_SKU_Master'!$F$2:$F$378,0)*Y7,"")</f>
        <v>#NAME?</v>
      </c>
      <c r="E5" s="552" t="e">
        <f ca="1">_xludf.IFNA(_xlfn.XLOOKUP(C7,'00_SKU_Master'!$B$2:$B$378,'00_SKU_Master'!$F$2:$F$378,0)*Z7,"")</f>
        <v>#NAME?</v>
      </c>
      <c r="F5" s="552" t="e">
        <f ca="1">_xludf.IFNA(_xlfn.XLOOKUP(C7,'00_SKU_Master'!$B$2:$B$378,'00_SKU_Master'!$F$2:$F$378,0)*AA7,"")</f>
        <v>#NAME?</v>
      </c>
      <c r="G5" s="552" t="e">
        <f ca="1">_xludf.IFNA(_xlfn.XLOOKUP(C7,'00_SKU_Master'!$B$2:$B$378,'00_SKU_Master'!$F$2:$F$378,0)*AB7,"")</f>
        <v>#NAME?</v>
      </c>
      <c r="H5" s="552" t="e">
        <f ca="1">_xludf.IFNA(_xlfn.XLOOKUP(C7,'00_SKU_Master'!$B$2:$B$378,'00_SKU_Master'!$F$2:$F$378,0)*AC7,"")</f>
        <v>#NAME?</v>
      </c>
      <c r="I5" s="552" t="e">
        <f ca="1">_xludf.IFNA(_xlfn.XLOOKUP(C7,'00_SKU_Master'!$B$2:$B$378,'00_SKU_Master'!$F$2:$F$378,0)*AD7,"")</f>
        <v>#NAME?</v>
      </c>
      <c r="J5" s="552" t="e">
        <f ca="1">_xludf.IFNA(_xlfn.XLOOKUP(C7,'00_SKU_Master'!$B$2:$B$378,'00_SKU_Master'!$F$2:$F$378,0)*AE7,"")</f>
        <v>#NAME?</v>
      </c>
      <c r="K5" s="553" t="e">
        <f t="shared" ca="1" si="1"/>
        <v>#NAME?</v>
      </c>
      <c r="L5" s="187" t="e">
        <f>_xlfn.XLOOKUP(C7,'00_SKU_Master'!$B$2:$B$378,'00_SKU_Master'!K:K)</f>
        <v>#VALUE!</v>
      </c>
      <c r="M5" s="14">
        <f t="shared" si="2"/>
        <v>956</v>
      </c>
      <c r="N5" s="147" t="e">
        <f ca="1">_xludf.IFNA(D7/_xlfn.XLOOKUP($M7,'00_SKU_Master'!$B$2:$B$378,'00_SKU_Master'!$M$2:$M$378,0)/$M$2,"0")</f>
        <v>#NAME?</v>
      </c>
      <c r="O5" s="147" t="e">
        <f ca="1">_xludf.IFNA(E7/_xlfn.XLOOKUP($M7,'00_SKU_Master'!$B$2:$B$378,'00_SKU_Master'!$M$2:$M$378,0)/$M$2,"0")</f>
        <v>#NAME?</v>
      </c>
      <c r="P5" s="147" t="e">
        <f ca="1">_xludf.IFNA(F7/_xlfn.XLOOKUP($M7,'00_SKU_Master'!$B$2:$B$378,'00_SKU_Master'!$M$2:$M$378,0)/$M$2,"0")</f>
        <v>#NAME?</v>
      </c>
      <c r="Q5" s="147" t="e">
        <f ca="1">_xludf.IFNA(G7/_xlfn.XLOOKUP($M7,'00_SKU_Master'!$B$2:$B$378,'00_SKU_Master'!$M$2:$M$378,0)/$M$2,"0")</f>
        <v>#NAME?</v>
      </c>
      <c r="R5" s="147" t="e">
        <f ca="1">_xludf.IFNA(H7/_xlfn.XLOOKUP($M7,'00_SKU_Master'!$B$2:$B$378,'00_SKU_Master'!$M$2:$M$378,0)/$M$2,"0")</f>
        <v>#NAME?</v>
      </c>
      <c r="S5" s="147" t="e">
        <f ca="1">_xludf.IFNA(I7/_xlfn.XLOOKUP($M7,'00_SKU_Master'!$B$2:$B$378,'00_SKU_Master'!$M$2:$M$378,0)/$M$2,"0")</f>
        <v>#NAME?</v>
      </c>
      <c r="T5" s="147" t="e">
        <f ca="1">_xludf.IFNA(J7/_xlfn.XLOOKUP($M7,'00_SKU_Master'!$B$2:$B$378,'00_SKU_Master'!$M$2:$M$378,0)/$M$2,"0")</f>
        <v>#NAME?</v>
      </c>
      <c r="U5" s="147" t="e">
        <f t="shared" ca="1" si="3"/>
        <v>#NAME?</v>
      </c>
      <c r="V5" s="4"/>
      <c r="W5" s="4" t="e">
        <f>_xlfn.XLOOKUP(M7,'00_SKU_Master'!$B$2:$B$378,'00_SKU_Master'!D:D)</f>
        <v>#VALUE!</v>
      </c>
      <c r="X5" s="14">
        <f>'05_Daily_Orders'!B6</f>
        <v>784</v>
      </c>
      <c r="Y5" s="554"/>
      <c r="Z5" s="555"/>
      <c r="AA5" s="555"/>
      <c r="AB5" s="555"/>
      <c r="AC5" s="555">
        <v>53</v>
      </c>
      <c r="AD5" s="555">
        <v>0</v>
      </c>
      <c r="AE5" s="555">
        <v>44</v>
      </c>
      <c r="AF5" s="553">
        <f t="shared" si="4"/>
        <v>0</v>
      </c>
      <c r="AH5" s="14">
        <v>7113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Q5" s="23">
        <v>0</v>
      </c>
      <c r="AR5" s="23">
        <v>10</v>
      </c>
      <c r="AS5" s="23">
        <f t="shared" si="5"/>
        <v>0</v>
      </c>
    </row>
    <row r="6" spans="1:45">
      <c r="A6" s="138" t="str">
        <f>_xlfn.XLOOKUP(C8,'00_SKU_Master'!$B$2:$B$378,'00_SKU_Master'!$C$2:$C$378)</f>
        <v>61050F</v>
      </c>
      <c r="B6" s="138"/>
      <c r="C6" s="138">
        <f t="shared" si="0"/>
        <v>957</v>
      </c>
      <c r="D6" s="552" t="e">
        <f ca="1">_xludf.IFNA(_xlfn.XLOOKUP(C8,'00_SKU_Master'!$B$2:$B$378,'00_SKU_Master'!$F$2:$F$378,0)*Y8,"")</f>
        <v>#NAME?</v>
      </c>
      <c r="E6" s="552" t="e">
        <f ca="1">_xludf.IFNA(_xlfn.XLOOKUP(C8,'00_SKU_Master'!$B$2:$B$378,'00_SKU_Master'!$F$2:$F$378,0)*Z8,"")</f>
        <v>#NAME?</v>
      </c>
      <c r="F6" s="552" t="e">
        <f ca="1">_xludf.IFNA(_xlfn.XLOOKUP(C8,'00_SKU_Master'!$B$2:$B$378,'00_SKU_Master'!$F$2:$F$378,0)*AA8,"")</f>
        <v>#NAME?</v>
      </c>
      <c r="G6" s="552" t="e">
        <f ca="1">_xludf.IFNA(_xlfn.XLOOKUP(C8,'00_SKU_Master'!$B$2:$B$378,'00_SKU_Master'!$F$2:$F$378,0)*AB8,"")</f>
        <v>#NAME?</v>
      </c>
      <c r="H6" s="552" t="e">
        <f ca="1">_xludf.IFNA(_xlfn.XLOOKUP(C8,'00_SKU_Master'!$B$2:$B$378,'00_SKU_Master'!$F$2:$F$378,0)*AC8,"")</f>
        <v>#NAME?</v>
      </c>
      <c r="I6" s="552" t="e">
        <f ca="1">_xludf.IFNA(_xlfn.XLOOKUP(C8,'00_SKU_Master'!$B$2:$B$378,'00_SKU_Master'!$F$2:$F$378,0)*AD8,"")</f>
        <v>#NAME?</v>
      </c>
      <c r="J6" s="552" t="e">
        <f ca="1">_xludf.IFNA(_xlfn.XLOOKUP(C8,'00_SKU_Master'!$B$2:$B$378,'00_SKU_Master'!$F$2:$F$378,0)*AE8,"")</f>
        <v>#NAME?</v>
      </c>
      <c r="K6" s="553" t="e">
        <f t="shared" ca="1" si="1"/>
        <v>#NAME?</v>
      </c>
      <c r="L6" s="187" t="e">
        <f>_xlfn.XLOOKUP(C8,'00_SKU_Master'!$B$2:$B$378,'00_SKU_Master'!K:K)</f>
        <v>#VALUE!</v>
      </c>
      <c r="M6" s="14">
        <f t="shared" si="2"/>
        <v>957</v>
      </c>
      <c r="N6" s="147" t="e">
        <f ca="1">_xludf.IFNA(D8/_xlfn.XLOOKUP($M8,'00_SKU_Master'!$B$2:$B$378,'00_SKU_Master'!$M$2:$M$378,0)/$M$2,"0")</f>
        <v>#NAME?</v>
      </c>
      <c r="O6" s="147" t="e">
        <f ca="1">_xludf.IFNA(E8/_xlfn.XLOOKUP($M8,'00_SKU_Master'!$B$2:$B$378,'00_SKU_Master'!$M$2:$M$378,0)/$M$2,"0")</f>
        <v>#NAME?</v>
      </c>
      <c r="P6" s="147" t="e">
        <f ca="1">_xludf.IFNA(F8/_xlfn.XLOOKUP($M8,'00_SKU_Master'!$B$2:$B$378,'00_SKU_Master'!$M$2:$M$378,0)/$M$2,"0")</f>
        <v>#NAME?</v>
      </c>
      <c r="Q6" s="147" t="e">
        <f ca="1">_xludf.IFNA(G8/_xlfn.XLOOKUP($M8,'00_SKU_Master'!$B$2:$B$378,'00_SKU_Master'!$M$2:$M$378,0)/$M$2,"0")</f>
        <v>#NAME?</v>
      </c>
      <c r="R6" s="147" t="e">
        <f ca="1">_xludf.IFNA(H8/_xlfn.XLOOKUP($M8,'00_SKU_Master'!$B$2:$B$378,'00_SKU_Master'!$M$2:$M$378,0)/$M$2,"0")</f>
        <v>#NAME?</v>
      </c>
      <c r="S6" s="147" t="e">
        <f ca="1">_xludf.IFNA(I8/_xlfn.XLOOKUP($M8,'00_SKU_Master'!$B$2:$B$378,'00_SKU_Master'!$M$2:$M$378,0)/$M$2,"0")</f>
        <v>#NAME?</v>
      </c>
      <c r="T6" s="147" t="e">
        <f ca="1">_xludf.IFNA(J8/_xlfn.XLOOKUP($M8,'00_SKU_Master'!$B$2:$B$378,'00_SKU_Master'!$M$2:$M$378,0)/$M$2,"0")</f>
        <v>#NAME?</v>
      </c>
      <c r="U6" s="147" t="e">
        <f t="shared" ca="1" si="3"/>
        <v>#NAME?</v>
      </c>
      <c r="V6" s="4"/>
      <c r="W6" s="4" t="e">
        <f>_xlfn.XLOOKUP(M8,'00_SKU_Master'!$B$2:$B$378,'00_SKU_Master'!D:D)</f>
        <v>#VALUE!</v>
      </c>
      <c r="X6" s="14">
        <f>'05_Daily_Orders'!B7</f>
        <v>946</v>
      </c>
      <c r="Y6" s="554"/>
      <c r="Z6" s="555"/>
      <c r="AA6" s="555"/>
      <c r="AB6" s="555"/>
      <c r="AC6" s="555">
        <v>149</v>
      </c>
      <c r="AD6" s="555">
        <v>0</v>
      </c>
      <c r="AE6" s="555">
        <v>136</v>
      </c>
      <c r="AF6" s="553">
        <f t="shared" si="4"/>
        <v>0</v>
      </c>
      <c r="AH6" s="14">
        <v>200179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Q6" s="23">
        <v>0</v>
      </c>
      <c r="AR6" s="23">
        <v>39</v>
      </c>
      <c r="AS6" s="23">
        <f t="shared" si="5"/>
        <v>0</v>
      </c>
    </row>
    <row r="7" spans="1:45">
      <c r="A7" s="138">
        <f>_xlfn.XLOOKUP(C9,'00_SKU_Master'!$B$2:$B$378,'00_SKU_Master'!$C$2:$C$378)</f>
        <v>203021</v>
      </c>
      <c r="B7" s="138"/>
      <c r="C7" s="138">
        <f t="shared" si="0"/>
        <v>1023</v>
      </c>
      <c r="D7" s="552" t="e">
        <f ca="1">_xludf.IFNA(_xlfn.XLOOKUP(C9,'00_SKU_Master'!$B$2:$B$378,'00_SKU_Master'!$F$2:$F$378,0)*Y9,"")</f>
        <v>#NAME?</v>
      </c>
      <c r="E7" s="552" t="e">
        <f ca="1">_xludf.IFNA(_xlfn.XLOOKUP(C9,'00_SKU_Master'!$B$2:$B$378,'00_SKU_Master'!$F$2:$F$378,0)*Z9,"")</f>
        <v>#NAME?</v>
      </c>
      <c r="F7" s="552" t="e">
        <f ca="1">_xludf.IFNA(_xlfn.XLOOKUP(C9,'00_SKU_Master'!$B$2:$B$378,'00_SKU_Master'!$F$2:$F$378,0)*AA9,"")</f>
        <v>#NAME?</v>
      </c>
      <c r="G7" s="552" t="e">
        <f ca="1">_xludf.IFNA(_xlfn.XLOOKUP(C9,'00_SKU_Master'!$B$2:$B$378,'00_SKU_Master'!$F$2:$F$378,0)*AB9,"")</f>
        <v>#NAME?</v>
      </c>
      <c r="H7" s="552" t="e">
        <f ca="1">_xludf.IFNA(_xlfn.XLOOKUP(C9,'00_SKU_Master'!$B$2:$B$378,'00_SKU_Master'!$F$2:$F$378,0)*AC9,"")</f>
        <v>#NAME?</v>
      </c>
      <c r="I7" s="552" t="e">
        <f ca="1">_xludf.IFNA(_xlfn.XLOOKUP(C9,'00_SKU_Master'!$B$2:$B$378,'00_SKU_Master'!$F$2:$F$378,0)*AD9,"")</f>
        <v>#NAME?</v>
      </c>
      <c r="J7" s="552" t="e">
        <f ca="1">_xludf.IFNA(_xlfn.XLOOKUP(C9,'00_SKU_Master'!$B$2:$B$378,'00_SKU_Master'!$F$2:$F$378,0)*AE9,"")</f>
        <v>#NAME?</v>
      </c>
      <c r="K7" s="553" t="e">
        <f t="shared" ca="1" si="1"/>
        <v>#NAME?</v>
      </c>
      <c r="L7" s="187" t="e">
        <f>_xlfn.XLOOKUP(C9,'00_SKU_Master'!$B$2:$B$378,'00_SKU_Master'!K:K)</f>
        <v>#VALUE!</v>
      </c>
      <c r="M7" s="14">
        <f t="shared" si="2"/>
        <v>1023</v>
      </c>
      <c r="N7" s="147" t="e">
        <f ca="1">_xludf.IFNA(D9/_xlfn.XLOOKUP($M9,'00_SKU_Master'!$B$2:$B$378,'00_SKU_Master'!$M$2:$M$378,0)/$M$2,"0")</f>
        <v>#NAME?</v>
      </c>
      <c r="O7" s="147" t="e">
        <f ca="1">_xludf.IFNA(E9/_xlfn.XLOOKUP($M9,'00_SKU_Master'!$B$2:$B$378,'00_SKU_Master'!$M$2:$M$378,0)/$M$2,"0")</f>
        <v>#NAME?</v>
      </c>
      <c r="P7" s="147" t="e">
        <f ca="1">_xludf.IFNA(F9/_xlfn.XLOOKUP($M9,'00_SKU_Master'!$B$2:$B$378,'00_SKU_Master'!$M$2:$M$378,0)/$M$2,"0")</f>
        <v>#NAME?</v>
      </c>
      <c r="Q7" s="147" t="e">
        <f ca="1">_xludf.IFNA(G9/_xlfn.XLOOKUP($M9,'00_SKU_Master'!$B$2:$B$378,'00_SKU_Master'!$M$2:$M$378,0)/$M$2,"0")</f>
        <v>#NAME?</v>
      </c>
      <c r="R7" s="147" t="e">
        <f ca="1">_xludf.IFNA(H9/_xlfn.XLOOKUP($M9,'00_SKU_Master'!$B$2:$B$378,'00_SKU_Master'!$M$2:$M$378,0)/$M$2,"0")</f>
        <v>#NAME?</v>
      </c>
      <c r="S7" s="147" t="e">
        <f ca="1">_xludf.IFNA(I9/_xlfn.XLOOKUP($M9,'00_SKU_Master'!$B$2:$B$378,'00_SKU_Master'!$M$2:$M$378,0)/$M$2,"0")</f>
        <v>#NAME?</v>
      </c>
      <c r="T7" s="147" t="e">
        <f ca="1">_xludf.IFNA(J9/_xlfn.XLOOKUP($M9,'00_SKU_Master'!$B$2:$B$378,'00_SKU_Master'!$M$2:$M$378,0)/$M$2,"0")</f>
        <v>#NAME?</v>
      </c>
      <c r="U7" s="147" t="e">
        <f t="shared" ca="1" si="3"/>
        <v>#NAME?</v>
      </c>
      <c r="V7" s="4"/>
      <c r="W7" s="4" t="e">
        <f>_xlfn.XLOOKUP(M9,'00_SKU_Master'!$B$2:$B$378,'00_SKU_Master'!D:D)</f>
        <v>#VALUE!</v>
      </c>
      <c r="X7" s="14">
        <f>'05_Daily_Orders'!B8</f>
        <v>956</v>
      </c>
      <c r="Y7" s="554"/>
      <c r="Z7" s="555"/>
      <c r="AA7" s="555"/>
      <c r="AB7" s="555"/>
      <c r="AC7" s="555">
        <v>0</v>
      </c>
      <c r="AD7" s="555">
        <v>0</v>
      </c>
      <c r="AE7" s="555">
        <v>0</v>
      </c>
      <c r="AF7" s="553">
        <f t="shared" si="4"/>
        <v>0</v>
      </c>
      <c r="AH7" s="14">
        <v>200182</v>
      </c>
      <c r="AI7" s="14">
        <v>20</v>
      </c>
      <c r="AJ7" s="14">
        <v>40</v>
      </c>
      <c r="AK7" s="14">
        <v>40</v>
      </c>
      <c r="AL7" s="14">
        <v>40</v>
      </c>
      <c r="AM7" s="14">
        <v>40</v>
      </c>
      <c r="AN7" s="14">
        <v>0</v>
      </c>
      <c r="AO7" s="14">
        <v>80</v>
      </c>
      <c r="AQ7" s="23">
        <v>0</v>
      </c>
      <c r="AR7" s="23">
        <v>0</v>
      </c>
      <c r="AS7" s="23">
        <f t="shared" si="5"/>
        <v>0</v>
      </c>
    </row>
    <row r="8" spans="1:45">
      <c r="A8" s="138">
        <f>_xlfn.XLOOKUP(C10,'00_SKU_Master'!$B$2:$B$378,'00_SKU_Master'!$C$2:$C$378)</f>
        <v>61010</v>
      </c>
      <c r="B8" s="138"/>
      <c r="C8" s="138">
        <f t="shared" si="0"/>
        <v>1830</v>
      </c>
      <c r="D8" s="552" t="e">
        <f ca="1">_xludf.IFNA(_xlfn.XLOOKUP(C10,'00_SKU_Master'!$B$2:$B$378,'00_SKU_Master'!$F$2:$F$378,0)*Y10,"")</f>
        <v>#NAME?</v>
      </c>
      <c r="E8" s="552" t="e">
        <f ca="1">_xludf.IFNA(_xlfn.XLOOKUP(C10,'00_SKU_Master'!$B$2:$B$378,'00_SKU_Master'!$F$2:$F$378,0)*Z10,"")</f>
        <v>#NAME?</v>
      </c>
      <c r="F8" s="552" t="e">
        <f ca="1">_xludf.IFNA(_xlfn.XLOOKUP(C10,'00_SKU_Master'!$B$2:$B$378,'00_SKU_Master'!$F$2:$F$378,0)*AA10,"")</f>
        <v>#NAME?</v>
      </c>
      <c r="G8" s="552" t="e">
        <f ca="1">_xludf.IFNA(_xlfn.XLOOKUP(C10,'00_SKU_Master'!$B$2:$B$378,'00_SKU_Master'!$F$2:$F$378,0)*AB10,"")</f>
        <v>#NAME?</v>
      </c>
      <c r="H8" s="552" t="e">
        <f ca="1">_xludf.IFNA(_xlfn.XLOOKUP(C10,'00_SKU_Master'!$B$2:$B$378,'00_SKU_Master'!$F$2:$F$378,0)*AC10,"")</f>
        <v>#NAME?</v>
      </c>
      <c r="I8" s="552" t="e">
        <f ca="1">_xludf.IFNA(_xlfn.XLOOKUP(C10,'00_SKU_Master'!$B$2:$B$378,'00_SKU_Master'!$F$2:$F$378,0)*AD10,"")</f>
        <v>#NAME?</v>
      </c>
      <c r="J8" s="552" t="e">
        <f ca="1">_xludf.IFNA(_xlfn.XLOOKUP(C10,'00_SKU_Master'!$B$2:$B$378,'00_SKU_Master'!$F$2:$F$378,0)*AE10,"")</f>
        <v>#NAME?</v>
      </c>
      <c r="K8" s="553" t="e">
        <f t="shared" ca="1" si="1"/>
        <v>#NAME?</v>
      </c>
      <c r="L8" s="187" t="e">
        <f>_xlfn.XLOOKUP(C10,'00_SKU_Master'!$B$2:$B$378,'00_SKU_Master'!K:K)</f>
        <v>#VALUE!</v>
      </c>
      <c r="M8" s="14">
        <f t="shared" si="2"/>
        <v>1830</v>
      </c>
      <c r="N8" s="147" t="e">
        <f ca="1">_xludf.IFNA(D10/_xlfn.XLOOKUP($M10,'00_SKU_Master'!$B$2:$B$378,'00_SKU_Master'!$M$2:$M$378,0)/$M$2,"0")</f>
        <v>#NAME?</v>
      </c>
      <c r="O8" s="147" t="e">
        <f ca="1">_xludf.IFNA(E10/_xlfn.XLOOKUP($M10,'00_SKU_Master'!$B$2:$B$378,'00_SKU_Master'!$M$2:$M$378,0)/$M$2,"0")</f>
        <v>#NAME?</v>
      </c>
      <c r="P8" s="147" t="e">
        <f ca="1">_xludf.IFNA(F10/_xlfn.XLOOKUP($M10,'00_SKU_Master'!$B$2:$B$378,'00_SKU_Master'!$M$2:$M$378,0)/$M$2,"0")</f>
        <v>#NAME?</v>
      </c>
      <c r="Q8" s="147" t="e">
        <f ca="1">_xludf.IFNA(G10/_xlfn.XLOOKUP($M10,'00_SKU_Master'!$B$2:$B$378,'00_SKU_Master'!$M$2:$M$378,0)/$M$2,"0")</f>
        <v>#NAME?</v>
      </c>
      <c r="R8" s="147" t="e">
        <f ca="1">_xludf.IFNA(H10/_xlfn.XLOOKUP($M10,'00_SKU_Master'!$B$2:$B$378,'00_SKU_Master'!$M$2:$M$378,0)/$M$2,"0")</f>
        <v>#NAME?</v>
      </c>
      <c r="S8" s="147" t="e">
        <f ca="1">_xludf.IFNA(I10/_xlfn.XLOOKUP($M10,'00_SKU_Master'!$B$2:$B$378,'00_SKU_Master'!$M$2:$M$378,0)/$M$2,"0")</f>
        <v>#NAME?</v>
      </c>
      <c r="T8" s="147" t="e">
        <f ca="1">_xludf.IFNA(J10/_xlfn.XLOOKUP($M10,'00_SKU_Master'!$B$2:$B$378,'00_SKU_Master'!$M$2:$M$378,0)/$M$2,"0")</f>
        <v>#NAME?</v>
      </c>
      <c r="U8" s="147" t="e">
        <f t="shared" ca="1" si="3"/>
        <v>#NAME?</v>
      </c>
      <c r="V8" s="4"/>
      <c r="W8" s="4" t="e">
        <f>_xlfn.XLOOKUP(M10,'00_SKU_Master'!$B$2:$B$378,'00_SKU_Master'!D:D)</f>
        <v>#VALUE!</v>
      </c>
      <c r="X8" s="14">
        <f>'05_Daily_Orders'!B9</f>
        <v>957</v>
      </c>
      <c r="Y8" s="554"/>
      <c r="Z8" s="555"/>
      <c r="AA8" s="555"/>
      <c r="AB8" s="555"/>
      <c r="AC8" s="555">
        <v>0</v>
      </c>
      <c r="AD8" s="555">
        <v>0</v>
      </c>
      <c r="AE8" s="555">
        <v>0</v>
      </c>
      <c r="AF8" s="553">
        <f t="shared" si="4"/>
        <v>37</v>
      </c>
      <c r="AH8" s="14">
        <v>200183</v>
      </c>
      <c r="AI8" s="14">
        <v>22</v>
      </c>
      <c r="AJ8" s="14">
        <v>44</v>
      </c>
      <c r="AK8" s="14">
        <v>24</v>
      </c>
      <c r="AL8" s="14">
        <v>42</v>
      </c>
      <c r="AM8" s="14">
        <v>55</v>
      </c>
      <c r="AN8" s="14">
        <v>0</v>
      </c>
      <c r="AO8" s="14">
        <v>28</v>
      </c>
      <c r="AQ8" s="23">
        <v>0</v>
      </c>
      <c r="AR8" s="23">
        <v>0</v>
      </c>
      <c r="AS8" s="23">
        <f t="shared" si="5"/>
        <v>20</v>
      </c>
    </row>
    <row r="9" spans="1:45">
      <c r="A9" s="138" t="str">
        <f>_xlfn.XLOOKUP(C11,'00_SKU_Master'!$B$2:$B$378,'00_SKU_Master'!$C$2:$C$378)</f>
        <v>61050F</v>
      </c>
      <c r="B9" s="138"/>
      <c r="C9" s="138">
        <f t="shared" si="0"/>
        <v>1831</v>
      </c>
      <c r="D9" s="552" t="e">
        <f ca="1">_xludf.IFNA(_xlfn.XLOOKUP(C11,'00_SKU_Master'!$B$2:$B$378,'00_SKU_Master'!$F$2:$F$378,0)*Y11,"")</f>
        <v>#NAME?</v>
      </c>
      <c r="E9" s="552" t="e">
        <f ca="1">_xludf.IFNA(_xlfn.XLOOKUP(C11,'00_SKU_Master'!$B$2:$B$378,'00_SKU_Master'!$F$2:$F$378,0)*Z11,"")</f>
        <v>#NAME?</v>
      </c>
      <c r="F9" s="552" t="e">
        <f ca="1">_xludf.IFNA(_xlfn.XLOOKUP(C11,'00_SKU_Master'!$B$2:$B$378,'00_SKU_Master'!$F$2:$F$378,0)*AA11,"")</f>
        <v>#NAME?</v>
      </c>
      <c r="G9" s="552" t="e">
        <f ca="1">_xludf.IFNA(_xlfn.XLOOKUP(C11,'00_SKU_Master'!$B$2:$B$378,'00_SKU_Master'!$F$2:$F$378,0)*AB11,"")</f>
        <v>#NAME?</v>
      </c>
      <c r="H9" s="552" t="e">
        <f ca="1">_xludf.IFNA(_xlfn.XLOOKUP(C11,'00_SKU_Master'!$B$2:$B$378,'00_SKU_Master'!$F$2:$F$378,0)*AC11,"")</f>
        <v>#NAME?</v>
      </c>
      <c r="I9" s="552" t="e">
        <f ca="1">_xludf.IFNA(_xlfn.XLOOKUP(C11,'00_SKU_Master'!$B$2:$B$378,'00_SKU_Master'!$F$2:$F$378,0)*AD11,"")</f>
        <v>#NAME?</v>
      </c>
      <c r="J9" s="552" t="e">
        <f ca="1">_xludf.IFNA(_xlfn.XLOOKUP(C11,'00_SKU_Master'!$B$2:$B$378,'00_SKU_Master'!$F$2:$F$378,0)*AE11,"")</f>
        <v>#NAME?</v>
      </c>
      <c r="K9" s="553" t="e">
        <f t="shared" ca="1" si="1"/>
        <v>#NAME?</v>
      </c>
      <c r="L9" s="187" t="e">
        <f>_xlfn.XLOOKUP(C11,'00_SKU_Master'!$B$2:$B$378,'00_SKU_Master'!K:K)</f>
        <v>#VALUE!</v>
      </c>
      <c r="M9" s="14">
        <f t="shared" si="2"/>
        <v>1831</v>
      </c>
      <c r="N9" s="147" t="e">
        <f ca="1">_xludf.IFNA(D11/_xlfn.XLOOKUP($M11,'00_SKU_Master'!$B$2:$B$378,'00_SKU_Master'!$M$2:$M$378,0)/$M$2,"0")</f>
        <v>#NAME?</v>
      </c>
      <c r="O9" s="147" t="e">
        <f ca="1">_xludf.IFNA(E11/_xlfn.XLOOKUP($M11,'00_SKU_Master'!$B$2:$B$378,'00_SKU_Master'!$M$2:$M$378,0)/$M$2,"0")</f>
        <v>#NAME?</v>
      </c>
      <c r="P9" s="147" t="e">
        <f ca="1">_xludf.IFNA(F11/_xlfn.XLOOKUP($M11,'00_SKU_Master'!$B$2:$B$378,'00_SKU_Master'!$M$2:$M$378,0)/$M$2,"0")</f>
        <v>#NAME?</v>
      </c>
      <c r="Q9" s="147" t="e">
        <f ca="1">_xludf.IFNA(G11/_xlfn.XLOOKUP($M11,'00_SKU_Master'!$B$2:$B$378,'00_SKU_Master'!$M$2:$M$378,0)/$M$2,"0")</f>
        <v>#NAME?</v>
      </c>
      <c r="R9" s="147" t="e">
        <f ca="1">_xludf.IFNA(H11/_xlfn.XLOOKUP($M11,'00_SKU_Master'!$B$2:$B$378,'00_SKU_Master'!$M$2:$M$378,0)/$M$2,"0")</f>
        <v>#NAME?</v>
      </c>
      <c r="S9" s="147" t="e">
        <f ca="1">_xludf.IFNA(I11/_xlfn.XLOOKUP($M11,'00_SKU_Master'!$B$2:$B$378,'00_SKU_Master'!$M$2:$M$378,0)/$M$2,"0")</f>
        <v>#NAME?</v>
      </c>
      <c r="T9" s="147" t="e">
        <f ca="1">_xludf.IFNA(J11/_xlfn.XLOOKUP($M11,'00_SKU_Master'!$B$2:$B$378,'00_SKU_Master'!$M$2:$M$378,0)/$M$2,"0")</f>
        <v>#NAME?</v>
      </c>
      <c r="U9" s="147" t="e">
        <f t="shared" ca="1" si="3"/>
        <v>#NAME?</v>
      </c>
      <c r="V9" s="4"/>
      <c r="W9" s="4" t="e">
        <f>_xlfn.XLOOKUP(M11,'00_SKU_Master'!$B$2:$B$378,'00_SKU_Master'!D:D)</f>
        <v>#VALUE!</v>
      </c>
      <c r="X9" s="14">
        <f>'05_Daily_Orders'!B10</f>
        <v>1023</v>
      </c>
      <c r="Y9" s="554"/>
      <c r="Z9" s="555"/>
      <c r="AA9" s="555"/>
      <c r="AB9" s="555"/>
      <c r="AC9" s="555">
        <v>0</v>
      </c>
      <c r="AD9" s="555">
        <v>0</v>
      </c>
      <c r="AE9" s="555">
        <v>0</v>
      </c>
      <c r="AF9" s="553">
        <f t="shared" si="4"/>
        <v>111</v>
      </c>
      <c r="AH9" s="14">
        <v>200184</v>
      </c>
      <c r="AI9" s="14">
        <v>0</v>
      </c>
      <c r="AJ9" s="14">
        <v>40</v>
      </c>
      <c r="AK9" s="14">
        <v>0</v>
      </c>
      <c r="AL9" s="14">
        <v>40</v>
      </c>
      <c r="AM9" s="14">
        <v>40</v>
      </c>
      <c r="AN9" s="14">
        <v>0</v>
      </c>
      <c r="AO9" s="14">
        <v>60</v>
      </c>
      <c r="AQ9" s="23">
        <v>0</v>
      </c>
      <c r="AR9" s="23">
        <v>0</v>
      </c>
      <c r="AS9" s="23">
        <f t="shared" si="5"/>
        <v>-61</v>
      </c>
    </row>
    <row r="10" spans="1:45">
      <c r="A10" s="138">
        <f>_xlfn.XLOOKUP(C12,'00_SKU_Master'!$B$2:$B$378,'00_SKU_Master'!$C$2:$C$378)</f>
        <v>203021</v>
      </c>
      <c r="B10" s="138"/>
      <c r="C10" s="138">
        <f t="shared" si="0"/>
        <v>1837</v>
      </c>
      <c r="D10" s="552" t="e">
        <f ca="1">_xludf.IFNA(_xlfn.XLOOKUP(C12,'00_SKU_Master'!$B$2:$B$378,'00_SKU_Master'!$F$2:$F$378,0)*Y12,"")</f>
        <v>#NAME?</v>
      </c>
      <c r="E10" s="552" t="e">
        <f ca="1">_xludf.IFNA(_xlfn.XLOOKUP(C12,'00_SKU_Master'!$B$2:$B$378,'00_SKU_Master'!$F$2:$F$378,0)*Z12,"")</f>
        <v>#NAME?</v>
      </c>
      <c r="F10" s="552" t="e">
        <f ca="1">_xludf.IFNA(_xlfn.XLOOKUP(C12,'00_SKU_Master'!$B$2:$B$378,'00_SKU_Master'!$F$2:$F$378,0)*AA12,"")</f>
        <v>#NAME?</v>
      </c>
      <c r="G10" s="552" t="e">
        <f ca="1">_xludf.IFNA(_xlfn.XLOOKUP(C12,'00_SKU_Master'!$B$2:$B$378,'00_SKU_Master'!$F$2:$F$378,0)*AB12,"")</f>
        <v>#NAME?</v>
      </c>
      <c r="H10" s="552" t="e">
        <f ca="1">_xludf.IFNA(_xlfn.XLOOKUP(C12,'00_SKU_Master'!$B$2:$B$378,'00_SKU_Master'!$F$2:$F$378,0)*AC12,"")</f>
        <v>#NAME?</v>
      </c>
      <c r="I10" s="552" t="e">
        <f ca="1">_xludf.IFNA(_xlfn.XLOOKUP(C12,'00_SKU_Master'!$B$2:$B$378,'00_SKU_Master'!$F$2:$F$378,0)*AD12,"")</f>
        <v>#NAME?</v>
      </c>
      <c r="J10" s="552" t="e">
        <f ca="1">_xludf.IFNA(_xlfn.XLOOKUP(C12,'00_SKU_Master'!$B$2:$B$378,'00_SKU_Master'!$F$2:$F$378,0)*AE12,"")</f>
        <v>#NAME?</v>
      </c>
      <c r="K10" s="553" t="e">
        <f t="shared" ca="1" si="1"/>
        <v>#NAME?</v>
      </c>
      <c r="L10" s="187" t="e">
        <f>_xlfn.XLOOKUP(C12,'00_SKU_Master'!$B$2:$B$378,'00_SKU_Master'!K:K)</f>
        <v>#VALUE!</v>
      </c>
      <c r="M10" s="14">
        <f t="shared" si="2"/>
        <v>1837</v>
      </c>
      <c r="N10" s="147" t="e">
        <f ca="1">_xludf.IFNA(D12/_xlfn.XLOOKUP($M12,'00_SKU_Master'!$B$2:$B$378,'00_SKU_Master'!$M$2:$M$378,0)/$M$2,"0")</f>
        <v>#NAME?</v>
      </c>
      <c r="O10" s="147" t="e">
        <f ca="1">_xludf.IFNA(E12/_xlfn.XLOOKUP($M12,'00_SKU_Master'!$B$2:$B$378,'00_SKU_Master'!$M$2:$M$378,0)/$M$2,"0")</f>
        <v>#NAME?</v>
      </c>
      <c r="P10" s="147" t="e">
        <f ca="1">_xludf.IFNA(F12/_xlfn.XLOOKUP($M12,'00_SKU_Master'!$B$2:$B$378,'00_SKU_Master'!$M$2:$M$378,0)/$M$2,"0")</f>
        <v>#NAME?</v>
      </c>
      <c r="Q10" s="147" t="e">
        <f ca="1">_xludf.IFNA(G12/_xlfn.XLOOKUP($M12,'00_SKU_Master'!$B$2:$B$378,'00_SKU_Master'!$M$2:$M$378,0)/$M$2,"0")</f>
        <v>#NAME?</v>
      </c>
      <c r="R10" s="147" t="e">
        <f ca="1">_xludf.IFNA(H12/_xlfn.XLOOKUP($M12,'00_SKU_Master'!$B$2:$B$378,'00_SKU_Master'!$M$2:$M$378,0)/$M$2,"0")</f>
        <v>#NAME?</v>
      </c>
      <c r="S10" s="147" t="e">
        <f ca="1">_xludf.IFNA(I12/_xlfn.XLOOKUP($M12,'00_SKU_Master'!$B$2:$B$378,'00_SKU_Master'!$M$2:$M$378,0)/$M$2,"0")</f>
        <v>#NAME?</v>
      </c>
      <c r="T10" s="147" t="e">
        <f ca="1">_xludf.IFNA(J12/_xlfn.XLOOKUP($M12,'00_SKU_Master'!$B$2:$B$378,'00_SKU_Master'!$M$2:$M$378,0)/$M$2,"0")</f>
        <v>#NAME?</v>
      </c>
      <c r="U10" s="147" t="e">
        <f t="shared" ca="1" si="3"/>
        <v>#NAME?</v>
      </c>
      <c r="V10" s="4"/>
      <c r="W10" s="4" t="e">
        <f>_xlfn.XLOOKUP(M12,'00_SKU_Master'!$B$2:$B$378,'00_SKU_Master'!D:D)</f>
        <v>#VALUE!</v>
      </c>
      <c r="X10" s="14">
        <f>'05_Daily_Orders'!B11</f>
        <v>1830</v>
      </c>
      <c r="Y10" s="554"/>
      <c r="Z10" s="555"/>
      <c r="AA10" s="555"/>
      <c r="AB10" s="555"/>
      <c r="AC10" s="555">
        <v>12</v>
      </c>
      <c r="AD10" s="555">
        <v>0</v>
      </c>
      <c r="AE10" s="555">
        <v>25</v>
      </c>
      <c r="AF10" s="553">
        <f t="shared" si="4"/>
        <v>330</v>
      </c>
      <c r="AH10" s="14">
        <v>2511</v>
      </c>
      <c r="AI10" s="14">
        <v>0</v>
      </c>
      <c r="AJ10" s="14">
        <v>10</v>
      </c>
      <c r="AK10" s="14">
        <v>7</v>
      </c>
      <c r="AL10" s="14">
        <v>7</v>
      </c>
      <c r="AM10" s="14">
        <v>10</v>
      </c>
      <c r="AN10" s="14">
        <v>0</v>
      </c>
      <c r="AO10" s="14">
        <v>0</v>
      </c>
      <c r="AQ10" s="23">
        <v>0</v>
      </c>
      <c r="AR10" s="23">
        <v>20</v>
      </c>
      <c r="AS10" s="23">
        <f t="shared" si="5"/>
        <v>62</v>
      </c>
    </row>
    <row r="11" spans="1:45">
      <c r="A11" s="138">
        <f>_xlfn.XLOOKUP(C13,'00_SKU_Master'!$B$2:$B$378,'00_SKU_Master'!$C$2:$C$378)</f>
        <v>61040</v>
      </c>
      <c r="B11" s="138"/>
      <c r="C11" s="138">
        <f t="shared" si="0"/>
        <v>1838</v>
      </c>
      <c r="D11" s="552" t="e">
        <f ca="1">_xludf.IFNA(_xlfn.XLOOKUP(C13,'00_SKU_Master'!$B$2:$B$378,'00_SKU_Master'!$F$2:$F$378,0)*Y13,"")</f>
        <v>#NAME?</v>
      </c>
      <c r="E11" s="552" t="e">
        <f ca="1">_xludf.IFNA(_xlfn.XLOOKUP(C13,'00_SKU_Master'!$B$2:$B$378,'00_SKU_Master'!$F$2:$F$378,0)*Z13,"")</f>
        <v>#NAME?</v>
      </c>
      <c r="F11" s="552" t="e">
        <f ca="1">_xludf.IFNA(_xlfn.XLOOKUP(C13,'00_SKU_Master'!$B$2:$B$378,'00_SKU_Master'!$F$2:$F$378,0)*AA13,"")</f>
        <v>#NAME?</v>
      </c>
      <c r="G11" s="552" t="e">
        <f ca="1">_xludf.IFNA(_xlfn.XLOOKUP(C13,'00_SKU_Master'!$B$2:$B$378,'00_SKU_Master'!$F$2:$F$378,0)*AB13,"")</f>
        <v>#NAME?</v>
      </c>
      <c r="H11" s="552" t="e">
        <f ca="1">_xludf.IFNA(_xlfn.XLOOKUP(C13,'00_SKU_Master'!$B$2:$B$378,'00_SKU_Master'!$F$2:$F$378,0)*AC13,"")</f>
        <v>#NAME?</v>
      </c>
      <c r="I11" s="552" t="e">
        <f ca="1">_xludf.IFNA(_xlfn.XLOOKUP(C13,'00_SKU_Master'!$B$2:$B$378,'00_SKU_Master'!$F$2:$F$378,0)*AD13,"")</f>
        <v>#NAME?</v>
      </c>
      <c r="J11" s="552" t="e">
        <f ca="1">_xludf.IFNA(_xlfn.XLOOKUP(C13,'00_SKU_Master'!$B$2:$B$378,'00_SKU_Master'!$F$2:$F$378,0)*AE13,"")</f>
        <v>#NAME?</v>
      </c>
      <c r="K11" s="553" t="e">
        <f t="shared" ca="1" si="1"/>
        <v>#NAME?</v>
      </c>
      <c r="L11" s="187" t="e">
        <f>_xlfn.XLOOKUP(C13,'00_SKU_Master'!$B$2:$B$378,'00_SKU_Master'!K:K)</f>
        <v>#VALUE!</v>
      </c>
      <c r="M11" s="14">
        <f t="shared" si="2"/>
        <v>1838</v>
      </c>
      <c r="N11" s="147" t="e">
        <f ca="1">_xludf.IFNA(D13/_xlfn.XLOOKUP($M13,'00_SKU_Master'!$B$2:$B$378,'00_SKU_Master'!$M$2:$M$378,0)/$M$2,"0")</f>
        <v>#NAME?</v>
      </c>
      <c r="O11" s="147" t="e">
        <f ca="1">_xludf.IFNA(E13/_xlfn.XLOOKUP($M13,'00_SKU_Master'!$B$2:$B$378,'00_SKU_Master'!$M$2:$M$378,0)/$M$2,"0")</f>
        <v>#NAME?</v>
      </c>
      <c r="P11" s="147" t="e">
        <f ca="1">_xludf.IFNA(F13/_xlfn.XLOOKUP($M13,'00_SKU_Master'!$B$2:$B$378,'00_SKU_Master'!$M$2:$M$378,0)/$M$2,"0")</f>
        <v>#NAME?</v>
      </c>
      <c r="Q11" s="147" t="e">
        <f ca="1">_xludf.IFNA(G13/_xlfn.XLOOKUP($M13,'00_SKU_Master'!$B$2:$B$378,'00_SKU_Master'!$M$2:$M$378,0)/$M$2,"0")</f>
        <v>#NAME?</v>
      </c>
      <c r="R11" s="147" t="e">
        <f ca="1">_xludf.IFNA(H13/_xlfn.XLOOKUP($M13,'00_SKU_Master'!$B$2:$B$378,'00_SKU_Master'!$M$2:$M$378,0)/$M$2,"0")</f>
        <v>#NAME?</v>
      </c>
      <c r="S11" s="147" t="e">
        <f ca="1">_xludf.IFNA(I13/_xlfn.XLOOKUP($M13,'00_SKU_Master'!$B$2:$B$378,'00_SKU_Master'!$M$2:$M$378,0)/$M$2,"0")</f>
        <v>#NAME?</v>
      </c>
      <c r="T11" s="147" t="e">
        <f ca="1">_xludf.IFNA(J13/_xlfn.XLOOKUP($M13,'00_SKU_Master'!$B$2:$B$378,'00_SKU_Master'!$M$2:$M$378,0)/$M$2,"0")</f>
        <v>#NAME?</v>
      </c>
      <c r="U11" s="147" t="e">
        <f t="shared" ca="1" si="3"/>
        <v>#NAME?</v>
      </c>
      <c r="V11" s="4"/>
      <c r="W11" s="4" t="e">
        <f>_xlfn.XLOOKUP(M13,'00_SKU_Master'!$B$2:$B$378,'00_SKU_Master'!D:D)</f>
        <v>#VALUE!</v>
      </c>
      <c r="X11" s="14">
        <f>'05_Daily_Orders'!B12</f>
        <v>1831</v>
      </c>
      <c r="Y11" s="554"/>
      <c r="Z11" s="555"/>
      <c r="AA11" s="555"/>
      <c r="AB11" s="555"/>
      <c r="AC11" s="555">
        <v>29</v>
      </c>
      <c r="AD11" s="555">
        <v>0</v>
      </c>
      <c r="AE11" s="555">
        <v>82</v>
      </c>
      <c r="AF11" s="553">
        <f t="shared" si="4"/>
        <v>0</v>
      </c>
      <c r="AH11" s="14">
        <v>1077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Q11" s="23">
        <v>61</v>
      </c>
      <c r="AR11" s="23">
        <v>0</v>
      </c>
      <c r="AS11" s="23">
        <f t="shared" si="5"/>
        <v>0</v>
      </c>
    </row>
    <row r="12" spans="1:45">
      <c r="A12" s="138">
        <f>_xlfn.XLOOKUP(C14,'00_SKU_Master'!$B$2:$B$378,'00_SKU_Master'!$C$2:$C$378)</f>
        <v>61014</v>
      </c>
      <c r="B12" s="138"/>
      <c r="C12" s="138">
        <f t="shared" si="0"/>
        <v>1839</v>
      </c>
      <c r="D12" s="552" t="e">
        <f ca="1">_xludf.IFNA(_xlfn.XLOOKUP(C14,'00_SKU_Master'!$B$2:$B$378,'00_SKU_Master'!$F$2:$F$378,0)*Y14,"")</f>
        <v>#NAME?</v>
      </c>
      <c r="E12" s="552" t="e">
        <f ca="1">_xludf.IFNA(_xlfn.XLOOKUP(C14,'00_SKU_Master'!$B$2:$B$378,'00_SKU_Master'!$F$2:$F$378,0)*Z14,"")</f>
        <v>#NAME?</v>
      </c>
      <c r="F12" s="552" t="e">
        <f ca="1">_xludf.IFNA(_xlfn.XLOOKUP(C14,'00_SKU_Master'!$B$2:$B$378,'00_SKU_Master'!$F$2:$F$378,0)*AA14,"")</f>
        <v>#NAME?</v>
      </c>
      <c r="G12" s="552" t="e">
        <f ca="1">_xludf.IFNA(_xlfn.XLOOKUP(C14,'00_SKU_Master'!$B$2:$B$378,'00_SKU_Master'!$F$2:$F$378,0)*AB14,"")</f>
        <v>#NAME?</v>
      </c>
      <c r="H12" s="552" t="e">
        <f ca="1">_xludf.IFNA(_xlfn.XLOOKUP(C14,'00_SKU_Master'!$B$2:$B$378,'00_SKU_Master'!$F$2:$F$378,0)*AC14,"")</f>
        <v>#NAME?</v>
      </c>
      <c r="I12" s="552" t="e">
        <f ca="1">_xludf.IFNA(_xlfn.XLOOKUP(C14,'00_SKU_Master'!$B$2:$B$378,'00_SKU_Master'!$F$2:$F$378,0)*AD14,"")</f>
        <v>#NAME?</v>
      </c>
      <c r="J12" s="552" t="e">
        <f ca="1">_xludf.IFNA(_xlfn.XLOOKUP(C14,'00_SKU_Master'!$B$2:$B$378,'00_SKU_Master'!$F$2:$F$378,0)*AE14,"")</f>
        <v>#NAME?</v>
      </c>
      <c r="K12" s="553" t="e">
        <f t="shared" ca="1" si="1"/>
        <v>#NAME?</v>
      </c>
      <c r="L12" s="187" t="e">
        <f>_xlfn.XLOOKUP(C14,'00_SKU_Master'!$B$2:$B$378,'00_SKU_Master'!K:K)</f>
        <v>#VALUE!</v>
      </c>
      <c r="M12" s="14">
        <f t="shared" si="2"/>
        <v>1839</v>
      </c>
      <c r="N12" s="147" t="e">
        <f ca="1">_xludf.IFNA(D14/_xlfn.XLOOKUP($M14,'00_SKU_Master'!$B$2:$B$378,'00_SKU_Master'!$M$2:$M$378,0)/$M$2,"0")</f>
        <v>#NAME?</v>
      </c>
      <c r="O12" s="147" t="e">
        <f ca="1">_xludf.IFNA(E14/_xlfn.XLOOKUP($M14,'00_SKU_Master'!$B$2:$B$378,'00_SKU_Master'!$M$2:$M$378,0)/$M$2,"0")</f>
        <v>#NAME?</v>
      </c>
      <c r="P12" s="147" t="e">
        <f ca="1">_xludf.IFNA(F14/_xlfn.XLOOKUP($M14,'00_SKU_Master'!$B$2:$B$378,'00_SKU_Master'!$M$2:$M$378,0)/$M$2,"0")</f>
        <v>#NAME?</v>
      </c>
      <c r="Q12" s="147" t="e">
        <f ca="1">_xludf.IFNA(G14/_xlfn.XLOOKUP($M14,'00_SKU_Master'!$B$2:$B$378,'00_SKU_Master'!$M$2:$M$378,0)/$M$2,"0")</f>
        <v>#NAME?</v>
      </c>
      <c r="R12" s="147" t="e">
        <f ca="1">_xludf.IFNA(H14/_xlfn.XLOOKUP($M14,'00_SKU_Master'!$B$2:$B$378,'00_SKU_Master'!$M$2:$M$378,0)/$M$2,"0")</f>
        <v>#NAME?</v>
      </c>
      <c r="S12" s="147" t="e">
        <f ca="1">_xludf.IFNA(I14/_xlfn.XLOOKUP($M14,'00_SKU_Master'!$B$2:$B$378,'00_SKU_Master'!$M$2:$M$378,0)/$M$2,"0")</f>
        <v>#NAME?</v>
      </c>
      <c r="T12" s="147" t="e">
        <f ca="1">_xludf.IFNA(J14/_xlfn.XLOOKUP($M14,'00_SKU_Master'!$B$2:$B$378,'00_SKU_Master'!$M$2:$M$378,0)/$M$2,"0")</f>
        <v>#NAME?</v>
      </c>
      <c r="U12" s="147" t="e">
        <f t="shared" ca="1" si="3"/>
        <v>#NAME?</v>
      </c>
      <c r="V12" s="4"/>
      <c r="W12" s="4" t="e">
        <f>_xlfn.XLOOKUP(M14,'00_SKU_Master'!$B$2:$B$378,'00_SKU_Master'!D:D)</f>
        <v>#VALUE!</v>
      </c>
      <c r="X12" s="14">
        <f>'05_Daily_Orders'!B13</f>
        <v>1837</v>
      </c>
      <c r="Y12" s="554"/>
      <c r="Z12" s="555"/>
      <c r="AA12" s="555"/>
      <c r="AB12" s="555"/>
      <c r="AC12" s="555">
        <v>213</v>
      </c>
      <c r="AD12" s="555">
        <v>0</v>
      </c>
      <c r="AE12" s="555">
        <v>117</v>
      </c>
      <c r="AF12" s="553">
        <f t="shared" si="4"/>
        <v>0</v>
      </c>
      <c r="AH12" s="14">
        <v>1078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Q12" s="23">
        <v>0</v>
      </c>
      <c r="AR12" s="23">
        <v>62</v>
      </c>
      <c r="AS12" s="23">
        <f t="shared" si="5"/>
        <v>0</v>
      </c>
    </row>
    <row r="13" spans="1:45">
      <c r="A13" s="138">
        <f>_xlfn.XLOOKUP(C15,'00_SKU_Master'!$B$2:$B$378,'00_SKU_Master'!$C$2:$C$378)</f>
        <v>61050</v>
      </c>
      <c r="B13" s="138"/>
      <c r="C13" s="138">
        <f t="shared" si="0"/>
        <v>1842</v>
      </c>
      <c r="D13" s="552" t="e">
        <f ca="1">_xludf.IFNA(_xlfn.XLOOKUP(C15,'00_SKU_Master'!$B$2:$B$378,'00_SKU_Master'!$F$2:$F$378,0)*Y15,"")</f>
        <v>#NAME?</v>
      </c>
      <c r="E13" s="552" t="e">
        <f ca="1">_xludf.IFNA(_xlfn.XLOOKUP(C15,'00_SKU_Master'!$B$2:$B$378,'00_SKU_Master'!$F$2:$F$378,0)*Z15,"")</f>
        <v>#NAME?</v>
      </c>
      <c r="F13" s="552" t="e">
        <f ca="1">_xludf.IFNA(_xlfn.XLOOKUP(C15,'00_SKU_Master'!$B$2:$B$378,'00_SKU_Master'!$F$2:$F$378,0)*AA15,"")</f>
        <v>#NAME?</v>
      </c>
      <c r="G13" s="552" t="e">
        <f ca="1">_xludf.IFNA(_xlfn.XLOOKUP(C15,'00_SKU_Master'!$B$2:$B$378,'00_SKU_Master'!$F$2:$F$378,0)*AB15,"")</f>
        <v>#NAME?</v>
      </c>
      <c r="H13" s="552" t="e">
        <f ca="1">_xludf.IFNA(_xlfn.XLOOKUP(C15,'00_SKU_Master'!$B$2:$B$378,'00_SKU_Master'!$F$2:$F$378,0)*AC15,"")</f>
        <v>#NAME?</v>
      </c>
      <c r="I13" s="552" t="e">
        <f ca="1">_xludf.IFNA(_xlfn.XLOOKUP(C15,'00_SKU_Master'!$B$2:$B$378,'00_SKU_Master'!$F$2:$F$378,0)*AD15,"")</f>
        <v>#NAME?</v>
      </c>
      <c r="J13" s="552" t="e">
        <f ca="1">_xludf.IFNA(_xlfn.XLOOKUP(C15,'00_SKU_Master'!$B$2:$B$378,'00_SKU_Master'!$F$2:$F$378,0)*AE15,"")</f>
        <v>#NAME?</v>
      </c>
      <c r="K13" s="553" t="e">
        <f t="shared" ca="1" si="1"/>
        <v>#NAME?</v>
      </c>
      <c r="L13" s="187" t="e">
        <f>_xlfn.XLOOKUP(C15,'00_SKU_Master'!$B$2:$B$378,'00_SKU_Master'!K:K)</f>
        <v>#VALUE!</v>
      </c>
      <c r="M13" s="14">
        <f t="shared" si="2"/>
        <v>1842</v>
      </c>
      <c r="N13" s="147" t="e">
        <f ca="1">_xludf.IFNA(D15/_xlfn.XLOOKUP($M15,'00_SKU_Master'!$B$2:$B$378,'00_SKU_Master'!$M$2:$M$378,0)/$M$2,"0")</f>
        <v>#NAME?</v>
      </c>
      <c r="O13" s="147" t="e">
        <f ca="1">_xludf.IFNA(E15/_xlfn.XLOOKUP($M15,'00_SKU_Master'!$B$2:$B$378,'00_SKU_Master'!$M$2:$M$378,0)/$M$2,"0")</f>
        <v>#NAME?</v>
      </c>
      <c r="P13" s="147" t="e">
        <f ca="1">_xludf.IFNA(F15/_xlfn.XLOOKUP($M15,'00_SKU_Master'!$B$2:$B$378,'00_SKU_Master'!$M$2:$M$378,0)/$M$2,"0")</f>
        <v>#NAME?</v>
      </c>
      <c r="Q13" s="147" t="e">
        <f ca="1">_xludf.IFNA(G15/_xlfn.XLOOKUP($M15,'00_SKU_Master'!$B$2:$B$378,'00_SKU_Master'!$M$2:$M$378,0)/$M$2,"0")</f>
        <v>#NAME?</v>
      </c>
      <c r="R13" s="147" t="e">
        <f ca="1">_xludf.IFNA(H15/_xlfn.XLOOKUP($M15,'00_SKU_Master'!$B$2:$B$378,'00_SKU_Master'!$M$2:$M$378,0)/$M$2,"0")</f>
        <v>#NAME?</v>
      </c>
      <c r="S13" s="147" t="e">
        <f ca="1">_xludf.IFNA(I15/_xlfn.XLOOKUP($M15,'00_SKU_Master'!$B$2:$B$378,'00_SKU_Master'!$M$2:$M$378,0)/$M$2,"0")</f>
        <v>#NAME?</v>
      </c>
      <c r="T13" s="147" t="e">
        <f ca="1">_xludf.IFNA(J15/_xlfn.XLOOKUP($M15,'00_SKU_Master'!$B$2:$B$378,'00_SKU_Master'!$M$2:$M$378,0)/$M$2,"0")</f>
        <v>#NAME?</v>
      </c>
      <c r="U13" s="147" t="e">
        <f t="shared" ca="1" si="3"/>
        <v>#NAME?</v>
      </c>
      <c r="V13" s="4"/>
      <c r="W13" s="4" t="e">
        <f>_xlfn.XLOOKUP(M15,'00_SKU_Master'!$B$2:$B$378,'00_SKU_Master'!D:D)</f>
        <v>#VALUE!</v>
      </c>
      <c r="X13" s="14">
        <f>'05_Daily_Orders'!B14</f>
        <v>1838</v>
      </c>
      <c r="Y13" s="554"/>
      <c r="Z13" s="555"/>
      <c r="AA13" s="555"/>
      <c r="AB13" s="555"/>
      <c r="AC13" s="555">
        <v>0</v>
      </c>
      <c r="AD13" s="555">
        <v>0</v>
      </c>
      <c r="AE13" s="555">
        <v>0</v>
      </c>
      <c r="AF13" s="553">
        <f t="shared" si="4"/>
        <v>0</v>
      </c>
      <c r="AH13" s="14">
        <v>1080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Q13" s="23">
        <v>0</v>
      </c>
      <c r="AR13" s="23">
        <v>0</v>
      </c>
      <c r="AS13" s="23">
        <f t="shared" si="5"/>
        <v>0</v>
      </c>
    </row>
    <row r="14" spans="1:45">
      <c r="A14" s="138" t="str">
        <f>_xlfn.XLOOKUP(C16,'00_SKU_Master'!$B$2:$B$378,'00_SKU_Master'!$C$2:$C$378)</f>
        <v>61072#2</v>
      </c>
      <c r="B14" s="138"/>
      <c r="C14" s="138">
        <f t="shared" si="0"/>
        <v>1843</v>
      </c>
      <c r="D14" s="552" t="e">
        <f ca="1">_xludf.IFNA(_xlfn.XLOOKUP(C16,'00_SKU_Master'!$B$2:$B$378,'00_SKU_Master'!$F$2:$F$378,0)*Y16,"")</f>
        <v>#NAME?</v>
      </c>
      <c r="E14" s="552" t="e">
        <f ca="1">_xludf.IFNA(_xlfn.XLOOKUP(C16,'00_SKU_Master'!$B$2:$B$378,'00_SKU_Master'!$F$2:$F$378,0)*Z16,"")</f>
        <v>#NAME?</v>
      </c>
      <c r="F14" s="552" t="e">
        <f ca="1">_xludf.IFNA(_xlfn.XLOOKUP(C16,'00_SKU_Master'!$B$2:$B$378,'00_SKU_Master'!$F$2:$F$378,0)*AA16,"")</f>
        <v>#NAME?</v>
      </c>
      <c r="G14" s="552" t="e">
        <f ca="1">_xludf.IFNA(_xlfn.XLOOKUP(C16,'00_SKU_Master'!$B$2:$B$378,'00_SKU_Master'!$F$2:$F$378,0)*AB16,"")</f>
        <v>#NAME?</v>
      </c>
      <c r="H14" s="552" t="e">
        <f ca="1">_xludf.IFNA(_xlfn.XLOOKUP(C16,'00_SKU_Master'!$B$2:$B$378,'00_SKU_Master'!$F$2:$F$378,0)*AC16,"")</f>
        <v>#NAME?</v>
      </c>
      <c r="I14" s="552" t="e">
        <f ca="1">_xludf.IFNA(_xlfn.XLOOKUP(C16,'00_SKU_Master'!$B$2:$B$378,'00_SKU_Master'!$F$2:$F$378,0)*AD16,"")</f>
        <v>#NAME?</v>
      </c>
      <c r="J14" s="552" t="e">
        <f ca="1">_xludf.IFNA(_xlfn.XLOOKUP(C16,'00_SKU_Master'!$B$2:$B$378,'00_SKU_Master'!$F$2:$F$378,0)*AE16,"")</f>
        <v>#NAME?</v>
      </c>
      <c r="K14" s="553" t="e">
        <f t="shared" ca="1" si="1"/>
        <v>#NAME?</v>
      </c>
      <c r="L14" s="187" t="e">
        <f>_xlfn.XLOOKUP(C16,'00_SKU_Master'!$B$2:$B$378,'00_SKU_Master'!K:K)</f>
        <v>#VALUE!</v>
      </c>
      <c r="M14" s="14">
        <f t="shared" si="2"/>
        <v>1843</v>
      </c>
      <c r="N14" s="147" t="e">
        <f ca="1">_xludf.IFNA(D16/_xlfn.XLOOKUP($M16,'00_SKU_Master'!$B$2:$B$378,'00_SKU_Master'!$M$2:$M$378,0)/$M$2,"0")</f>
        <v>#NAME?</v>
      </c>
      <c r="O14" s="147" t="e">
        <f ca="1">_xludf.IFNA(E16/_xlfn.XLOOKUP($M16,'00_SKU_Master'!$B$2:$B$378,'00_SKU_Master'!$M$2:$M$378,0)/$M$2,"0")</f>
        <v>#NAME?</v>
      </c>
      <c r="P14" s="147" t="e">
        <f ca="1">_xludf.IFNA(F16/_xlfn.XLOOKUP($M16,'00_SKU_Master'!$B$2:$B$378,'00_SKU_Master'!$M$2:$M$378,0)/$M$2,"0")</f>
        <v>#NAME?</v>
      </c>
      <c r="Q14" s="147" t="e">
        <f ca="1">_xludf.IFNA(G16/_xlfn.XLOOKUP($M16,'00_SKU_Master'!$B$2:$B$378,'00_SKU_Master'!$M$2:$M$378,0)/$M$2,"0")</f>
        <v>#NAME?</v>
      </c>
      <c r="R14" s="147" t="e">
        <f ca="1">_xludf.IFNA(H16/_xlfn.XLOOKUP($M16,'00_SKU_Master'!$B$2:$B$378,'00_SKU_Master'!$M$2:$M$378,0)/$M$2,"0")</f>
        <v>#NAME?</v>
      </c>
      <c r="S14" s="147" t="e">
        <f ca="1">_xludf.IFNA(I16/_xlfn.XLOOKUP($M16,'00_SKU_Master'!$B$2:$B$378,'00_SKU_Master'!$M$2:$M$378,0)/$M$2,"0")</f>
        <v>#NAME?</v>
      </c>
      <c r="T14" s="147" t="e">
        <f ca="1">_xludf.IFNA(J16/_xlfn.XLOOKUP($M16,'00_SKU_Master'!$B$2:$B$378,'00_SKU_Master'!$M$2:$M$378,0)/$M$2,"0")</f>
        <v>#NAME?</v>
      </c>
      <c r="U14" s="147" t="e">
        <f t="shared" ca="1" si="3"/>
        <v>#NAME?</v>
      </c>
      <c r="V14" s="4"/>
      <c r="W14" s="4" t="e">
        <f>_xlfn.XLOOKUP(M16,'00_SKU_Master'!$B$2:$B$378,'00_SKU_Master'!D:D)</f>
        <v>#VALUE!</v>
      </c>
      <c r="X14" s="14">
        <f>'05_Daily_Orders'!B15</f>
        <v>1839</v>
      </c>
      <c r="Y14" s="554"/>
      <c r="Z14" s="555"/>
      <c r="AA14" s="555"/>
      <c r="AB14" s="555"/>
      <c r="AC14" s="555">
        <v>0</v>
      </c>
      <c r="AD14" s="555">
        <v>0</v>
      </c>
      <c r="AE14" s="555">
        <v>0</v>
      </c>
      <c r="AF14" s="553">
        <f t="shared" si="4"/>
        <v>0</v>
      </c>
      <c r="AH14" s="14">
        <v>1574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Q14" s="23">
        <v>0</v>
      </c>
      <c r="AR14" s="23">
        <v>0</v>
      </c>
      <c r="AS14" s="23">
        <f t="shared" si="5"/>
        <v>0</v>
      </c>
    </row>
    <row r="15" spans="1:45">
      <c r="A15" s="138">
        <f>_xlfn.XLOOKUP(C17,'00_SKU_Master'!$B$2:$B$378,'00_SKU_Master'!$C$2:$C$378)</f>
        <v>61082</v>
      </c>
      <c r="B15" s="138"/>
      <c r="C15" s="138">
        <f t="shared" si="0"/>
        <v>1874</v>
      </c>
      <c r="D15" s="552" t="e">
        <f ca="1">_xludf.IFNA(_xlfn.XLOOKUP(C17,'00_SKU_Master'!$B$2:$B$378,'00_SKU_Master'!$F$2:$F$378,0)*Y17,"")</f>
        <v>#NAME?</v>
      </c>
      <c r="E15" s="552" t="e">
        <f ca="1">_xludf.IFNA(_xlfn.XLOOKUP(C17,'00_SKU_Master'!$B$2:$B$378,'00_SKU_Master'!$F$2:$F$378,0)*Z17,"")</f>
        <v>#NAME?</v>
      </c>
      <c r="F15" s="552" t="e">
        <f ca="1">_xludf.IFNA(_xlfn.XLOOKUP(C17,'00_SKU_Master'!$B$2:$B$378,'00_SKU_Master'!$F$2:$F$378,0)*AA17,"")</f>
        <v>#NAME?</v>
      </c>
      <c r="G15" s="552" t="e">
        <f ca="1">_xludf.IFNA(_xlfn.XLOOKUP(C17,'00_SKU_Master'!$B$2:$B$378,'00_SKU_Master'!$F$2:$F$378,0)*AB17,"")</f>
        <v>#NAME?</v>
      </c>
      <c r="H15" s="552" t="e">
        <f ca="1">_xludf.IFNA(_xlfn.XLOOKUP(C17,'00_SKU_Master'!$B$2:$B$378,'00_SKU_Master'!$F$2:$F$378,0)*AC17,"")</f>
        <v>#NAME?</v>
      </c>
      <c r="I15" s="552" t="e">
        <f ca="1">_xludf.IFNA(_xlfn.XLOOKUP(C17,'00_SKU_Master'!$B$2:$B$378,'00_SKU_Master'!$F$2:$F$378,0)*AD17,"")</f>
        <v>#NAME?</v>
      </c>
      <c r="J15" s="552" t="e">
        <f ca="1">_xludf.IFNA(_xlfn.XLOOKUP(C17,'00_SKU_Master'!$B$2:$B$378,'00_SKU_Master'!$F$2:$F$378,0)*AE17,"")</f>
        <v>#NAME?</v>
      </c>
      <c r="K15" s="553" t="e">
        <f t="shared" ca="1" si="1"/>
        <v>#NAME?</v>
      </c>
      <c r="L15" s="187" t="e">
        <f>_xlfn.XLOOKUP(C17,'00_SKU_Master'!$B$2:$B$378,'00_SKU_Master'!K:K)</f>
        <v>#VALUE!</v>
      </c>
      <c r="M15" s="14">
        <f t="shared" si="2"/>
        <v>1874</v>
      </c>
      <c r="N15" s="147" t="e">
        <f ca="1">_xludf.IFNA(D17/_xlfn.XLOOKUP($M17,'00_SKU_Master'!$B$2:$B$378,'00_SKU_Master'!$M$2:$M$378,0)/$M$2,"0")</f>
        <v>#NAME?</v>
      </c>
      <c r="O15" s="147" t="e">
        <f ca="1">_xludf.IFNA(E17/_xlfn.XLOOKUP($M17,'00_SKU_Master'!$B$2:$B$378,'00_SKU_Master'!$M$2:$M$378,0)/$M$2,"0")</f>
        <v>#NAME?</v>
      </c>
      <c r="P15" s="147" t="e">
        <f ca="1">_xludf.IFNA(F17/_xlfn.XLOOKUP($M17,'00_SKU_Master'!$B$2:$B$378,'00_SKU_Master'!$M$2:$M$378,0)/$M$2,"0")</f>
        <v>#NAME?</v>
      </c>
      <c r="Q15" s="147" t="e">
        <f ca="1">_xludf.IFNA(G17/_xlfn.XLOOKUP($M17,'00_SKU_Master'!$B$2:$B$378,'00_SKU_Master'!$M$2:$M$378,0)/$M$2,"0")</f>
        <v>#NAME?</v>
      </c>
      <c r="R15" s="147" t="e">
        <f ca="1">_xludf.IFNA(H17/_xlfn.XLOOKUP($M17,'00_SKU_Master'!$B$2:$B$378,'00_SKU_Master'!$M$2:$M$378,0)/$M$2,"0")</f>
        <v>#NAME?</v>
      </c>
      <c r="S15" s="147" t="e">
        <f ca="1">_xludf.IFNA(I17/_xlfn.XLOOKUP($M17,'00_SKU_Master'!$B$2:$B$378,'00_SKU_Master'!$M$2:$M$378,0)/$M$2,"0")</f>
        <v>#NAME?</v>
      </c>
      <c r="T15" s="147" t="e">
        <f ca="1">_xludf.IFNA(J17/_xlfn.XLOOKUP($M17,'00_SKU_Master'!$B$2:$B$378,'00_SKU_Master'!$M$2:$M$378,0)/$M$2,"0")</f>
        <v>#NAME?</v>
      </c>
      <c r="U15" s="147" t="e">
        <f t="shared" ca="1" si="3"/>
        <v>#NAME?</v>
      </c>
      <c r="V15" s="4"/>
      <c r="W15" s="4" t="e">
        <f>_xlfn.XLOOKUP(M17,'00_SKU_Master'!$B$2:$B$378,'00_SKU_Master'!D:D)</f>
        <v>#VALUE!</v>
      </c>
      <c r="X15" s="14">
        <f>'05_Daily_Orders'!B16</f>
        <v>1842</v>
      </c>
      <c r="Y15" s="554"/>
      <c r="Z15" s="555"/>
      <c r="AA15" s="555"/>
      <c r="AB15" s="555"/>
      <c r="AC15" s="555">
        <v>0</v>
      </c>
      <c r="AD15" s="555">
        <v>0</v>
      </c>
      <c r="AE15" s="555">
        <v>0</v>
      </c>
      <c r="AF15" s="553">
        <f t="shared" si="4"/>
        <v>0</v>
      </c>
      <c r="AH15" s="14">
        <v>2112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Q15" s="23">
        <v>0</v>
      </c>
      <c r="AR15" s="23">
        <v>0</v>
      </c>
      <c r="AS15" s="23">
        <f t="shared" si="5"/>
        <v>0</v>
      </c>
    </row>
    <row r="16" spans="1:45">
      <c r="A16" s="138" t="str">
        <f>_xlfn.XLOOKUP(C18,'00_SKU_Master'!$B$2:$B$378,'00_SKU_Master'!$C$2:$C$378)</f>
        <v>61040#2</v>
      </c>
      <c r="B16" s="138"/>
      <c r="C16" s="138">
        <f t="shared" si="0"/>
        <v>1876</v>
      </c>
      <c r="D16" s="552" t="e">
        <f ca="1">_xludf.IFNA(_xlfn.XLOOKUP(C18,'00_SKU_Master'!$B$2:$B$378,'00_SKU_Master'!$F$2:$F$378,0)*Y18,"")</f>
        <v>#NAME?</v>
      </c>
      <c r="E16" s="552" t="e">
        <f ca="1">_xludf.IFNA(_xlfn.XLOOKUP(C18,'00_SKU_Master'!$B$2:$B$378,'00_SKU_Master'!$F$2:$F$378,0)*Z18,"")</f>
        <v>#NAME?</v>
      </c>
      <c r="F16" s="552" t="e">
        <f ca="1">_xludf.IFNA(_xlfn.XLOOKUP(C18,'00_SKU_Master'!$B$2:$B$378,'00_SKU_Master'!$F$2:$F$378,0)*AA18,"")</f>
        <v>#NAME?</v>
      </c>
      <c r="G16" s="552" t="e">
        <f ca="1">_xludf.IFNA(_xlfn.XLOOKUP(C18,'00_SKU_Master'!$B$2:$B$378,'00_SKU_Master'!$F$2:$F$378,0)*AB18,"")</f>
        <v>#NAME?</v>
      </c>
      <c r="H16" s="552" t="e">
        <f ca="1">_xludf.IFNA(_xlfn.XLOOKUP(C18,'00_SKU_Master'!$B$2:$B$378,'00_SKU_Master'!$F$2:$F$378,0)*AC18,"")</f>
        <v>#NAME?</v>
      </c>
      <c r="I16" s="552" t="e">
        <f ca="1">_xludf.IFNA(_xlfn.XLOOKUP(C18,'00_SKU_Master'!$B$2:$B$378,'00_SKU_Master'!$F$2:$F$378,0)*AD18,"")</f>
        <v>#NAME?</v>
      </c>
      <c r="J16" s="552" t="e">
        <f ca="1">_xludf.IFNA(_xlfn.XLOOKUP(C18,'00_SKU_Master'!$B$2:$B$378,'00_SKU_Master'!$F$2:$F$378,0)*AE18,"")</f>
        <v>#NAME?</v>
      </c>
      <c r="K16" s="553" t="e">
        <f t="shared" ca="1" si="1"/>
        <v>#NAME?</v>
      </c>
      <c r="L16" s="187" t="e">
        <f>_xlfn.XLOOKUP(C18,'00_SKU_Master'!$B$2:$B$378,'00_SKU_Master'!K:K)</f>
        <v>#VALUE!</v>
      </c>
      <c r="M16" s="14">
        <f t="shared" si="2"/>
        <v>1876</v>
      </c>
      <c r="N16" s="147" t="e">
        <f ca="1">_xludf.IFNA(D18/_xlfn.XLOOKUP($M18,'00_SKU_Master'!$B$2:$B$378,'00_SKU_Master'!$M$2:$M$378,0)/$M$2,"0")</f>
        <v>#NAME?</v>
      </c>
      <c r="O16" s="147" t="e">
        <f ca="1">_xludf.IFNA(E18/_xlfn.XLOOKUP($M18,'00_SKU_Master'!$B$2:$B$378,'00_SKU_Master'!$M$2:$M$378,0)/$M$2,"0")</f>
        <v>#NAME?</v>
      </c>
      <c r="P16" s="147" t="e">
        <f ca="1">_xludf.IFNA(F18/_xlfn.XLOOKUP($M18,'00_SKU_Master'!$B$2:$B$378,'00_SKU_Master'!$M$2:$M$378,0)/$M$2,"0")</f>
        <v>#NAME?</v>
      </c>
      <c r="Q16" s="147" t="e">
        <f ca="1">_xludf.IFNA(G18/_xlfn.XLOOKUP($M18,'00_SKU_Master'!$B$2:$B$378,'00_SKU_Master'!$M$2:$M$378,0)/$M$2,"0")</f>
        <v>#NAME?</v>
      </c>
      <c r="R16" s="147" t="e">
        <f ca="1">_xludf.IFNA(H18/_xlfn.XLOOKUP($M18,'00_SKU_Master'!$B$2:$B$378,'00_SKU_Master'!$M$2:$M$378,0)/$M$2,"0")</f>
        <v>#NAME?</v>
      </c>
      <c r="S16" s="147" t="e">
        <f ca="1">_xludf.IFNA(I18/_xlfn.XLOOKUP($M18,'00_SKU_Master'!$B$2:$B$378,'00_SKU_Master'!$M$2:$M$378,0)/$M$2,"0")</f>
        <v>#NAME?</v>
      </c>
      <c r="T16" s="147" t="e">
        <f ca="1">_xludf.IFNA(J18/_xlfn.XLOOKUP($M18,'00_SKU_Master'!$B$2:$B$378,'00_SKU_Master'!$M$2:$M$378,0)/$M$2,"0")</f>
        <v>#NAME?</v>
      </c>
      <c r="U16" s="147" t="e">
        <f t="shared" ca="1" si="3"/>
        <v>#NAME?</v>
      </c>
      <c r="V16" s="4"/>
      <c r="W16" s="4" t="e">
        <f>_xlfn.XLOOKUP(M18,'00_SKU_Master'!$B$2:$B$378,'00_SKU_Master'!D:D)</f>
        <v>#VALUE!</v>
      </c>
      <c r="X16" s="14">
        <f>'05_Daily_Orders'!B17</f>
        <v>1843</v>
      </c>
      <c r="Y16" s="554"/>
      <c r="Z16" s="555"/>
      <c r="AA16" s="555"/>
      <c r="AB16" s="555"/>
      <c r="AC16" s="555">
        <v>0</v>
      </c>
      <c r="AD16" s="555">
        <v>0</v>
      </c>
      <c r="AE16" s="555">
        <v>0</v>
      </c>
      <c r="AF16" s="553">
        <f t="shared" si="4"/>
        <v>0</v>
      </c>
      <c r="AH16" s="14">
        <v>2513</v>
      </c>
      <c r="AI16" s="14">
        <v>0</v>
      </c>
      <c r="AJ16" s="14">
        <v>100</v>
      </c>
      <c r="AK16" s="14">
        <v>0</v>
      </c>
      <c r="AL16" s="14">
        <v>0</v>
      </c>
      <c r="AM16" s="14">
        <v>80</v>
      </c>
      <c r="AN16" s="14">
        <v>0</v>
      </c>
      <c r="AO16" s="14">
        <v>0</v>
      </c>
      <c r="AQ16" s="23">
        <v>0</v>
      </c>
      <c r="AR16" s="23">
        <v>0</v>
      </c>
      <c r="AS16" s="23">
        <f t="shared" si="5"/>
        <v>0</v>
      </c>
    </row>
    <row r="17" spans="1:45">
      <c r="A17" s="138" t="str">
        <f>_xlfn.XLOOKUP(C19,'00_SKU_Master'!$B$2:$B$378,'00_SKU_Master'!$C$2:$C$378)</f>
        <v>61050#2</v>
      </c>
      <c r="B17" s="138"/>
      <c r="C17" s="138">
        <f t="shared" si="0"/>
        <v>1877</v>
      </c>
      <c r="D17" s="552" t="e">
        <f ca="1">_xludf.IFNA(_xlfn.XLOOKUP(C19,'00_SKU_Master'!$B$2:$B$378,'00_SKU_Master'!$F$2:$F$378,0)*Y19,"")</f>
        <v>#NAME?</v>
      </c>
      <c r="E17" s="552" t="e">
        <f ca="1">_xludf.IFNA(_xlfn.XLOOKUP(C19,'00_SKU_Master'!$B$2:$B$378,'00_SKU_Master'!$F$2:$F$378,0)*Z19,"")</f>
        <v>#NAME?</v>
      </c>
      <c r="F17" s="552" t="e">
        <f ca="1">_xludf.IFNA(_xlfn.XLOOKUP(C19,'00_SKU_Master'!$B$2:$B$378,'00_SKU_Master'!$F$2:$F$378,0)*AA19,"")</f>
        <v>#NAME?</v>
      </c>
      <c r="G17" s="552" t="e">
        <f ca="1">_xludf.IFNA(_xlfn.XLOOKUP(C19,'00_SKU_Master'!$B$2:$B$378,'00_SKU_Master'!$F$2:$F$378,0)*AB19,"")</f>
        <v>#NAME?</v>
      </c>
      <c r="H17" s="552" t="e">
        <f ca="1">_xludf.IFNA(_xlfn.XLOOKUP(C19,'00_SKU_Master'!$B$2:$B$378,'00_SKU_Master'!$F$2:$F$378,0)*AC19,"")</f>
        <v>#NAME?</v>
      </c>
      <c r="I17" s="552" t="e">
        <f ca="1">_xludf.IFNA(_xlfn.XLOOKUP(C19,'00_SKU_Master'!$B$2:$B$378,'00_SKU_Master'!$F$2:$F$378,0)*AD19,"")</f>
        <v>#NAME?</v>
      </c>
      <c r="J17" s="552" t="e">
        <f ca="1">_xludf.IFNA(_xlfn.XLOOKUP(C19,'00_SKU_Master'!$B$2:$B$378,'00_SKU_Master'!$F$2:$F$378,0)*AE19,"")</f>
        <v>#NAME?</v>
      </c>
      <c r="K17" s="553" t="e">
        <f t="shared" ca="1" si="1"/>
        <v>#NAME?</v>
      </c>
      <c r="L17" s="187" t="e">
        <f>_xlfn.XLOOKUP(C19,'00_SKU_Master'!$B$2:$B$378,'00_SKU_Master'!K:K)</f>
        <v>#VALUE!</v>
      </c>
      <c r="M17" s="14">
        <f t="shared" si="2"/>
        <v>1877</v>
      </c>
      <c r="N17" s="147" t="e">
        <f ca="1">_xludf.IFNA(D19/_xlfn.XLOOKUP($M19,'00_SKU_Master'!$B$2:$B$378,'00_SKU_Master'!$M$2:$M$378,0)/$M$2,"0")</f>
        <v>#NAME?</v>
      </c>
      <c r="O17" s="147" t="e">
        <f ca="1">_xludf.IFNA(E19/_xlfn.XLOOKUP($M19,'00_SKU_Master'!$B$2:$B$378,'00_SKU_Master'!$M$2:$M$378,0)/$M$2,"0")</f>
        <v>#NAME?</v>
      </c>
      <c r="P17" s="147" t="e">
        <f ca="1">_xludf.IFNA(F19/_xlfn.XLOOKUP($M19,'00_SKU_Master'!$B$2:$B$378,'00_SKU_Master'!$M$2:$M$378,0)/$M$2,"0")</f>
        <v>#NAME?</v>
      </c>
      <c r="Q17" s="147" t="e">
        <f ca="1">_xludf.IFNA(G19/_xlfn.XLOOKUP($M19,'00_SKU_Master'!$B$2:$B$378,'00_SKU_Master'!$M$2:$M$378,0)/$M$2,"0")</f>
        <v>#NAME?</v>
      </c>
      <c r="R17" s="147" t="e">
        <f ca="1">_xludf.IFNA(H19/_xlfn.XLOOKUP($M19,'00_SKU_Master'!$B$2:$B$378,'00_SKU_Master'!$M$2:$M$378,0)/$M$2,"0")</f>
        <v>#NAME?</v>
      </c>
      <c r="S17" s="147" t="e">
        <f ca="1">_xludf.IFNA(I19/_xlfn.XLOOKUP($M19,'00_SKU_Master'!$B$2:$B$378,'00_SKU_Master'!$M$2:$M$378,0)/$M$2,"0")</f>
        <v>#NAME?</v>
      </c>
      <c r="T17" s="147" t="e">
        <f ca="1">_xludf.IFNA(J19/_xlfn.XLOOKUP($M19,'00_SKU_Master'!$B$2:$B$378,'00_SKU_Master'!$M$2:$M$378,0)/$M$2,"0")</f>
        <v>#NAME?</v>
      </c>
      <c r="U17" s="147" t="e">
        <f t="shared" ca="1" si="3"/>
        <v>#NAME?</v>
      </c>
      <c r="V17" s="4"/>
      <c r="W17" s="4" t="e">
        <f>_xlfn.XLOOKUP(M19,'00_SKU_Master'!$B$2:$B$378,'00_SKU_Master'!D:D)</f>
        <v>#VALUE!</v>
      </c>
      <c r="X17" s="14">
        <f>'05_Daily_Orders'!B18</f>
        <v>1874</v>
      </c>
      <c r="Y17" s="554"/>
      <c r="Z17" s="555"/>
      <c r="AA17" s="555"/>
      <c r="AB17" s="555"/>
      <c r="AC17" s="555">
        <v>0</v>
      </c>
      <c r="AD17" s="555">
        <v>0</v>
      </c>
      <c r="AE17" s="555">
        <v>0</v>
      </c>
      <c r="AF17" s="553">
        <f t="shared" si="4"/>
        <v>221</v>
      </c>
      <c r="AH17" s="14">
        <v>7011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Q17" s="23">
        <v>0</v>
      </c>
      <c r="AR17" s="23">
        <v>0</v>
      </c>
      <c r="AS17" s="23">
        <f t="shared" si="5"/>
        <v>-26</v>
      </c>
    </row>
    <row r="18" spans="1:45">
      <c r="A18" s="138" t="str">
        <f>_xlfn.XLOOKUP(C20,'00_SKU_Master'!$B$2:$B$378,'00_SKU_Master'!$C$2:$C$378)</f>
        <v>61048#2</v>
      </c>
      <c r="B18" s="138"/>
      <c r="C18" s="138">
        <f t="shared" si="0"/>
        <v>1878</v>
      </c>
      <c r="D18" s="552" t="e">
        <f ca="1">_xludf.IFNA(_xlfn.XLOOKUP(C20,'00_SKU_Master'!$B$2:$B$378,'00_SKU_Master'!$F$2:$F$378,0)*Y20,"")</f>
        <v>#NAME?</v>
      </c>
      <c r="E18" s="552" t="e">
        <f ca="1">_xludf.IFNA(_xlfn.XLOOKUP(C20,'00_SKU_Master'!$B$2:$B$378,'00_SKU_Master'!$F$2:$F$378,0)*Z20,"")</f>
        <v>#NAME?</v>
      </c>
      <c r="F18" s="552" t="e">
        <f ca="1">_xludf.IFNA(_xlfn.XLOOKUP(C20,'00_SKU_Master'!$B$2:$B$378,'00_SKU_Master'!$F$2:$F$378,0)*AA20,"")</f>
        <v>#NAME?</v>
      </c>
      <c r="G18" s="552" t="e">
        <f ca="1">_xludf.IFNA(_xlfn.XLOOKUP(C20,'00_SKU_Master'!$B$2:$B$378,'00_SKU_Master'!$F$2:$F$378,0)*AB20,"")</f>
        <v>#NAME?</v>
      </c>
      <c r="H18" s="552" t="e">
        <f ca="1">_xludf.IFNA(_xlfn.XLOOKUP(C20,'00_SKU_Master'!$B$2:$B$378,'00_SKU_Master'!$F$2:$F$378,0)*AC20,"")</f>
        <v>#NAME?</v>
      </c>
      <c r="I18" s="552" t="e">
        <f ca="1">_xludf.IFNA(_xlfn.XLOOKUP(C20,'00_SKU_Master'!$B$2:$B$378,'00_SKU_Master'!$F$2:$F$378,0)*AD20,"")</f>
        <v>#NAME?</v>
      </c>
      <c r="J18" s="552" t="e">
        <f ca="1">_xludf.IFNA(_xlfn.XLOOKUP(C20,'00_SKU_Master'!$B$2:$B$378,'00_SKU_Master'!$F$2:$F$378,0)*AE20,"")</f>
        <v>#NAME?</v>
      </c>
      <c r="K18" s="553" t="e">
        <f t="shared" ca="1" si="1"/>
        <v>#NAME?</v>
      </c>
      <c r="L18" s="187" t="e">
        <f>_xlfn.XLOOKUP(C20,'00_SKU_Master'!$B$2:$B$378,'00_SKU_Master'!K:K)</f>
        <v>#VALUE!</v>
      </c>
      <c r="M18" s="14">
        <f t="shared" si="2"/>
        <v>1878</v>
      </c>
      <c r="N18" s="147" t="e">
        <f ca="1">_xludf.IFNA(D20/_xlfn.XLOOKUP($M20,'00_SKU_Master'!$B$2:$B$378,'00_SKU_Master'!$M$2:$M$378,0)/$M$2,"0")</f>
        <v>#NAME?</v>
      </c>
      <c r="O18" s="147" t="e">
        <f ca="1">_xludf.IFNA(E20/_xlfn.XLOOKUP($M20,'00_SKU_Master'!$B$2:$B$378,'00_SKU_Master'!$M$2:$M$378,0)/$M$2,"0")</f>
        <v>#NAME?</v>
      </c>
      <c r="P18" s="147" t="e">
        <f ca="1">_xludf.IFNA(F20/_xlfn.XLOOKUP($M20,'00_SKU_Master'!$B$2:$B$378,'00_SKU_Master'!$M$2:$M$378,0)/$M$2,"0")</f>
        <v>#NAME?</v>
      </c>
      <c r="Q18" s="147" t="e">
        <f ca="1">_xludf.IFNA(G20/_xlfn.XLOOKUP($M20,'00_SKU_Master'!$B$2:$B$378,'00_SKU_Master'!$M$2:$M$378,0)/$M$2,"0")</f>
        <v>#NAME?</v>
      </c>
      <c r="R18" s="147" t="e">
        <f ca="1">_xludf.IFNA(H20/_xlfn.XLOOKUP($M20,'00_SKU_Master'!$B$2:$B$378,'00_SKU_Master'!$M$2:$M$378,0)/$M$2,"0")</f>
        <v>#NAME?</v>
      </c>
      <c r="S18" s="147" t="e">
        <f ca="1">_xludf.IFNA(I20/_xlfn.XLOOKUP($M20,'00_SKU_Master'!$B$2:$B$378,'00_SKU_Master'!$M$2:$M$378,0)/$M$2,"0")</f>
        <v>#NAME?</v>
      </c>
      <c r="T18" s="147" t="e">
        <f ca="1">_xludf.IFNA(J20/_xlfn.XLOOKUP($M20,'00_SKU_Master'!$B$2:$B$378,'00_SKU_Master'!$M$2:$M$378,0)/$M$2,"0")</f>
        <v>#NAME?</v>
      </c>
      <c r="U18" s="147" t="e">
        <f t="shared" ca="1" si="3"/>
        <v>#NAME?</v>
      </c>
      <c r="V18" s="4"/>
      <c r="W18" s="4" t="e">
        <f>_xlfn.XLOOKUP(M20,'00_SKU_Master'!$B$2:$B$378,'00_SKU_Master'!D:D)</f>
        <v>#VALUE!</v>
      </c>
      <c r="X18" s="14">
        <f>'05_Daily_Orders'!B19</f>
        <v>1876</v>
      </c>
      <c r="Y18" s="554"/>
      <c r="Z18" s="555"/>
      <c r="AA18" s="555"/>
      <c r="AB18" s="555"/>
      <c r="AC18" s="555">
        <v>0</v>
      </c>
      <c r="AD18" s="555">
        <v>0</v>
      </c>
      <c r="AE18" s="555">
        <v>0</v>
      </c>
      <c r="AF18" s="553">
        <f t="shared" si="4"/>
        <v>279</v>
      </c>
      <c r="AH18" s="14">
        <v>7170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Q18" s="23">
        <v>0</v>
      </c>
      <c r="AR18" s="23">
        <v>0</v>
      </c>
      <c r="AS18" s="23">
        <f t="shared" si="5"/>
        <v>28</v>
      </c>
    </row>
    <row r="19" spans="1:45">
      <c r="A19" s="138" t="str">
        <f>_xlfn.XLOOKUP(C21,'00_SKU_Master'!$B$2:$B$378,'00_SKU_Master'!$C$2:$C$378)</f>
        <v>61048#2</v>
      </c>
      <c r="B19" s="138"/>
      <c r="C19" s="138">
        <f t="shared" si="0"/>
        <v>1881</v>
      </c>
      <c r="D19" s="552" t="e">
        <f ca="1">_xludf.IFNA(_xlfn.XLOOKUP(C21,'00_SKU_Master'!$B$2:$B$378,'00_SKU_Master'!$F$2:$F$378,0)*Y21,"")</f>
        <v>#NAME?</v>
      </c>
      <c r="E19" s="552" t="e">
        <f ca="1">_xludf.IFNA(_xlfn.XLOOKUP(C21,'00_SKU_Master'!$B$2:$B$378,'00_SKU_Master'!$F$2:$F$378,0)*Z21,"")</f>
        <v>#NAME?</v>
      </c>
      <c r="F19" s="552" t="e">
        <f ca="1">_xludf.IFNA(_xlfn.XLOOKUP(C21,'00_SKU_Master'!$B$2:$B$378,'00_SKU_Master'!$F$2:$F$378,0)*AA21,"")</f>
        <v>#NAME?</v>
      </c>
      <c r="G19" s="552" t="e">
        <f ca="1">_xludf.IFNA(_xlfn.XLOOKUP(C21,'00_SKU_Master'!$B$2:$B$378,'00_SKU_Master'!$F$2:$F$378,0)*AB21,"")</f>
        <v>#NAME?</v>
      </c>
      <c r="H19" s="552" t="e">
        <f ca="1">_xludf.IFNA(_xlfn.XLOOKUP(C21,'00_SKU_Master'!$B$2:$B$378,'00_SKU_Master'!$F$2:$F$378,0)*AC21,"")</f>
        <v>#NAME?</v>
      </c>
      <c r="I19" s="552" t="e">
        <f ca="1">_xludf.IFNA(_xlfn.XLOOKUP(C21,'00_SKU_Master'!$B$2:$B$378,'00_SKU_Master'!$F$2:$F$378,0)*AD21,"")</f>
        <v>#NAME?</v>
      </c>
      <c r="J19" s="552" t="e">
        <f ca="1">_xludf.IFNA(_xlfn.XLOOKUP(C21,'00_SKU_Master'!$B$2:$B$378,'00_SKU_Master'!$F$2:$F$378,0)*AE21,"")</f>
        <v>#NAME?</v>
      </c>
      <c r="K19" s="553" t="e">
        <f t="shared" ca="1" si="1"/>
        <v>#NAME?</v>
      </c>
      <c r="L19" s="187" t="e">
        <f>_xlfn.XLOOKUP(C21,'00_SKU_Master'!$B$2:$B$378,'00_SKU_Master'!K:K)</f>
        <v>#VALUE!</v>
      </c>
      <c r="M19" s="14">
        <f t="shared" si="2"/>
        <v>1881</v>
      </c>
      <c r="N19" s="147" t="e">
        <f ca="1">_xludf.IFNA(D21/_xlfn.XLOOKUP($M21,'00_SKU_Master'!$B$2:$B$378,'00_SKU_Master'!$M$2:$M$378,0)/$M$2,"0")</f>
        <v>#NAME?</v>
      </c>
      <c r="O19" s="147" t="e">
        <f ca="1">_xludf.IFNA(E21/_xlfn.XLOOKUP($M21,'00_SKU_Master'!$B$2:$B$378,'00_SKU_Master'!$M$2:$M$378,0)/$M$2,"0")</f>
        <v>#NAME?</v>
      </c>
      <c r="P19" s="147" t="e">
        <f ca="1">_xludf.IFNA(F21/_xlfn.XLOOKUP($M21,'00_SKU_Master'!$B$2:$B$378,'00_SKU_Master'!$M$2:$M$378,0)/$M$2,"0")</f>
        <v>#NAME?</v>
      </c>
      <c r="Q19" s="147" t="e">
        <f ca="1">_xludf.IFNA(G21/_xlfn.XLOOKUP($M21,'00_SKU_Master'!$B$2:$B$378,'00_SKU_Master'!$M$2:$M$378,0)/$M$2,"0")</f>
        <v>#NAME?</v>
      </c>
      <c r="R19" s="147" t="e">
        <f ca="1">_xludf.IFNA(H21/_xlfn.XLOOKUP($M21,'00_SKU_Master'!$B$2:$B$378,'00_SKU_Master'!$M$2:$M$378,0)/$M$2,"0")</f>
        <v>#NAME?</v>
      </c>
      <c r="S19" s="147" t="e">
        <f ca="1">_xludf.IFNA(I21/_xlfn.XLOOKUP($M21,'00_SKU_Master'!$B$2:$B$378,'00_SKU_Master'!$M$2:$M$378,0)/$M$2,"0")</f>
        <v>#NAME?</v>
      </c>
      <c r="T19" s="147" t="e">
        <f ca="1">_xludf.IFNA(J21/_xlfn.XLOOKUP($M21,'00_SKU_Master'!$B$2:$B$378,'00_SKU_Master'!$M$2:$M$378,0)/$M$2,"0")</f>
        <v>#NAME?</v>
      </c>
      <c r="U19" s="147" t="e">
        <f t="shared" ca="1" si="3"/>
        <v>#NAME?</v>
      </c>
      <c r="V19" s="4"/>
      <c r="W19" s="4" t="e">
        <f>_xlfn.XLOOKUP(M21,'00_SKU_Master'!$B$2:$B$378,'00_SKU_Master'!D:D)</f>
        <v>#VALUE!</v>
      </c>
      <c r="X19" s="14">
        <f>'05_Daily_Orders'!B20</f>
        <v>1877</v>
      </c>
      <c r="Y19" s="554"/>
      <c r="Z19" s="555"/>
      <c r="AA19" s="555"/>
      <c r="AB19" s="555"/>
      <c r="AC19" s="555">
        <v>106</v>
      </c>
      <c r="AD19" s="555">
        <v>0</v>
      </c>
      <c r="AE19" s="555">
        <v>115</v>
      </c>
      <c r="AF19" s="553">
        <f t="shared" si="4"/>
        <v>78</v>
      </c>
      <c r="AH19" s="14">
        <v>7176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Q19" s="23">
        <v>26</v>
      </c>
      <c r="AR19" s="23">
        <v>0</v>
      </c>
      <c r="AS19" s="23">
        <f t="shared" si="5"/>
        <v>0</v>
      </c>
    </row>
    <row r="20" spans="1:45">
      <c r="A20" s="138" t="str">
        <f>_xlfn.XLOOKUP(C22,'00_SKU_Master'!$B$2:$B$378,'00_SKU_Master'!$C$2:$C$378)</f>
        <v>61050#2</v>
      </c>
      <c r="B20" s="138"/>
      <c r="C20" s="138">
        <f t="shared" si="0"/>
        <v>2030</v>
      </c>
      <c r="D20" s="552" t="e">
        <f ca="1">_xludf.IFNA(_xlfn.XLOOKUP(C22,'00_SKU_Master'!$B$2:$B$378,'00_SKU_Master'!$F$2:$F$378,0)*Y22,"")</f>
        <v>#NAME?</v>
      </c>
      <c r="E20" s="552" t="e">
        <f ca="1">_xludf.IFNA(_xlfn.XLOOKUP(C22,'00_SKU_Master'!$B$2:$B$378,'00_SKU_Master'!$F$2:$F$378,0)*Z22,"")</f>
        <v>#NAME?</v>
      </c>
      <c r="F20" s="552" t="e">
        <f ca="1">_xludf.IFNA(_xlfn.XLOOKUP(C22,'00_SKU_Master'!$B$2:$B$378,'00_SKU_Master'!$F$2:$F$378,0)*AA22,"")</f>
        <v>#NAME?</v>
      </c>
      <c r="G20" s="552" t="e">
        <f ca="1">_xludf.IFNA(_xlfn.XLOOKUP(C22,'00_SKU_Master'!$B$2:$B$378,'00_SKU_Master'!$F$2:$F$378,0)*AB22,"")</f>
        <v>#NAME?</v>
      </c>
      <c r="H20" s="552" t="e">
        <f ca="1">_xludf.IFNA(_xlfn.XLOOKUP(C22,'00_SKU_Master'!$B$2:$B$378,'00_SKU_Master'!$F$2:$F$378,0)*AC22,"")</f>
        <v>#NAME?</v>
      </c>
      <c r="I20" s="552" t="e">
        <f ca="1">_xludf.IFNA(_xlfn.XLOOKUP(C22,'00_SKU_Master'!$B$2:$B$378,'00_SKU_Master'!$F$2:$F$378,0)*AD22,"")</f>
        <v>#NAME?</v>
      </c>
      <c r="J20" s="552" t="e">
        <f ca="1">_xludf.IFNA(_xlfn.XLOOKUP(C22,'00_SKU_Master'!$B$2:$B$378,'00_SKU_Master'!$F$2:$F$378,0)*AE22,"")</f>
        <v>#NAME?</v>
      </c>
      <c r="K20" s="553" t="e">
        <f t="shared" ca="1" si="1"/>
        <v>#NAME?</v>
      </c>
      <c r="L20" s="187" t="e">
        <f>_xlfn.XLOOKUP(C22,'00_SKU_Master'!$B$2:$B$378,'00_SKU_Master'!K:K)</f>
        <v>#VALUE!</v>
      </c>
      <c r="M20" s="14">
        <f t="shared" si="2"/>
        <v>2030</v>
      </c>
      <c r="N20" s="147" t="e">
        <f ca="1">_xludf.IFNA(D22/_xlfn.XLOOKUP($M22,'00_SKU_Master'!$B$2:$B$378,'00_SKU_Master'!$M$2:$M$378,0)/$M$2,"0")</f>
        <v>#NAME?</v>
      </c>
      <c r="O20" s="147" t="e">
        <f ca="1">_xludf.IFNA(E22/_xlfn.XLOOKUP($M22,'00_SKU_Master'!$B$2:$B$378,'00_SKU_Master'!$M$2:$M$378,0)/$M$2,"0")</f>
        <v>#NAME?</v>
      </c>
      <c r="P20" s="147" t="e">
        <f ca="1">_xludf.IFNA(F22/_xlfn.XLOOKUP($M22,'00_SKU_Master'!$B$2:$B$378,'00_SKU_Master'!$M$2:$M$378,0)/$M$2,"0")</f>
        <v>#NAME?</v>
      </c>
      <c r="Q20" s="147" t="e">
        <f ca="1">_xludf.IFNA(G22/_xlfn.XLOOKUP($M22,'00_SKU_Master'!$B$2:$B$378,'00_SKU_Master'!$M$2:$M$378,0)/$M$2,"0")</f>
        <v>#NAME?</v>
      </c>
      <c r="R20" s="147" t="e">
        <f ca="1">_xludf.IFNA(H22/_xlfn.XLOOKUP($M22,'00_SKU_Master'!$B$2:$B$378,'00_SKU_Master'!$M$2:$M$378,0)/$M$2,"0")</f>
        <v>#NAME?</v>
      </c>
      <c r="S20" s="147" t="e">
        <f ca="1">_xludf.IFNA(I22/_xlfn.XLOOKUP($M22,'00_SKU_Master'!$B$2:$B$378,'00_SKU_Master'!$M$2:$M$378,0)/$M$2,"0")</f>
        <v>#NAME?</v>
      </c>
      <c r="T20" s="147" t="e">
        <f ca="1">_xludf.IFNA(J22/_xlfn.XLOOKUP($M22,'00_SKU_Master'!$B$2:$B$378,'00_SKU_Master'!$M$2:$M$378,0)/$M$2,"0")</f>
        <v>#NAME?</v>
      </c>
      <c r="U20" s="147" t="e">
        <f t="shared" ca="1" si="3"/>
        <v>#NAME?</v>
      </c>
      <c r="V20" s="4"/>
      <c r="W20" s="4" t="e">
        <f>_xlfn.XLOOKUP(M22,'00_SKU_Master'!$B$2:$B$378,'00_SKU_Master'!D:D)</f>
        <v>#VALUE!</v>
      </c>
      <c r="X20" s="14">
        <f>'05_Daily_Orders'!B21</f>
        <v>1878</v>
      </c>
      <c r="Y20" s="554"/>
      <c r="Z20" s="555"/>
      <c r="AA20" s="555"/>
      <c r="AB20" s="555"/>
      <c r="AC20" s="555">
        <v>151</v>
      </c>
      <c r="AD20" s="555">
        <v>0</v>
      </c>
      <c r="AE20" s="555">
        <v>128</v>
      </c>
      <c r="AF20" s="553">
        <f t="shared" si="4"/>
        <v>0</v>
      </c>
      <c r="AH20" s="14"/>
      <c r="AI20" s="14"/>
      <c r="AJ20" s="14"/>
      <c r="AK20" s="14"/>
      <c r="AL20" s="14"/>
      <c r="AM20" s="14"/>
      <c r="AN20" s="14"/>
      <c r="AO20" s="14"/>
      <c r="AQ20" s="23">
        <v>0</v>
      </c>
      <c r="AR20" s="23">
        <v>28</v>
      </c>
      <c r="AS20" s="23">
        <f t="shared" si="5"/>
        <v>0</v>
      </c>
    </row>
    <row r="21" spans="1:45">
      <c r="A21" s="138" t="str">
        <f>_xlfn.XLOOKUP(C23,'00_SKU_Master'!$B$2:$B$378,'00_SKU_Master'!$C$2:$C$378)</f>
        <v>61050#2</v>
      </c>
      <c r="B21" s="138"/>
      <c r="C21" s="138">
        <f t="shared" si="0"/>
        <v>2031</v>
      </c>
      <c r="D21" s="552" t="e">
        <f ca="1">_xludf.IFNA(_xlfn.XLOOKUP(C23,'00_SKU_Master'!$B$2:$B$378,'00_SKU_Master'!$F$2:$F$378,0)*Y23,"")</f>
        <v>#NAME?</v>
      </c>
      <c r="E21" s="552" t="e">
        <f ca="1">_xludf.IFNA(_xlfn.XLOOKUP(C23,'00_SKU_Master'!$B$2:$B$378,'00_SKU_Master'!$F$2:$F$378,0)*Z23,"")</f>
        <v>#NAME?</v>
      </c>
      <c r="F21" s="552" t="e">
        <f ca="1">_xludf.IFNA(_xlfn.XLOOKUP(C23,'00_SKU_Master'!$B$2:$B$378,'00_SKU_Master'!$F$2:$F$378,0)*AA23,"")</f>
        <v>#NAME?</v>
      </c>
      <c r="G21" s="552" t="e">
        <f ca="1">_xludf.IFNA(_xlfn.XLOOKUP(C23,'00_SKU_Master'!$B$2:$B$378,'00_SKU_Master'!$F$2:$F$378,0)*AB23,"")</f>
        <v>#NAME?</v>
      </c>
      <c r="H21" s="552" t="e">
        <f ca="1">_xludf.IFNA(_xlfn.XLOOKUP(C23,'00_SKU_Master'!$B$2:$B$378,'00_SKU_Master'!$F$2:$F$378,0)*AC23,"")</f>
        <v>#NAME?</v>
      </c>
      <c r="I21" s="552" t="e">
        <f ca="1">_xludf.IFNA(_xlfn.XLOOKUP(C23,'00_SKU_Master'!$B$2:$B$378,'00_SKU_Master'!$F$2:$F$378,0)*AD23,"")</f>
        <v>#NAME?</v>
      </c>
      <c r="J21" s="552" t="e">
        <f ca="1">_xludf.IFNA(_xlfn.XLOOKUP(C23,'00_SKU_Master'!$B$2:$B$378,'00_SKU_Master'!$F$2:$F$378,0)*AE23,"")</f>
        <v>#NAME?</v>
      </c>
      <c r="K21" s="553" t="e">
        <f t="shared" ca="1" si="1"/>
        <v>#NAME?</v>
      </c>
      <c r="L21" s="187" t="e">
        <f>_xlfn.XLOOKUP(C23,'00_SKU_Master'!$B$2:$B$378,'00_SKU_Master'!K:K)</f>
        <v>#VALUE!</v>
      </c>
      <c r="M21" s="14">
        <f t="shared" si="2"/>
        <v>2031</v>
      </c>
      <c r="N21" s="147" t="e">
        <f ca="1">_xludf.IFNA(D23/_xlfn.XLOOKUP($M23,'00_SKU_Master'!$B$2:$B$378,'00_SKU_Master'!$M$2:$M$378,0)/$M$2,"0")</f>
        <v>#NAME?</v>
      </c>
      <c r="O21" s="147" t="e">
        <f ca="1">_xludf.IFNA(E23/_xlfn.XLOOKUP($M23,'00_SKU_Master'!$B$2:$B$378,'00_SKU_Master'!$M$2:$M$378,0)/$M$2,"0")</f>
        <v>#NAME?</v>
      </c>
      <c r="P21" s="147" t="e">
        <f ca="1">_xludf.IFNA(F23/_xlfn.XLOOKUP($M23,'00_SKU_Master'!$B$2:$B$378,'00_SKU_Master'!$M$2:$M$378,0)/$M$2,"0")</f>
        <v>#NAME?</v>
      </c>
      <c r="Q21" s="147" t="e">
        <f ca="1">_xludf.IFNA(G23/_xlfn.XLOOKUP($M23,'00_SKU_Master'!$B$2:$B$378,'00_SKU_Master'!$M$2:$M$378,0)/$M$2,"0")</f>
        <v>#NAME?</v>
      </c>
      <c r="R21" s="147" t="e">
        <f ca="1">_xludf.IFNA(H23/_xlfn.XLOOKUP($M23,'00_SKU_Master'!$B$2:$B$378,'00_SKU_Master'!$M$2:$M$378,0)/$M$2,"0")</f>
        <v>#NAME?</v>
      </c>
      <c r="S21" s="147" t="e">
        <f ca="1">_xludf.IFNA(I23/_xlfn.XLOOKUP($M23,'00_SKU_Master'!$B$2:$B$378,'00_SKU_Master'!$M$2:$M$378,0)/$M$2,"0")</f>
        <v>#NAME?</v>
      </c>
      <c r="T21" s="147" t="e">
        <f ca="1">_xludf.IFNA(J23/_xlfn.XLOOKUP($M23,'00_SKU_Master'!$B$2:$B$378,'00_SKU_Master'!$M$2:$M$378,0)/$M$2,"0")</f>
        <v>#NAME?</v>
      </c>
      <c r="U21" s="147" t="e">
        <f t="shared" ca="1" si="3"/>
        <v>#NAME?</v>
      </c>
      <c r="V21" s="4"/>
      <c r="W21" s="4" t="e">
        <f>_xlfn.XLOOKUP(M23,'00_SKU_Master'!$B$2:$B$378,'00_SKU_Master'!D:D)</f>
        <v>#VALUE!</v>
      </c>
      <c r="X21" s="14">
        <f>'05_Daily_Orders'!B22</f>
        <v>1881</v>
      </c>
      <c r="Y21" s="554"/>
      <c r="Z21" s="555"/>
      <c r="AA21" s="555"/>
      <c r="AB21" s="555"/>
      <c r="AC21" s="555">
        <v>0</v>
      </c>
      <c r="AD21" s="555">
        <v>0</v>
      </c>
      <c r="AE21" s="555">
        <v>78</v>
      </c>
      <c r="AF21" s="553">
        <f t="shared" si="4"/>
        <v>0</v>
      </c>
      <c r="AH21" s="23"/>
      <c r="AI21" s="23"/>
      <c r="AJ21" s="23"/>
      <c r="AK21" s="23"/>
      <c r="AL21" s="23"/>
      <c r="AM21" s="23"/>
      <c r="AN21" s="23"/>
      <c r="AO21" s="23"/>
      <c r="AQ21" s="23">
        <v>0</v>
      </c>
      <c r="AR21" s="23">
        <v>0</v>
      </c>
      <c r="AS21" s="23">
        <f t="shared" si="5"/>
        <v>0</v>
      </c>
    </row>
    <row r="22" spans="1:45">
      <c r="A22" s="138">
        <f>_xlfn.XLOOKUP(C24,'00_SKU_Master'!$B$2:$B$378,'00_SKU_Master'!$C$2:$C$378)</f>
        <v>61104</v>
      </c>
      <c r="B22" s="138"/>
      <c r="C22" s="138">
        <f t="shared" si="0"/>
        <v>2042</v>
      </c>
      <c r="D22" s="552" t="e">
        <f ca="1">_xludf.IFNA(_xlfn.XLOOKUP(C24,'00_SKU_Master'!$B$2:$B$378,'00_SKU_Master'!$F$2:$F$378,0)*Y24,"")</f>
        <v>#NAME?</v>
      </c>
      <c r="E22" s="552" t="e">
        <f ca="1">_xludf.IFNA(_xlfn.XLOOKUP(C24,'00_SKU_Master'!$B$2:$B$378,'00_SKU_Master'!$F$2:$F$378,0)*Z24,"")</f>
        <v>#NAME?</v>
      </c>
      <c r="F22" s="552" t="e">
        <f ca="1">_xludf.IFNA(_xlfn.XLOOKUP(C24,'00_SKU_Master'!$B$2:$B$378,'00_SKU_Master'!$F$2:$F$378,0)*AA24,"")</f>
        <v>#NAME?</v>
      </c>
      <c r="G22" s="552" t="e">
        <f ca="1">_xludf.IFNA(_xlfn.XLOOKUP(C24,'00_SKU_Master'!$B$2:$B$378,'00_SKU_Master'!$F$2:$F$378,0)*AB24,"")</f>
        <v>#NAME?</v>
      </c>
      <c r="H22" s="552" t="e">
        <f ca="1">_xludf.IFNA(_xlfn.XLOOKUP(C24,'00_SKU_Master'!$B$2:$B$378,'00_SKU_Master'!$F$2:$F$378,0)*AC24,"")</f>
        <v>#NAME?</v>
      </c>
      <c r="I22" s="552" t="e">
        <f ca="1">_xludf.IFNA(_xlfn.XLOOKUP(C24,'00_SKU_Master'!$B$2:$B$378,'00_SKU_Master'!$F$2:$F$378,0)*AD24,"")</f>
        <v>#NAME?</v>
      </c>
      <c r="J22" s="552" t="e">
        <f ca="1">_xludf.IFNA(_xlfn.XLOOKUP(C24,'00_SKU_Master'!$B$2:$B$378,'00_SKU_Master'!$F$2:$F$378,0)*AE24,"")</f>
        <v>#NAME?</v>
      </c>
      <c r="K22" s="553" t="e">
        <f t="shared" ca="1" si="1"/>
        <v>#NAME?</v>
      </c>
      <c r="L22" s="187" t="e">
        <f>_xlfn.XLOOKUP(C24,'00_SKU_Master'!$B$2:$B$378,'00_SKU_Master'!K:K)</f>
        <v>#VALUE!</v>
      </c>
      <c r="M22" s="14">
        <f t="shared" si="2"/>
        <v>2042</v>
      </c>
      <c r="N22" s="147" t="e">
        <f ca="1">_xludf.IFNA(D24/_xlfn.XLOOKUP($M24,'00_SKU_Master'!$B$2:$B$378,'00_SKU_Master'!$M$2:$M$378,0)/$M$2,"0")</f>
        <v>#NAME?</v>
      </c>
      <c r="O22" s="147" t="e">
        <f ca="1">_xludf.IFNA(E24/_xlfn.XLOOKUP($M24,'00_SKU_Master'!$B$2:$B$378,'00_SKU_Master'!$M$2:$M$378,0)/$M$2,"0")</f>
        <v>#NAME?</v>
      </c>
      <c r="P22" s="147" t="e">
        <f ca="1">_xludf.IFNA(F24/_xlfn.XLOOKUP($M24,'00_SKU_Master'!$B$2:$B$378,'00_SKU_Master'!$M$2:$M$378,0)/$M$2,"0")</f>
        <v>#NAME?</v>
      </c>
      <c r="Q22" s="147" t="e">
        <f ca="1">_xludf.IFNA(G24/_xlfn.XLOOKUP($M24,'00_SKU_Master'!$B$2:$B$378,'00_SKU_Master'!$M$2:$M$378,0)/$M$2,"0")</f>
        <v>#NAME?</v>
      </c>
      <c r="R22" s="147" t="e">
        <f ca="1">_xludf.IFNA(H24/_xlfn.XLOOKUP($M24,'00_SKU_Master'!$B$2:$B$378,'00_SKU_Master'!$M$2:$M$378,0)/$M$2,"0")</f>
        <v>#NAME?</v>
      </c>
      <c r="S22" s="147" t="e">
        <f ca="1">_xludf.IFNA(I24/_xlfn.XLOOKUP($M24,'00_SKU_Master'!$B$2:$B$378,'00_SKU_Master'!$M$2:$M$378,0)/$M$2,"0")</f>
        <v>#NAME?</v>
      </c>
      <c r="T22" s="147" t="e">
        <f ca="1">_xludf.IFNA(J24/_xlfn.XLOOKUP($M24,'00_SKU_Master'!$B$2:$B$378,'00_SKU_Master'!$M$2:$M$378,0)/$M$2,"0")</f>
        <v>#NAME?</v>
      </c>
      <c r="U22" s="147" t="e">
        <f t="shared" ca="1" si="3"/>
        <v>#NAME?</v>
      </c>
      <c r="V22" s="4"/>
      <c r="W22" s="4" t="e">
        <f>_xlfn.XLOOKUP(M24,'00_SKU_Master'!$B$2:$B$378,'00_SKU_Master'!D:D)</f>
        <v>#VALUE!</v>
      </c>
      <c r="X22" s="14">
        <f>'05_Daily_Orders'!B23</f>
        <v>2030</v>
      </c>
      <c r="Y22" s="554"/>
      <c r="Z22" s="555"/>
      <c r="AA22" s="555"/>
      <c r="AB22" s="555"/>
      <c r="AC22" s="555">
        <v>0</v>
      </c>
      <c r="AD22" s="555">
        <v>0</v>
      </c>
      <c r="AE22" s="555">
        <v>0</v>
      </c>
      <c r="AF22" s="553">
        <f t="shared" si="4"/>
        <v>0</v>
      </c>
      <c r="AH22" s="23"/>
      <c r="AI22" s="23"/>
      <c r="AJ22" s="23"/>
      <c r="AK22" s="23"/>
      <c r="AL22" s="23"/>
      <c r="AM22" s="23"/>
      <c r="AN22" s="23"/>
      <c r="AO22" s="23"/>
      <c r="AQ22" s="23">
        <v>0</v>
      </c>
      <c r="AR22" s="23">
        <v>0</v>
      </c>
      <c r="AS22" s="23">
        <f t="shared" si="5"/>
        <v>0</v>
      </c>
    </row>
    <row r="23" spans="1:45">
      <c r="A23" s="138" t="str">
        <f>_xlfn.XLOOKUP(C25,'00_SKU_Master'!$B$2:$B$378,'00_SKU_Master'!$C$2:$C$378)</f>
        <v>61072#2</v>
      </c>
      <c r="B23" s="138"/>
      <c r="C23" s="138">
        <f t="shared" si="0"/>
        <v>2043</v>
      </c>
      <c r="D23" s="552" t="e">
        <f ca="1">_xludf.IFNA(_xlfn.XLOOKUP(C25,'00_SKU_Master'!$B$2:$B$378,'00_SKU_Master'!$F$2:$F$378,0)*Y25,"")</f>
        <v>#NAME?</v>
      </c>
      <c r="E23" s="552" t="e">
        <f ca="1">_xludf.IFNA(_xlfn.XLOOKUP(C25,'00_SKU_Master'!$B$2:$B$378,'00_SKU_Master'!$F$2:$F$378,0)*Z25,"")</f>
        <v>#NAME?</v>
      </c>
      <c r="F23" s="552" t="e">
        <f ca="1">_xludf.IFNA(_xlfn.XLOOKUP(C25,'00_SKU_Master'!$B$2:$B$378,'00_SKU_Master'!$F$2:$F$378,0)*AA25,"")</f>
        <v>#NAME?</v>
      </c>
      <c r="G23" s="552" t="e">
        <f ca="1">_xludf.IFNA(_xlfn.XLOOKUP(C25,'00_SKU_Master'!$B$2:$B$378,'00_SKU_Master'!$F$2:$F$378,0)*AB25,"")</f>
        <v>#NAME?</v>
      </c>
      <c r="H23" s="552" t="e">
        <f ca="1">_xludf.IFNA(_xlfn.XLOOKUP(C25,'00_SKU_Master'!$B$2:$B$378,'00_SKU_Master'!$F$2:$F$378,0)*AC25,"")</f>
        <v>#NAME?</v>
      </c>
      <c r="I23" s="552" t="e">
        <f ca="1">_xludf.IFNA(_xlfn.XLOOKUP(C25,'00_SKU_Master'!$B$2:$B$378,'00_SKU_Master'!$F$2:$F$378,0)*AD25,"")</f>
        <v>#NAME?</v>
      </c>
      <c r="J23" s="552" t="e">
        <f ca="1">_xludf.IFNA(_xlfn.XLOOKUP(C25,'00_SKU_Master'!$B$2:$B$378,'00_SKU_Master'!$F$2:$F$378,0)*AE25,"")</f>
        <v>#NAME?</v>
      </c>
      <c r="K23" s="553" t="e">
        <f t="shared" ca="1" si="1"/>
        <v>#NAME?</v>
      </c>
      <c r="L23" s="187" t="e">
        <f>_xlfn.XLOOKUP(C25,'00_SKU_Master'!$B$2:$B$378,'00_SKU_Master'!K:K)</f>
        <v>#VALUE!</v>
      </c>
      <c r="M23" s="14">
        <f t="shared" si="2"/>
        <v>2043</v>
      </c>
      <c r="N23" s="147" t="e">
        <f ca="1">_xludf.IFNA(D25/_xlfn.XLOOKUP($M25,'00_SKU_Master'!$B$2:$B$378,'00_SKU_Master'!$M$2:$M$378,0)/$M$2,"0")</f>
        <v>#NAME?</v>
      </c>
      <c r="O23" s="147" t="e">
        <f ca="1">_xludf.IFNA(E25/_xlfn.XLOOKUP($M25,'00_SKU_Master'!$B$2:$B$378,'00_SKU_Master'!$M$2:$M$378,0)/$M$2,"0")</f>
        <v>#NAME?</v>
      </c>
      <c r="P23" s="147" t="e">
        <f ca="1">_xludf.IFNA(F25/_xlfn.XLOOKUP($M25,'00_SKU_Master'!$B$2:$B$378,'00_SKU_Master'!$M$2:$M$378,0)/$M$2,"0")</f>
        <v>#NAME?</v>
      </c>
      <c r="Q23" s="147" t="e">
        <f ca="1">_xludf.IFNA(G25/_xlfn.XLOOKUP($M25,'00_SKU_Master'!$B$2:$B$378,'00_SKU_Master'!$M$2:$M$378,0)/$M$2,"0")</f>
        <v>#NAME?</v>
      </c>
      <c r="R23" s="147" t="e">
        <f ca="1">_xludf.IFNA(H25/_xlfn.XLOOKUP($M25,'00_SKU_Master'!$B$2:$B$378,'00_SKU_Master'!$M$2:$M$378,0)/$M$2,"0")</f>
        <v>#NAME?</v>
      </c>
      <c r="S23" s="147" t="e">
        <f ca="1">_xludf.IFNA(I25/_xlfn.XLOOKUP($M25,'00_SKU_Master'!$B$2:$B$378,'00_SKU_Master'!$M$2:$M$378,0)/$M$2,"0")</f>
        <v>#NAME?</v>
      </c>
      <c r="T23" s="147" t="e">
        <f ca="1">_xludf.IFNA(J25/_xlfn.XLOOKUP($M25,'00_SKU_Master'!$B$2:$B$378,'00_SKU_Master'!$M$2:$M$378,0)/$M$2,"0")</f>
        <v>#NAME?</v>
      </c>
      <c r="U23" s="147" t="e">
        <f t="shared" ca="1" si="3"/>
        <v>#NAME?</v>
      </c>
      <c r="V23" s="4"/>
      <c r="W23" s="4" t="e">
        <f>_xlfn.XLOOKUP(M25,'00_SKU_Master'!$B$2:$B$378,'00_SKU_Master'!D:D)</f>
        <v>#VALUE!</v>
      </c>
      <c r="X23" s="14">
        <f>'05_Daily_Orders'!B24</f>
        <v>2031</v>
      </c>
      <c r="Y23" s="554"/>
      <c r="Z23" s="555"/>
      <c r="AA23" s="555"/>
      <c r="AB23" s="555"/>
      <c r="AC23" s="555">
        <v>0</v>
      </c>
      <c r="AD23" s="555">
        <v>0</v>
      </c>
      <c r="AE23" s="555">
        <v>0</v>
      </c>
      <c r="AF23" s="553">
        <f t="shared" si="4"/>
        <v>0</v>
      </c>
      <c r="AQ23" s="23">
        <v>0</v>
      </c>
      <c r="AR23" s="23">
        <v>0</v>
      </c>
      <c r="AS23" s="23">
        <f t="shared" si="5"/>
        <v>0</v>
      </c>
    </row>
    <row r="24" spans="1:45">
      <c r="A24" s="138">
        <f>_xlfn.XLOOKUP(C26,'00_SKU_Master'!$B$2:$B$378,'00_SKU_Master'!$C$2:$C$378)</f>
        <v>61082</v>
      </c>
      <c r="B24" s="138"/>
      <c r="C24" s="138">
        <f t="shared" si="0"/>
        <v>2044</v>
      </c>
      <c r="D24" s="552" t="e">
        <f ca="1">_xludf.IFNA(_xlfn.XLOOKUP(C26,'00_SKU_Master'!$B$2:$B$378,'00_SKU_Master'!$F$2:$F$378,0)*Y26,"")</f>
        <v>#NAME?</v>
      </c>
      <c r="E24" s="552" t="e">
        <f ca="1">_xludf.IFNA(_xlfn.XLOOKUP(C26,'00_SKU_Master'!$B$2:$B$378,'00_SKU_Master'!$F$2:$F$378,0)*Z26,"")</f>
        <v>#NAME?</v>
      </c>
      <c r="F24" s="552" t="e">
        <f ca="1">_xludf.IFNA(_xlfn.XLOOKUP(C26,'00_SKU_Master'!$B$2:$B$378,'00_SKU_Master'!$F$2:$F$378,0)*AA26,"")</f>
        <v>#NAME?</v>
      </c>
      <c r="G24" s="552" t="e">
        <f ca="1">_xludf.IFNA(_xlfn.XLOOKUP(C26,'00_SKU_Master'!$B$2:$B$378,'00_SKU_Master'!$F$2:$F$378,0)*AB26,"")</f>
        <v>#NAME?</v>
      </c>
      <c r="H24" s="552" t="e">
        <f ca="1">_xludf.IFNA(_xlfn.XLOOKUP(C26,'00_SKU_Master'!$B$2:$B$378,'00_SKU_Master'!$F$2:$F$378,0)*AC26,"")</f>
        <v>#NAME?</v>
      </c>
      <c r="I24" s="552" t="e">
        <f ca="1">_xludf.IFNA(_xlfn.XLOOKUP(C26,'00_SKU_Master'!$B$2:$B$378,'00_SKU_Master'!$F$2:$F$378,0)*AD26,"")</f>
        <v>#NAME?</v>
      </c>
      <c r="J24" s="552" t="e">
        <f ca="1">_xludf.IFNA(_xlfn.XLOOKUP(C26,'00_SKU_Master'!$B$2:$B$378,'00_SKU_Master'!$F$2:$F$378,0)*AE26,"")</f>
        <v>#NAME?</v>
      </c>
      <c r="K24" s="553" t="e">
        <f t="shared" ca="1" si="1"/>
        <v>#NAME?</v>
      </c>
      <c r="L24" s="187" t="e">
        <f>_xlfn.XLOOKUP(C26,'00_SKU_Master'!$B$2:$B$378,'00_SKU_Master'!K:K)</f>
        <v>#VALUE!</v>
      </c>
      <c r="M24" s="14">
        <f t="shared" si="2"/>
        <v>2044</v>
      </c>
      <c r="N24" s="147" t="e">
        <f ca="1">_xludf.IFNA(D26/_xlfn.XLOOKUP($M26,'00_SKU_Master'!$B$2:$B$378,'00_SKU_Master'!$M$2:$M$378,0)/$M$2,"0")</f>
        <v>#NAME?</v>
      </c>
      <c r="O24" s="147" t="e">
        <f ca="1">_xludf.IFNA(E26/_xlfn.XLOOKUP($M26,'00_SKU_Master'!$B$2:$B$378,'00_SKU_Master'!$M$2:$M$378,0)/$M$2,"0")</f>
        <v>#NAME?</v>
      </c>
      <c r="P24" s="147" t="e">
        <f ca="1">_xludf.IFNA(F26/_xlfn.XLOOKUP($M26,'00_SKU_Master'!$B$2:$B$378,'00_SKU_Master'!$M$2:$M$378,0)/$M$2,"0")</f>
        <v>#NAME?</v>
      </c>
      <c r="Q24" s="147" t="e">
        <f ca="1">_xludf.IFNA(G26/_xlfn.XLOOKUP($M26,'00_SKU_Master'!$B$2:$B$378,'00_SKU_Master'!$M$2:$M$378,0)/$M$2,"0")</f>
        <v>#NAME?</v>
      </c>
      <c r="R24" s="147" t="e">
        <f ca="1">_xludf.IFNA(H26/_xlfn.XLOOKUP($M26,'00_SKU_Master'!$B$2:$B$378,'00_SKU_Master'!$M$2:$M$378,0)/$M$2,"0")</f>
        <v>#NAME?</v>
      </c>
      <c r="S24" s="147" t="e">
        <f ca="1">_xludf.IFNA(I26/_xlfn.XLOOKUP($M26,'00_SKU_Master'!$B$2:$B$378,'00_SKU_Master'!$M$2:$M$378,0)/$M$2,"0")</f>
        <v>#NAME?</v>
      </c>
      <c r="T24" s="147" t="e">
        <f ca="1">_xludf.IFNA(J26/_xlfn.XLOOKUP($M26,'00_SKU_Master'!$B$2:$B$378,'00_SKU_Master'!$M$2:$M$378,0)/$M$2,"0")</f>
        <v>#NAME?</v>
      </c>
      <c r="U24" s="147" t="e">
        <f t="shared" ca="1" si="3"/>
        <v>#NAME?</v>
      </c>
      <c r="V24" s="4"/>
      <c r="W24" s="4" t="e">
        <f>_xlfn.XLOOKUP(M26,'00_SKU_Master'!$B$2:$B$378,'00_SKU_Master'!D:D)</f>
        <v>#VALUE!</v>
      </c>
      <c r="X24" s="14">
        <f>'05_Daily_Orders'!B25</f>
        <v>2042</v>
      </c>
      <c r="Y24" s="554"/>
      <c r="Z24" s="555"/>
      <c r="AA24" s="555"/>
      <c r="AB24" s="555"/>
      <c r="AC24" s="555">
        <v>0</v>
      </c>
      <c r="AD24" s="555">
        <v>0</v>
      </c>
      <c r="AE24" s="555">
        <v>0</v>
      </c>
      <c r="AF24" s="553">
        <f t="shared" si="4"/>
        <v>635</v>
      </c>
      <c r="AQ24" s="23">
        <v>0</v>
      </c>
      <c r="AR24" s="23">
        <v>0</v>
      </c>
      <c r="AS24" s="23">
        <f t="shared" si="5"/>
        <v>-273</v>
      </c>
    </row>
    <row r="25" spans="1:45">
      <c r="A25" s="138">
        <f>_xlfn.XLOOKUP(C27,'00_SKU_Master'!$B$2:$B$378,'00_SKU_Master'!$C$2:$C$378)</f>
        <v>61010</v>
      </c>
      <c r="B25" s="138"/>
      <c r="C25" s="138">
        <f t="shared" si="0"/>
        <v>2045</v>
      </c>
      <c r="D25" s="552" t="e">
        <f ca="1">_xludf.IFNA(_xlfn.XLOOKUP(C27,'00_SKU_Master'!$B$2:$B$378,'00_SKU_Master'!$F$2:$F$378,0)*Y27,"")</f>
        <v>#NAME?</v>
      </c>
      <c r="E25" s="552" t="e">
        <f ca="1">_xludf.IFNA(_xlfn.XLOOKUP(C27,'00_SKU_Master'!$B$2:$B$378,'00_SKU_Master'!$F$2:$F$378,0)*Z27,"")</f>
        <v>#NAME?</v>
      </c>
      <c r="F25" s="552" t="e">
        <f ca="1">_xludf.IFNA(_xlfn.XLOOKUP(C27,'00_SKU_Master'!$B$2:$B$378,'00_SKU_Master'!$F$2:$F$378,0)*AA27,"")</f>
        <v>#NAME?</v>
      </c>
      <c r="G25" s="552" t="e">
        <f ca="1">_xludf.IFNA(_xlfn.XLOOKUP(C27,'00_SKU_Master'!$B$2:$B$378,'00_SKU_Master'!$F$2:$F$378,0)*AB27,"")</f>
        <v>#NAME?</v>
      </c>
      <c r="H25" s="552" t="e">
        <f ca="1">_xludf.IFNA(_xlfn.XLOOKUP(C27,'00_SKU_Master'!$B$2:$B$378,'00_SKU_Master'!$F$2:$F$378,0)*AC27,"")</f>
        <v>#NAME?</v>
      </c>
      <c r="I25" s="552" t="e">
        <f ca="1">_xludf.IFNA(_xlfn.XLOOKUP(C27,'00_SKU_Master'!$B$2:$B$378,'00_SKU_Master'!$F$2:$F$378,0)*AD27,"")</f>
        <v>#NAME?</v>
      </c>
      <c r="J25" s="552" t="e">
        <f ca="1">_xludf.IFNA(_xlfn.XLOOKUP(C27,'00_SKU_Master'!$B$2:$B$378,'00_SKU_Master'!$F$2:$F$378,0)*AE27,"")</f>
        <v>#NAME?</v>
      </c>
      <c r="K25" s="553" t="e">
        <f t="shared" ca="1" si="1"/>
        <v>#NAME?</v>
      </c>
      <c r="L25" s="187" t="e">
        <f>_xlfn.XLOOKUP(C27,'00_SKU_Master'!$B$2:$B$378,'00_SKU_Master'!K:K)</f>
        <v>#VALUE!</v>
      </c>
      <c r="M25" s="14">
        <f t="shared" si="2"/>
        <v>2045</v>
      </c>
      <c r="N25" s="147" t="e">
        <f ca="1">_xludf.IFNA(D27/_xlfn.XLOOKUP($M27,'00_SKU_Master'!$B$2:$B$378,'00_SKU_Master'!$M$2:$M$378,0)/$M$2,"0")</f>
        <v>#NAME?</v>
      </c>
      <c r="O25" s="147" t="e">
        <f ca="1">_xludf.IFNA(E27/_xlfn.XLOOKUP($M27,'00_SKU_Master'!$B$2:$B$378,'00_SKU_Master'!$M$2:$M$378,0)/$M$2,"0")</f>
        <v>#NAME?</v>
      </c>
      <c r="P25" s="147" t="e">
        <f ca="1">_xludf.IFNA(F27/_xlfn.XLOOKUP($M27,'00_SKU_Master'!$B$2:$B$378,'00_SKU_Master'!$M$2:$M$378,0)/$M$2,"0")</f>
        <v>#NAME?</v>
      </c>
      <c r="Q25" s="147" t="e">
        <f ca="1">_xludf.IFNA(G27/_xlfn.XLOOKUP($M27,'00_SKU_Master'!$B$2:$B$378,'00_SKU_Master'!$M$2:$M$378,0)/$M$2,"0")</f>
        <v>#NAME?</v>
      </c>
      <c r="R25" s="147" t="e">
        <f ca="1">_xludf.IFNA(H27/_xlfn.XLOOKUP($M27,'00_SKU_Master'!$B$2:$B$378,'00_SKU_Master'!$M$2:$M$378,0)/$M$2,"0")</f>
        <v>#NAME?</v>
      </c>
      <c r="S25" s="147" t="e">
        <f ca="1">_xludf.IFNA(I27/_xlfn.XLOOKUP($M27,'00_SKU_Master'!$B$2:$B$378,'00_SKU_Master'!$M$2:$M$378,0)/$M$2,"0")</f>
        <v>#NAME?</v>
      </c>
      <c r="T25" s="147" t="e">
        <f ca="1">_xludf.IFNA(J27/_xlfn.XLOOKUP($M27,'00_SKU_Master'!$B$2:$B$378,'00_SKU_Master'!$M$2:$M$378,0)/$M$2,"0")</f>
        <v>#NAME?</v>
      </c>
      <c r="U25" s="147" t="e">
        <f t="shared" ca="1" si="3"/>
        <v>#NAME?</v>
      </c>
      <c r="V25" s="4"/>
      <c r="W25" s="4" t="e">
        <f>_xlfn.XLOOKUP(M27,'00_SKU_Master'!$B$2:$B$378,'00_SKU_Master'!D:D)</f>
        <v>#VALUE!</v>
      </c>
      <c r="X25" s="14">
        <f>'05_Daily_Orders'!B26</f>
        <v>2043</v>
      </c>
      <c r="Y25" s="554"/>
      <c r="Z25" s="555"/>
      <c r="AA25" s="555"/>
      <c r="AB25" s="555"/>
      <c r="AC25" s="555">
        <v>0</v>
      </c>
      <c r="AD25" s="555">
        <v>0</v>
      </c>
      <c r="AE25" s="555">
        <v>0</v>
      </c>
      <c r="AF25" s="553">
        <f t="shared" si="4"/>
        <v>194</v>
      </c>
      <c r="AH25" s="40">
        <v>61086</v>
      </c>
      <c r="AI25" s="208">
        <f>SUMIF($A$4:$A$234,AH27,$K$4:$K$274)</f>
        <v>0</v>
      </c>
      <c r="AQ25" s="23">
        <v>0</v>
      </c>
      <c r="AR25" s="23">
        <v>0</v>
      </c>
      <c r="AS25" s="23">
        <f t="shared" si="5"/>
        <v>6</v>
      </c>
    </row>
    <row r="26" spans="1:45">
      <c r="A26" s="138" t="str">
        <f>_xlfn.XLOOKUP(C28,'00_SKU_Master'!$B$2:$B$378,'00_SKU_Master'!$C$2:$C$378)</f>
        <v>61072#2</v>
      </c>
      <c r="B26" s="138"/>
      <c r="C26" s="138">
        <f t="shared" si="0"/>
        <v>2046</v>
      </c>
      <c r="D26" s="552" t="e">
        <f ca="1">_xludf.IFNA(_xlfn.XLOOKUP(C28,'00_SKU_Master'!$B$2:$B$378,'00_SKU_Master'!$F$2:$F$378,0)*Y28,"")</f>
        <v>#NAME?</v>
      </c>
      <c r="E26" s="552" t="e">
        <f ca="1">_xludf.IFNA(_xlfn.XLOOKUP(C28,'00_SKU_Master'!$B$2:$B$378,'00_SKU_Master'!$F$2:$F$378,0)*Z28,"")</f>
        <v>#NAME?</v>
      </c>
      <c r="F26" s="552" t="e">
        <f ca="1">_xludf.IFNA(_xlfn.XLOOKUP(C28,'00_SKU_Master'!$B$2:$B$378,'00_SKU_Master'!$F$2:$F$378,0)*AA28,"")</f>
        <v>#NAME?</v>
      </c>
      <c r="G26" s="552" t="e">
        <f ca="1">_xludf.IFNA(_xlfn.XLOOKUP(C28,'00_SKU_Master'!$B$2:$B$378,'00_SKU_Master'!$F$2:$F$378,0)*AB28,"")</f>
        <v>#NAME?</v>
      </c>
      <c r="H26" s="552" t="e">
        <f ca="1">_xludf.IFNA(_xlfn.XLOOKUP(C28,'00_SKU_Master'!$B$2:$B$378,'00_SKU_Master'!$F$2:$F$378,0)*AC28,"")</f>
        <v>#NAME?</v>
      </c>
      <c r="I26" s="552" t="e">
        <f ca="1">_xludf.IFNA(_xlfn.XLOOKUP(C28,'00_SKU_Master'!$B$2:$B$378,'00_SKU_Master'!$F$2:$F$378,0)*AD28,"")</f>
        <v>#NAME?</v>
      </c>
      <c r="J26" s="552" t="e">
        <f ca="1">_xludf.IFNA(_xlfn.XLOOKUP(C28,'00_SKU_Master'!$B$2:$B$378,'00_SKU_Master'!$F$2:$F$378,0)*AE28,"")</f>
        <v>#NAME?</v>
      </c>
      <c r="K26" s="553" t="e">
        <f t="shared" ca="1" si="1"/>
        <v>#NAME?</v>
      </c>
      <c r="L26" s="187" t="e">
        <f>_xlfn.XLOOKUP(C28,'00_SKU_Master'!$B$2:$B$378,'00_SKU_Master'!K:K)</f>
        <v>#VALUE!</v>
      </c>
      <c r="M26" s="14">
        <f t="shared" si="2"/>
        <v>2046</v>
      </c>
      <c r="N26" s="147" t="e">
        <f ca="1">_xludf.IFNA(D28/_xlfn.XLOOKUP($M28,'00_SKU_Master'!$B$2:$B$378,'00_SKU_Master'!$M$2:$M$378,0)/$M$2,"0")</f>
        <v>#NAME?</v>
      </c>
      <c r="O26" s="147" t="e">
        <f ca="1">_xludf.IFNA(E28/_xlfn.XLOOKUP($M28,'00_SKU_Master'!$B$2:$B$378,'00_SKU_Master'!$M$2:$M$378,0)/$M$2,"0")</f>
        <v>#NAME?</v>
      </c>
      <c r="P26" s="147" t="e">
        <f ca="1">_xludf.IFNA(F28/_xlfn.XLOOKUP($M28,'00_SKU_Master'!$B$2:$B$378,'00_SKU_Master'!$M$2:$M$378,0)/$M$2,"0")</f>
        <v>#NAME?</v>
      </c>
      <c r="Q26" s="147" t="e">
        <f ca="1">_xludf.IFNA(G28/_xlfn.XLOOKUP($M28,'00_SKU_Master'!$B$2:$B$378,'00_SKU_Master'!$M$2:$M$378,0)/$M$2,"0")</f>
        <v>#NAME?</v>
      </c>
      <c r="R26" s="147" t="e">
        <f ca="1">_xludf.IFNA(H28/_xlfn.XLOOKUP($M28,'00_SKU_Master'!$B$2:$B$378,'00_SKU_Master'!$M$2:$M$378,0)/$M$2,"0")</f>
        <v>#NAME?</v>
      </c>
      <c r="S26" s="147" t="e">
        <f ca="1">_xludf.IFNA(I28/_xlfn.XLOOKUP($M28,'00_SKU_Master'!$B$2:$B$378,'00_SKU_Master'!$M$2:$M$378,0)/$M$2,"0")</f>
        <v>#NAME?</v>
      </c>
      <c r="T26" s="147" t="e">
        <f ca="1">_xludf.IFNA(J28/_xlfn.XLOOKUP($M28,'00_SKU_Master'!$B$2:$B$378,'00_SKU_Master'!$M$2:$M$378,0)/$M$2,"0")</f>
        <v>#NAME?</v>
      </c>
      <c r="U26" s="147" t="e">
        <f t="shared" ca="1" si="3"/>
        <v>#NAME?</v>
      </c>
      <c r="V26" s="4"/>
      <c r="W26" s="4" t="e">
        <f>_xlfn.XLOOKUP(M28,'00_SKU_Master'!$B$2:$B$378,'00_SKU_Master'!D:D)</f>
        <v>#VALUE!</v>
      </c>
      <c r="X26" s="14">
        <f>'05_Daily_Orders'!B27</f>
        <v>2044</v>
      </c>
      <c r="Y26" s="554"/>
      <c r="Z26" s="555"/>
      <c r="AA26" s="555"/>
      <c r="AB26" s="555"/>
      <c r="AC26" s="555">
        <v>315</v>
      </c>
      <c r="AD26" s="555">
        <v>0</v>
      </c>
      <c r="AE26" s="555">
        <v>320</v>
      </c>
      <c r="AF26" s="553">
        <f t="shared" si="4"/>
        <v>120</v>
      </c>
      <c r="AH26" s="23" t="s">
        <v>122</v>
      </c>
      <c r="AI26" s="208" t="e">
        <f ca="1">SUMIF($A$4:$A$234,AH28,$K$4:$K$274)</f>
        <v>#NAME?</v>
      </c>
      <c r="AQ26" s="23">
        <v>273</v>
      </c>
      <c r="AR26" s="23">
        <v>0</v>
      </c>
      <c r="AS26" s="23">
        <f t="shared" si="5"/>
        <v>-88</v>
      </c>
    </row>
    <row r="27" spans="1:45">
      <c r="A27" s="138">
        <f>_xlfn.XLOOKUP(C29,'00_SKU_Master'!$B$2:$B$378,'00_SKU_Master'!$C$2:$C$378)</f>
        <v>61082</v>
      </c>
      <c r="B27" s="138"/>
      <c r="C27" s="138">
        <f t="shared" si="0"/>
        <v>2047</v>
      </c>
      <c r="D27" s="552" t="e">
        <f ca="1">_xludf.IFNA(_xlfn.XLOOKUP(C29,'00_SKU_Master'!$B$2:$B$378,'00_SKU_Master'!$F$2:$F$378,0)*Y29,"")</f>
        <v>#NAME?</v>
      </c>
      <c r="E27" s="552" t="e">
        <f ca="1">_xludf.IFNA(_xlfn.XLOOKUP(C29,'00_SKU_Master'!$B$2:$B$378,'00_SKU_Master'!$F$2:$F$378,0)*Z29,"")</f>
        <v>#NAME?</v>
      </c>
      <c r="F27" s="552" t="e">
        <f ca="1">_xludf.IFNA(_xlfn.XLOOKUP(C29,'00_SKU_Master'!$B$2:$B$378,'00_SKU_Master'!$F$2:$F$378,0)*AA29,"")</f>
        <v>#NAME?</v>
      </c>
      <c r="G27" s="552" t="e">
        <f ca="1">_xludf.IFNA(_xlfn.XLOOKUP(C29,'00_SKU_Master'!$B$2:$B$378,'00_SKU_Master'!$F$2:$F$378,0)*AB29,"")</f>
        <v>#NAME?</v>
      </c>
      <c r="H27" s="552" t="e">
        <f ca="1">_xludf.IFNA(_xlfn.XLOOKUP(C29,'00_SKU_Master'!$B$2:$B$378,'00_SKU_Master'!$F$2:$F$378,0)*AC29,"")</f>
        <v>#NAME?</v>
      </c>
      <c r="I27" s="552" t="e">
        <f ca="1">_xludf.IFNA(_xlfn.XLOOKUP(C29,'00_SKU_Master'!$B$2:$B$378,'00_SKU_Master'!$F$2:$F$378,0)*AD29,"")</f>
        <v>#NAME?</v>
      </c>
      <c r="J27" s="552" t="e">
        <f ca="1">_xludf.IFNA(_xlfn.XLOOKUP(C29,'00_SKU_Master'!$B$2:$B$378,'00_SKU_Master'!$F$2:$F$378,0)*AE29,"")</f>
        <v>#NAME?</v>
      </c>
      <c r="K27" s="553" t="e">
        <f t="shared" ca="1" si="1"/>
        <v>#NAME?</v>
      </c>
      <c r="L27" s="187" t="e">
        <f>_xlfn.XLOOKUP(C29,'00_SKU_Master'!$B$2:$B$378,'00_SKU_Master'!K:K)</f>
        <v>#VALUE!</v>
      </c>
      <c r="M27" s="14">
        <f t="shared" si="2"/>
        <v>2047</v>
      </c>
      <c r="N27" s="147" t="e">
        <f ca="1">_xludf.IFNA(D29/_xlfn.XLOOKUP($M29,'00_SKU_Master'!$B$2:$B$378,'00_SKU_Master'!$M$2:$M$378,0)/$M$2,"0")</f>
        <v>#NAME?</v>
      </c>
      <c r="O27" s="147" t="e">
        <f ca="1">_xludf.IFNA(E29/_xlfn.XLOOKUP($M29,'00_SKU_Master'!$B$2:$B$378,'00_SKU_Master'!$M$2:$M$378,0)/$M$2,"0")</f>
        <v>#NAME?</v>
      </c>
      <c r="P27" s="147" t="e">
        <f ca="1">_xludf.IFNA(F29/_xlfn.XLOOKUP($M29,'00_SKU_Master'!$B$2:$B$378,'00_SKU_Master'!$M$2:$M$378,0)/$M$2,"0")</f>
        <v>#NAME?</v>
      </c>
      <c r="Q27" s="147" t="e">
        <f ca="1">_xludf.IFNA(G29/_xlfn.XLOOKUP($M29,'00_SKU_Master'!$B$2:$B$378,'00_SKU_Master'!$M$2:$M$378,0)/$M$2,"0")</f>
        <v>#NAME?</v>
      </c>
      <c r="R27" s="147" t="e">
        <f ca="1">_xludf.IFNA(H29/_xlfn.XLOOKUP($M29,'00_SKU_Master'!$B$2:$B$378,'00_SKU_Master'!$M$2:$M$378,0)/$M$2,"0")</f>
        <v>#NAME?</v>
      </c>
      <c r="S27" s="147" t="e">
        <f ca="1">_xludf.IFNA(I29/_xlfn.XLOOKUP($M29,'00_SKU_Master'!$B$2:$B$378,'00_SKU_Master'!$M$2:$M$378,0)/$M$2,"0")</f>
        <v>#NAME?</v>
      </c>
      <c r="T27" s="147" t="e">
        <f ca="1">_xludf.IFNA(J29/_xlfn.XLOOKUP($M29,'00_SKU_Master'!$B$2:$B$378,'00_SKU_Master'!$M$2:$M$378,0)/$M$2,"0")</f>
        <v>#NAME?</v>
      </c>
      <c r="U27" s="147" t="e">
        <f t="shared" ca="1" si="3"/>
        <v>#NAME?</v>
      </c>
      <c r="V27" s="4"/>
      <c r="W27" s="4" t="e">
        <f>_xlfn.XLOOKUP(M29,'00_SKU_Master'!$B$2:$B$378,'00_SKU_Master'!D:D)</f>
        <v>#VALUE!</v>
      </c>
      <c r="X27" s="14">
        <f>'05_Daily_Orders'!B28</f>
        <v>2045</v>
      </c>
      <c r="Y27" s="554"/>
      <c r="Z27" s="555"/>
      <c r="AA27" s="555"/>
      <c r="AB27" s="555"/>
      <c r="AC27" s="555">
        <v>79</v>
      </c>
      <c r="AD27" s="555">
        <v>0</v>
      </c>
      <c r="AE27" s="555">
        <v>115</v>
      </c>
      <c r="AF27" s="553">
        <f t="shared" si="4"/>
        <v>197</v>
      </c>
      <c r="AH27" s="23" t="s">
        <v>120</v>
      </c>
      <c r="AI27" s="208" t="e">
        <f ca="1">SUMIF($A$4:$A$234,AH29,$K$4:$K$274)</f>
        <v>#NAME?</v>
      </c>
      <c r="AQ27" s="23">
        <v>0</v>
      </c>
      <c r="AR27" s="23">
        <v>6</v>
      </c>
      <c r="AS27" s="23">
        <f t="shared" si="5"/>
        <v>97</v>
      </c>
    </row>
    <row r="28" spans="1:45">
      <c r="A28" s="138" t="str">
        <f>_xlfn.XLOOKUP(C30,'00_SKU_Master'!$B$2:$B$378,'00_SKU_Master'!$C$2:$C$378)</f>
        <v>61048#2</v>
      </c>
      <c r="B28" s="138"/>
      <c r="C28" s="138">
        <f t="shared" si="0"/>
        <v>2060</v>
      </c>
      <c r="D28" s="552" t="e">
        <f ca="1">_xludf.IFNA(_xlfn.XLOOKUP(C30,'00_SKU_Master'!$B$2:$B$378,'00_SKU_Master'!$F$2:$F$378,0)*Y30,"")</f>
        <v>#NAME?</v>
      </c>
      <c r="E28" s="552" t="e">
        <f ca="1">_xludf.IFNA(_xlfn.XLOOKUP(C30,'00_SKU_Master'!$B$2:$B$378,'00_SKU_Master'!$F$2:$F$378,0)*Z30,"")</f>
        <v>#NAME?</v>
      </c>
      <c r="F28" s="552" t="e">
        <f ca="1">_xludf.IFNA(_xlfn.XLOOKUP(C30,'00_SKU_Master'!$B$2:$B$378,'00_SKU_Master'!$F$2:$F$378,0)*AA30,"")</f>
        <v>#NAME?</v>
      </c>
      <c r="G28" s="552" t="e">
        <f ca="1">_xludf.IFNA(_xlfn.XLOOKUP(C30,'00_SKU_Master'!$B$2:$B$378,'00_SKU_Master'!$F$2:$F$378,0)*AB30,"")</f>
        <v>#NAME?</v>
      </c>
      <c r="H28" s="552" t="e">
        <f ca="1">_xludf.IFNA(_xlfn.XLOOKUP(C30,'00_SKU_Master'!$B$2:$B$378,'00_SKU_Master'!$F$2:$F$378,0)*AC30,"")</f>
        <v>#NAME?</v>
      </c>
      <c r="I28" s="552" t="e">
        <f ca="1">_xludf.IFNA(_xlfn.XLOOKUP(C30,'00_SKU_Master'!$B$2:$B$378,'00_SKU_Master'!$F$2:$F$378,0)*AD30,"")</f>
        <v>#NAME?</v>
      </c>
      <c r="J28" s="552" t="e">
        <f ca="1">_xludf.IFNA(_xlfn.XLOOKUP(C30,'00_SKU_Master'!$B$2:$B$378,'00_SKU_Master'!$F$2:$F$378,0)*AE30,"")</f>
        <v>#NAME?</v>
      </c>
      <c r="K28" s="553" t="e">
        <f t="shared" ca="1" si="1"/>
        <v>#NAME?</v>
      </c>
      <c r="L28" s="187" t="e">
        <f>_xlfn.XLOOKUP(C30,'00_SKU_Master'!$B$2:$B$378,'00_SKU_Master'!K:K)</f>
        <v>#VALUE!</v>
      </c>
      <c r="M28" s="14">
        <f t="shared" si="2"/>
        <v>2060</v>
      </c>
      <c r="N28" s="147" t="e">
        <f ca="1">_xludf.IFNA(D30/_xlfn.XLOOKUP($M30,'00_SKU_Master'!$B$2:$B$378,'00_SKU_Master'!$M$2:$M$378,0)/$M$2,"0")</f>
        <v>#NAME?</v>
      </c>
      <c r="O28" s="147" t="e">
        <f ca="1">_xludf.IFNA(E30/_xlfn.XLOOKUP($M30,'00_SKU_Master'!$B$2:$B$378,'00_SKU_Master'!$M$2:$M$378,0)/$M$2,"0")</f>
        <v>#NAME?</v>
      </c>
      <c r="P28" s="147" t="e">
        <f ca="1">_xludf.IFNA(F30/_xlfn.XLOOKUP($M30,'00_SKU_Master'!$B$2:$B$378,'00_SKU_Master'!$M$2:$M$378,0)/$M$2,"0")</f>
        <v>#NAME?</v>
      </c>
      <c r="Q28" s="147" t="e">
        <f ca="1">_xludf.IFNA(G30/_xlfn.XLOOKUP($M30,'00_SKU_Master'!$B$2:$B$378,'00_SKU_Master'!$M$2:$M$378,0)/$M$2,"0")</f>
        <v>#NAME?</v>
      </c>
      <c r="R28" s="147" t="e">
        <f ca="1">_xludf.IFNA(H30/_xlfn.XLOOKUP($M30,'00_SKU_Master'!$B$2:$B$378,'00_SKU_Master'!$M$2:$M$378,0)/$M$2,"0")</f>
        <v>#NAME?</v>
      </c>
      <c r="S28" s="147" t="e">
        <f ca="1">_xludf.IFNA(I30/_xlfn.XLOOKUP($M30,'00_SKU_Master'!$B$2:$B$378,'00_SKU_Master'!$M$2:$M$378,0)/$M$2,"0")</f>
        <v>#NAME?</v>
      </c>
      <c r="T28" s="147" t="e">
        <f ca="1">_xludf.IFNA(J30/_xlfn.XLOOKUP($M30,'00_SKU_Master'!$B$2:$B$378,'00_SKU_Master'!$M$2:$M$378,0)/$M$2,"0")</f>
        <v>#NAME?</v>
      </c>
      <c r="U28" s="147" t="e">
        <f t="shared" ca="1" si="3"/>
        <v>#NAME?</v>
      </c>
      <c r="V28" s="4"/>
      <c r="W28" s="4" t="e">
        <f>_xlfn.XLOOKUP(M30,'00_SKU_Master'!$B$2:$B$378,'00_SKU_Master'!D:D)</f>
        <v>#VALUE!</v>
      </c>
      <c r="X28" s="14">
        <f>'05_Daily_Orders'!B29</f>
        <v>2046</v>
      </c>
      <c r="Y28" s="554"/>
      <c r="Z28" s="555"/>
      <c r="AA28" s="555"/>
      <c r="AB28" s="555"/>
      <c r="AC28" s="555">
        <v>22</v>
      </c>
      <c r="AD28" s="555">
        <v>0</v>
      </c>
      <c r="AE28" s="555">
        <v>98</v>
      </c>
      <c r="AF28" s="553">
        <f t="shared" si="4"/>
        <v>86</v>
      </c>
      <c r="AH28" s="23" t="s">
        <v>118</v>
      </c>
      <c r="AI28" s="208">
        <f>SUMIF($A$4:$A$234,AH30,$K$4:$K$274)</f>
        <v>0</v>
      </c>
      <c r="AQ28" s="23">
        <v>88</v>
      </c>
      <c r="AR28" s="23">
        <v>0</v>
      </c>
      <c r="AS28" s="23">
        <f t="shared" si="5"/>
        <v>-14</v>
      </c>
    </row>
    <row r="29" spans="1:45">
      <c r="A29" s="138">
        <f>_xlfn.XLOOKUP(C31,'00_SKU_Master'!$B$2:$B$378,'00_SKU_Master'!$C$2:$C$378)</f>
        <v>203891</v>
      </c>
      <c r="B29" s="138"/>
      <c r="C29" s="138">
        <f t="shared" si="0"/>
        <v>2061</v>
      </c>
      <c r="D29" s="552" t="e">
        <f ca="1">_xludf.IFNA(_xlfn.XLOOKUP(C31,'00_SKU_Master'!$B$2:$B$378,'00_SKU_Master'!$F$2:$F$378,0)*Y31,"")</f>
        <v>#NAME?</v>
      </c>
      <c r="E29" s="552" t="e">
        <f ca="1">_xludf.IFNA(_xlfn.XLOOKUP(C31,'00_SKU_Master'!$B$2:$B$378,'00_SKU_Master'!$F$2:$F$378,0)*Z31,"")</f>
        <v>#NAME?</v>
      </c>
      <c r="F29" s="552" t="e">
        <f ca="1">_xludf.IFNA(_xlfn.XLOOKUP(C31,'00_SKU_Master'!$B$2:$B$378,'00_SKU_Master'!$F$2:$F$378,0)*AA31,"")</f>
        <v>#NAME?</v>
      </c>
      <c r="G29" s="552" t="e">
        <f ca="1">_xludf.IFNA(_xlfn.XLOOKUP(C31,'00_SKU_Master'!$B$2:$B$378,'00_SKU_Master'!$F$2:$F$378,0)*AB31,"")</f>
        <v>#NAME?</v>
      </c>
      <c r="H29" s="552" t="e">
        <f ca="1">_xludf.IFNA(_xlfn.XLOOKUP(C31,'00_SKU_Master'!$B$2:$B$378,'00_SKU_Master'!$F$2:$F$378,0)*AC31,"")</f>
        <v>#NAME?</v>
      </c>
      <c r="I29" s="552" t="e">
        <f ca="1">_xludf.IFNA(_xlfn.XLOOKUP(C31,'00_SKU_Master'!$B$2:$B$378,'00_SKU_Master'!$F$2:$F$378,0)*AD31,"")</f>
        <v>#NAME?</v>
      </c>
      <c r="J29" s="552" t="e">
        <f ca="1">_xludf.IFNA(_xlfn.XLOOKUP(C31,'00_SKU_Master'!$B$2:$B$378,'00_SKU_Master'!$F$2:$F$378,0)*AE31,"")</f>
        <v>#NAME?</v>
      </c>
      <c r="K29" s="553" t="e">
        <f t="shared" ca="1" si="1"/>
        <v>#NAME?</v>
      </c>
      <c r="L29" s="187" t="e">
        <f>_xlfn.XLOOKUP(C31,'00_SKU_Master'!$B$2:$B$378,'00_SKU_Master'!K:K)</f>
        <v>#VALUE!</v>
      </c>
      <c r="M29" s="14">
        <f t="shared" si="2"/>
        <v>2061</v>
      </c>
      <c r="N29" s="147" t="e">
        <f ca="1">_xludf.IFNA(D31/_xlfn.XLOOKUP($M31,'00_SKU_Master'!$B$2:$B$378,'00_SKU_Master'!$M$2:$M$378,0)/$M$2,"0")</f>
        <v>#NAME?</v>
      </c>
      <c r="O29" s="147" t="e">
        <f ca="1">_xludf.IFNA(E31/_xlfn.XLOOKUP($M31,'00_SKU_Master'!$B$2:$B$378,'00_SKU_Master'!$M$2:$M$378,0)/$M$2,"0")</f>
        <v>#NAME?</v>
      </c>
      <c r="P29" s="147" t="e">
        <f ca="1">_xludf.IFNA(F31/_xlfn.XLOOKUP($M31,'00_SKU_Master'!$B$2:$B$378,'00_SKU_Master'!$M$2:$M$378,0)/$M$2,"0")</f>
        <v>#NAME?</v>
      </c>
      <c r="Q29" s="147" t="e">
        <f ca="1">_xludf.IFNA(G31/_xlfn.XLOOKUP($M31,'00_SKU_Master'!$B$2:$B$378,'00_SKU_Master'!$M$2:$M$378,0)/$M$2,"0")</f>
        <v>#NAME?</v>
      </c>
      <c r="R29" s="147" t="e">
        <f ca="1">_xludf.IFNA(H31/_xlfn.XLOOKUP($M31,'00_SKU_Master'!$B$2:$B$378,'00_SKU_Master'!$M$2:$M$378,0)/$M$2,"0")</f>
        <v>#NAME?</v>
      </c>
      <c r="S29" s="147" t="e">
        <f ca="1">_xludf.IFNA(I31/_xlfn.XLOOKUP($M31,'00_SKU_Master'!$B$2:$B$378,'00_SKU_Master'!$M$2:$M$378,0)/$M$2,"0")</f>
        <v>#NAME?</v>
      </c>
      <c r="T29" s="147" t="e">
        <f ca="1">_xludf.IFNA(J31/_xlfn.XLOOKUP($M31,'00_SKU_Master'!$B$2:$B$378,'00_SKU_Master'!$M$2:$M$378,0)/$M$2,"0")</f>
        <v>#NAME?</v>
      </c>
      <c r="U29" s="147" t="e">
        <f t="shared" ca="1" si="3"/>
        <v>#NAME?</v>
      </c>
      <c r="V29" s="4"/>
      <c r="W29" s="4" t="e">
        <f>_xlfn.XLOOKUP(M31,'00_SKU_Master'!$B$2:$B$378,'00_SKU_Master'!D:D)</f>
        <v>#VALUE!</v>
      </c>
      <c r="X29" s="14">
        <f>'05_Daily_Orders'!B30</f>
        <v>2047</v>
      </c>
      <c r="Y29" s="554"/>
      <c r="Z29" s="555"/>
      <c r="AA29" s="555"/>
      <c r="AB29" s="555"/>
      <c r="AC29" s="555">
        <v>49</v>
      </c>
      <c r="AD29" s="555">
        <v>0</v>
      </c>
      <c r="AE29" s="555">
        <v>148</v>
      </c>
      <c r="AF29" s="553">
        <f t="shared" si="4"/>
        <v>130</v>
      </c>
      <c r="AH29" s="40">
        <v>61087</v>
      </c>
      <c r="AI29" s="208">
        <f>SUMIF($A$4:$A$234,AH31,$K$4:$K$274)</f>
        <v>0</v>
      </c>
      <c r="AQ29" s="23">
        <v>0</v>
      </c>
      <c r="AR29" s="23">
        <v>97</v>
      </c>
      <c r="AS29" s="23">
        <f t="shared" si="5"/>
        <v>-1</v>
      </c>
    </row>
    <row r="30" spans="1:45">
      <c r="A30" s="138">
        <f>_xlfn.XLOOKUP(C32,'00_SKU_Master'!$B$2:$B$378,'00_SKU_Master'!$C$2:$C$378)</f>
        <v>61061</v>
      </c>
      <c r="B30" s="138"/>
      <c r="C30" s="138">
        <f t="shared" si="0"/>
        <v>2062</v>
      </c>
      <c r="D30" s="552" t="e">
        <f ca="1">_xludf.IFNA(_xlfn.XLOOKUP(C32,'00_SKU_Master'!$B$2:$B$378,'00_SKU_Master'!$F$2:$F$378,0)*Y32,"")</f>
        <v>#NAME?</v>
      </c>
      <c r="E30" s="552" t="e">
        <f ca="1">_xludf.IFNA(_xlfn.XLOOKUP(C32,'00_SKU_Master'!$B$2:$B$378,'00_SKU_Master'!$F$2:$F$378,0)*Z32,"")</f>
        <v>#NAME?</v>
      </c>
      <c r="F30" s="552" t="e">
        <f ca="1">_xludf.IFNA(_xlfn.XLOOKUP(C32,'00_SKU_Master'!$B$2:$B$378,'00_SKU_Master'!$F$2:$F$378,0)*AA32,"")</f>
        <v>#NAME?</v>
      </c>
      <c r="G30" s="552" t="e">
        <f ca="1">_xludf.IFNA(_xlfn.XLOOKUP(C32,'00_SKU_Master'!$B$2:$B$378,'00_SKU_Master'!$F$2:$F$378,0)*AB32,"")</f>
        <v>#NAME?</v>
      </c>
      <c r="H30" s="552" t="e">
        <f ca="1">_xludf.IFNA(_xlfn.XLOOKUP(C32,'00_SKU_Master'!$B$2:$B$378,'00_SKU_Master'!$F$2:$F$378,0)*AC32,"")</f>
        <v>#NAME?</v>
      </c>
      <c r="I30" s="552" t="e">
        <f ca="1">_xludf.IFNA(_xlfn.XLOOKUP(C32,'00_SKU_Master'!$B$2:$B$378,'00_SKU_Master'!$F$2:$F$378,0)*AD32,"")</f>
        <v>#NAME?</v>
      </c>
      <c r="J30" s="552" t="e">
        <f ca="1">_xludf.IFNA(_xlfn.XLOOKUP(C32,'00_SKU_Master'!$B$2:$B$378,'00_SKU_Master'!$F$2:$F$378,0)*AE32,"")</f>
        <v>#NAME?</v>
      </c>
      <c r="K30" s="553" t="e">
        <f t="shared" ca="1" si="1"/>
        <v>#NAME?</v>
      </c>
      <c r="L30" s="187" t="e">
        <f>_xlfn.XLOOKUP(C32,'00_SKU_Master'!$B$2:$B$378,'00_SKU_Master'!K:K)</f>
        <v>#VALUE!</v>
      </c>
      <c r="M30" s="14">
        <f t="shared" si="2"/>
        <v>2062</v>
      </c>
      <c r="N30" s="147" t="e">
        <f ca="1">_xludf.IFNA(D32/_xlfn.XLOOKUP($M32,'00_SKU_Master'!$B$2:$B$378,'00_SKU_Master'!$M$2:$M$378,0)/$M$2,"0")</f>
        <v>#NAME?</v>
      </c>
      <c r="O30" s="147" t="e">
        <f ca="1">_xludf.IFNA(E32/_xlfn.XLOOKUP($M32,'00_SKU_Master'!$B$2:$B$378,'00_SKU_Master'!$M$2:$M$378,0)/$M$2,"0")</f>
        <v>#NAME?</v>
      </c>
      <c r="P30" s="147" t="e">
        <f ca="1">_xludf.IFNA(F32/_xlfn.XLOOKUP($M32,'00_SKU_Master'!$B$2:$B$378,'00_SKU_Master'!$M$2:$M$378,0)/$M$2,"0")</f>
        <v>#NAME?</v>
      </c>
      <c r="Q30" s="147" t="e">
        <f ca="1">_xludf.IFNA(G32/_xlfn.XLOOKUP($M32,'00_SKU_Master'!$B$2:$B$378,'00_SKU_Master'!$M$2:$M$378,0)/$M$2,"0")</f>
        <v>#NAME?</v>
      </c>
      <c r="R30" s="147" t="e">
        <f ca="1">_xludf.IFNA(H32/_xlfn.XLOOKUP($M32,'00_SKU_Master'!$B$2:$B$378,'00_SKU_Master'!$M$2:$M$378,0)/$M$2,"0")</f>
        <v>#NAME?</v>
      </c>
      <c r="S30" s="147" t="e">
        <f ca="1">_xludf.IFNA(I32/_xlfn.XLOOKUP($M32,'00_SKU_Master'!$B$2:$B$378,'00_SKU_Master'!$M$2:$M$378,0)/$M$2,"0")</f>
        <v>#NAME?</v>
      </c>
      <c r="T30" s="147" t="e">
        <f ca="1">_xludf.IFNA(J32/_xlfn.XLOOKUP($M32,'00_SKU_Master'!$B$2:$B$378,'00_SKU_Master'!$M$2:$M$378,0)/$M$2,"0")</f>
        <v>#NAME?</v>
      </c>
      <c r="U30" s="147" t="e">
        <f t="shared" ca="1" si="3"/>
        <v>#NAME?</v>
      </c>
      <c r="V30" s="4"/>
      <c r="W30" s="4" t="e">
        <f>_xlfn.XLOOKUP(M32,'00_SKU_Master'!$B$2:$B$378,'00_SKU_Master'!D:D)</f>
        <v>#VALUE!</v>
      </c>
      <c r="X30" s="14">
        <f>'05_Daily_Orders'!B31</f>
        <v>2060</v>
      </c>
      <c r="Y30" s="554"/>
      <c r="Z30" s="555"/>
      <c r="AA30" s="555"/>
      <c r="AB30" s="555"/>
      <c r="AC30" s="555">
        <v>55</v>
      </c>
      <c r="AD30" s="555">
        <v>0</v>
      </c>
      <c r="AE30" s="555">
        <v>31</v>
      </c>
      <c r="AF30" s="553">
        <f t="shared" si="4"/>
        <v>160</v>
      </c>
      <c r="AQ30" s="23">
        <v>14</v>
      </c>
      <c r="AR30" s="23">
        <v>0</v>
      </c>
      <c r="AS30" s="23">
        <f t="shared" si="5"/>
        <v>1</v>
      </c>
    </row>
    <row r="31" spans="1:45">
      <c r="A31" s="138">
        <f>_xlfn.XLOOKUP(C33,'00_SKU_Master'!$B$2:$B$378,'00_SKU_Master'!$C$2:$C$378)</f>
        <v>61010</v>
      </c>
      <c r="B31" s="138"/>
      <c r="C31" s="138">
        <f t="shared" si="0"/>
        <v>2063</v>
      </c>
      <c r="D31" s="552" t="e">
        <f ca="1">_xludf.IFNA(_xlfn.XLOOKUP(C33,'00_SKU_Master'!$B$2:$B$378,'00_SKU_Master'!$F$2:$F$378,0)*Y33,"")</f>
        <v>#NAME?</v>
      </c>
      <c r="E31" s="552" t="e">
        <f ca="1">_xludf.IFNA(_xlfn.XLOOKUP(C33,'00_SKU_Master'!$B$2:$B$378,'00_SKU_Master'!$F$2:$F$378,0)*Z33,"")</f>
        <v>#NAME?</v>
      </c>
      <c r="F31" s="552" t="e">
        <f ca="1">_xludf.IFNA(_xlfn.XLOOKUP(C33,'00_SKU_Master'!$B$2:$B$378,'00_SKU_Master'!$F$2:$F$378,0)*AA33,"")</f>
        <v>#NAME?</v>
      </c>
      <c r="G31" s="552" t="e">
        <f ca="1">_xludf.IFNA(_xlfn.XLOOKUP(C33,'00_SKU_Master'!$B$2:$B$378,'00_SKU_Master'!$F$2:$F$378,0)*AB33,"")</f>
        <v>#NAME?</v>
      </c>
      <c r="H31" s="552" t="e">
        <f ca="1">_xludf.IFNA(_xlfn.XLOOKUP(C33,'00_SKU_Master'!$B$2:$B$378,'00_SKU_Master'!$F$2:$F$378,0)*AC33,"")</f>
        <v>#NAME?</v>
      </c>
      <c r="I31" s="552" t="e">
        <f ca="1">_xludf.IFNA(_xlfn.XLOOKUP(C33,'00_SKU_Master'!$B$2:$B$378,'00_SKU_Master'!$F$2:$F$378,0)*AD33,"")</f>
        <v>#NAME?</v>
      </c>
      <c r="J31" s="552" t="e">
        <f ca="1">_xludf.IFNA(_xlfn.XLOOKUP(C33,'00_SKU_Master'!$B$2:$B$378,'00_SKU_Master'!$F$2:$F$378,0)*AE33,"")</f>
        <v>#NAME?</v>
      </c>
      <c r="K31" s="553" t="e">
        <f t="shared" ca="1" si="1"/>
        <v>#NAME?</v>
      </c>
      <c r="L31" s="187" t="e">
        <f>_xlfn.XLOOKUP(C33,'00_SKU_Master'!$B$2:$B$378,'00_SKU_Master'!K:K)</f>
        <v>#VALUE!</v>
      </c>
      <c r="M31" s="14">
        <f t="shared" si="2"/>
        <v>2063</v>
      </c>
      <c r="N31" s="147" t="e">
        <f ca="1">_xludf.IFNA(D33/_xlfn.XLOOKUP($M33,'00_SKU_Master'!$B$2:$B$378,'00_SKU_Master'!$M$2:$M$378,0)/$M$2,"0")</f>
        <v>#NAME?</v>
      </c>
      <c r="O31" s="147" t="e">
        <f ca="1">_xludf.IFNA(E33/_xlfn.XLOOKUP($M33,'00_SKU_Master'!$B$2:$B$378,'00_SKU_Master'!$M$2:$M$378,0)/$M$2,"0")</f>
        <v>#NAME?</v>
      </c>
      <c r="P31" s="147" t="e">
        <f ca="1">_xludf.IFNA(F33/_xlfn.XLOOKUP($M33,'00_SKU_Master'!$B$2:$B$378,'00_SKU_Master'!$M$2:$M$378,0)/$M$2,"0")</f>
        <v>#NAME?</v>
      </c>
      <c r="Q31" s="147" t="e">
        <f ca="1">_xludf.IFNA(G33/_xlfn.XLOOKUP($M33,'00_SKU_Master'!$B$2:$B$378,'00_SKU_Master'!$M$2:$M$378,0)/$M$2,"0")</f>
        <v>#NAME?</v>
      </c>
      <c r="R31" s="147" t="e">
        <f ca="1">_xludf.IFNA(H33/_xlfn.XLOOKUP($M33,'00_SKU_Master'!$B$2:$B$378,'00_SKU_Master'!$M$2:$M$378,0)/$M$2,"0")</f>
        <v>#NAME?</v>
      </c>
      <c r="S31" s="147" t="e">
        <f ca="1">_xludf.IFNA(I33/_xlfn.XLOOKUP($M33,'00_SKU_Master'!$B$2:$B$378,'00_SKU_Master'!$M$2:$M$378,0)/$M$2,"0")</f>
        <v>#NAME?</v>
      </c>
      <c r="T31" s="147" t="e">
        <f ca="1">_xludf.IFNA(J33/_xlfn.XLOOKUP($M33,'00_SKU_Master'!$B$2:$B$378,'00_SKU_Master'!$M$2:$M$378,0)/$M$2,"0")</f>
        <v>#NAME?</v>
      </c>
      <c r="U31" s="147" t="e">
        <f t="shared" ca="1" si="3"/>
        <v>#NAME?</v>
      </c>
      <c r="V31" s="4"/>
      <c r="W31" s="4" t="e">
        <f>_xlfn.XLOOKUP(M33,'00_SKU_Master'!$B$2:$B$378,'00_SKU_Master'!D:D)</f>
        <v>#VALUE!</v>
      </c>
      <c r="X31" s="14">
        <f>'05_Daily_Orders'!B32</f>
        <v>2061</v>
      </c>
      <c r="Y31" s="554"/>
      <c r="Z31" s="555"/>
      <c r="AA31" s="555"/>
      <c r="AB31" s="555"/>
      <c r="AC31" s="555">
        <v>130</v>
      </c>
      <c r="AD31" s="555">
        <v>0</v>
      </c>
      <c r="AE31" s="555">
        <v>0</v>
      </c>
      <c r="AF31" s="553">
        <f t="shared" si="4"/>
        <v>0</v>
      </c>
      <c r="AH31" s="23" t="s">
        <v>888</v>
      </c>
      <c r="AI31" s="208" t="e">
        <f ca="1">SUM(AI27:AI31)*25/[1]Plan!C5</f>
        <v>#NAME?</v>
      </c>
      <c r="AQ31" s="23">
        <v>1</v>
      </c>
      <c r="AR31" s="23">
        <v>0</v>
      </c>
      <c r="AS31" s="23">
        <f t="shared" si="5"/>
        <v>0</v>
      </c>
    </row>
    <row r="32" spans="1:45">
      <c r="A32" s="138" t="str">
        <f>_xlfn.XLOOKUP(C34,'00_SKU_Master'!$B$2:$B$378,'00_SKU_Master'!$C$2:$C$378)</f>
        <v>61040#2</v>
      </c>
      <c r="B32" s="138"/>
      <c r="C32" s="138">
        <f t="shared" si="0"/>
        <v>2064</v>
      </c>
      <c r="D32" s="552" t="e">
        <f ca="1">_xludf.IFNA(_xlfn.XLOOKUP(C34,'00_SKU_Master'!$B$2:$B$378,'00_SKU_Master'!$F$2:$F$378,0)*Y34,"")</f>
        <v>#NAME?</v>
      </c>
      <c r="E32" s="552" t="e">
        <f ca="1">_xludf.IFNA(_xlfn.XLOOKUP(C34,'00_SKU_Master'!$B$2:$B$378,'00_SKU_Master'!$F$2:$F$378,0)*Z34,"")</f>
        <v>#NAME?</v>
      </c>
      <c r="F32" s="552" t="e">
        <f ca="1">_xludf.IFNA(_xlfn.XLOOKUP(C34,'00_SKU_Master'!$B$2:$B$378,'00_SKU_Master'!$F$2:$F$378,0)*AA34,"")</f>
        <v>#NAME?</v>
      </c>
      <c r="G32" s="552" t="e">
        <f ca="1">_xludf.IFNA(_xlfn.XLOOKUP(C34,'00_SKU_Master'!$B$2:$B$378,'00_SKU_Master'!$F$2:$F$378,0)*AB34,"")</f>
        <v>#NAME?</v>
      </c>
      <c r="H32" s="552" t="e">
        <f ca="1">_xludf.IFNA(_xlfn.XLOOKUP(C34,'00_SKU_Master'!$B$2:$B$378,'00_SKU_Master'!$F$2:$F$378,0)*AC34,"")</f>
        <v>#NAME?</v>
      </c>
      <c r="I32" s="552" t="e">
        <f ca="1">_xludf.IFNA(_xlfn.XLOOKUP(C34,'00_SKU_Master'!$B$2:$B$378,'00_SKU_Master'!$F$2:$F$378,0)*AD34,"")</f>
        <v>#NAME?</v>
      </c>
      <c r="J32" s="552" t="e">
        <f ca="1">_xludf.IFNA(_xlfn.XLOOKUP(C34,'00_SKU_Master'!$B$2:$B$378,'00_SKU_Master'!$F$2:$F$378,0)*AE34,"")</f>
        <v>#NAME?</v>
      </c>
      <c r="K32" s="553" t="e">
        <f t="shared" ca="1" si="1"/>
        <v>#NAME?</v>
      </c>
      <c r="L32" s="187" t="e">
        <f>_xlfn.XLOOKUP(C34,'00_SKU_Master'!$B$2:$B$378,'00_SKU_Master'!K:K)</f>
        <v>#VALUE!</v>
      </c>
      <c r="M32" s="14">
        <f t="shared" si="2"/>
        <v>2064</v>
      </c>
      <c r="N32" s="147" t="e">
        <f ca="1">_xludf.IFNA(D34/_xlfn.XLOOKUP($M34,'00_SKU_Master'!$B$2:$B$378,'00_SKU_Master'!$M$2:$M$378,0)/$M$2,"0")</f>
        <v>#NAME?</v>
      </c>
      <c r="O32" s="147" t="e">
        <f ca="1">_xludf.IFNA(E34/_xlfn.XLOOKUP($M34,'00_SKU_Master'!$B$2:$B$378,'00_SKU_Master'!$M$2:$M$378,0)/$M$2,"0")</f>
        <v>#NAME?</v>
      </c>
      <c r="P32" s="147" t="e">
        <f ca="1">_xludf.IFNA(F34/_xlfn.XLOOKUP($M34,'00_SKU_Master'!$B$2:$B$378,'00_SKU_Master'!$M$2:$M$378,0)/$M$2,"0")</f>
        <v>#NAME?</v>
      </c>
      <c r="Q32" s="147" t="e">
        <f ca="1">_xludf.IFNA(G34/_xlfn.XLOOKUP($M34,'00_SKU_Master'!$B$2:$B$378,'00_SKU_Master'!$M$2:$M$378,0)/$M$2,"0")</f>
        <v>#NAME?</v>
      </c>
      <c r="R32" s="147" t="e">
        <f ca="1">_xludf.IFNA(H34/_xlfn.XLOOKUP($M34,'00_SKU_Master'!$B$2:$B$378,'00_SKU_Master'!$M$2:$M$378,0)/$M$2,"0")</f>
        <v>#NAME?</v>
      </c>
      <c r="S32" s="147" t="e">
        <f ca="1">_xludf.IFNA(I34/_xlfn.XLOOKUP($M34,'00_SKU_Master'!$B$2:$B$378,'00_SKU_Master'!$M$2:$M$378,0)/$M$2,"0")</f>
        <v>#NAME?</v>
      </c>
      <c r="T32" s="147" t="e">
        <f ca="1">_xludf.IFNA(J34/_xlfn.XLOOKUP($M34,'00_SKU_Master'!$B$2:$B$378,'00_SKU_Master'!$M$2:$M$378,0)/$M$2,"0")</f>
        <v>#NAME?</v>
      </c>
      <c r="U32" s="147" t="e">
        <f t="shared" ca="1" si="3"/>
        <v>#NAME?</v>
      </c>
      <c r="V32" s="4"/>
      <c r="W32" s="4" t="e">
        <f>_xlfn.XLOOKUP(M34,'00_SKU_Master'!$B$2:$B$378,'00_SKU_Master'!D:D)</f>
        <v>#VALUE!</v>
      </c>
      <c r="X32" s="14">
        <f>'05_Daily_Orders'!B33</f>
        <v>2062</v>
      </c>
      <c r="Y32" s="554"/>
      <c r="Z32" s="555"/>
      <c r="AA32" s="555"/>
      <c r="AB32" s="555"/>
      <c r="AC32" s="555">
        <v>160</v>
      </c>
      <c r="AD32" s="555">
        <v>0</v>
      </c>
      <c r="AE32" s="555">
        <v>0</v>
      </c>
      <c r="AF32" s="553">
        <f t="shared" si="4"/>
        <v>300</v>
      </c>
      <c r="AQ32" s="23">
        <v>0</v>
      </c>
      <c r="AR32" s="23">
        <v>1</v>
      </c>
      <c r="AS32" s="23">
        <f t="shared" si="5"/>
        <v>60</v>
      </c>
    </row>
    <row r="33" spans="1:45">
      <c r="A33" s="138" t="str">
        <f>_xlfn.XLOOKUP(C35,'00_SKU_Master'!$B$2:$B$378,'00_SKU_Master'!$C$2:$C$378)</f>
        <v>61086#2</v>
      </c>
      <c r="B33" s="138"/>
      <c r="C33" s="138">
        <f t="shared" si="0"/>
        <v>2065</v>
      </c>
      <c r="D33" s="552" t="e">
        <f ca="1">_xludf.IFNA(_xlfn.XLOOKUP(C35,'00_SKU_Master'!$B$2:$B$378,'00_SKU_Master'!$F$2:$F$378,0)*Y35,"")</f>
        <v>#NAME?</v>
      </c>
      <c r="E33" s="552" t="e">
        <f ca="1">_xludf.IFNA(_xlfn.XLOOKUP(C35,'00_SKU_Master'!$B$2:$B$378,'00_SKU_Master'!$F$2:$F$378,0)*Z35,"")</f>
        <v>#NAME?</v>
      </c>
      <c r="F33" s="552" t="e">
        <f ca="1">_xludf.IFNA(_xlfn.XLOOKUP(C35,'00_SKU_Master'!$B$2:$B$378,'00_SKU_Master'!$F$2:$F$378,0)*AA35,"")</f>
        <v>#NAME?</v>
      </c>
      <c r="G33" s="552" t="e">
        <f ca="1">_xludf.IFNA(_xlfn.XLOOKUP(C35,'00_SKU_Master'!$B$2:$B$378,'00_SKU_Master'!$F$2:$F$378,0)*AB35,"")</f>
        <v>#NAME?</v>
      </c>
      <c r="H33" s="552" t="e">
        <f ca="1">_xludf.IFNA(_xlfn.XLOOKUP(C35,'00_SKU_Master'!$B$2:$B$378,'00_SKU_Master'!$F$2:$F$378,0)*AC35,"")</f>
        <v>#NAME?</v>
      </c>
      <c r="I33" s="552" t="e">
        <f ca="1">_xludf.IFNA(_xlfn.XLOOKUP(C35,'00_SKU_Master'!$B$2:$B$378,'00_SKU_Master'!$F$2:$F$378,0)*AD35,"")</f>
        <v>#NAME?</v>
      </c>
      <c r="J33" s="552" t="e">
        <f ca="1">_xludf.IFNA(_xlfn.XLOOKUP(C35,'00_SKU_Master'!$B$2:$B$378,'00_SKU_Master'!$F$2:$F$378,0)*AE35,"")</f>
        <v>#NAME?</v>
      </c>
      <c r="K33" s="553" t="e">
        <f t="shared" ca="1" si="1"/>
        <v>#NAME?</v>
      </c>
      <c r="L33" s="187" t="e">
        <f>_xlfn.XLOOKUP(C35,'00_SKU_Master'!$B$2:$B$378,'00_SKU_Master'!K:K)</f>
        <v>#VALUE!</v>
      </c>
      <c r="M33" s="14">
        <f t="shared" si="2"/>
        <v>2065</v>
      </c>
      <c r="N33" s="147" t="e">
        <f ca="1">_xludf.IFNA(D35/_xlfn.XLOOKUP($M35,'00_SKU_Master'!$B$2:$B$378,'00_SKU_Master'!$M$2:$M$378,0)/$M$2,"0")</f>
        <v>#NAME?</v>
      </c>
      <c r="O33" s="147" t="e">
        <f ca="1">_xludf.IFNA(E35/_xlfn.XLOOKUP($M35,'00_SKU_Master'!$B$2:$B$378,'00_SKU_Master'!$M$2:$M$378,0)/$M$2,"0")</f>
        <v>#NAME?</v>
      </c>
      <c r="P33" s="147" t="e">
        <f ca="1">_xludf.IFNA(F35/_xlfn.XLOOKUP($M35,'00_SKU_Master'!$B$2:$B$378,'00_SKU_Master'!$M$2:$M$378,0)/$M$2,"0")</f>
        <v>#NAME?</v>
      </c>
      <c r="Q33" s="147" t="e">
        <f ca="1">_xludf.IFNA(G35/_xlfn.XLOOKUP($M35,'00_SKU_Master'!$B$2:$B$378,'00_SKU_Master'!$M$2:$M$378,0)/$M$2,"0")</f>
        <v>#NAME?</v>
      </c>
      <c r="R33" s="147" t="e">
        <f ca="1">_xludf.IFNA(H35/_xlfn.XLOOKUP($M35,'00_SKU_Master'!$B$2:$B$378,'00_SKU_Master'!$M$2:$M$378,0)/$M$2,"0")</f>
        <v>#NAME?</v>
      </c>
      <c r="S33" s="147" t="e">
        <f ca="1">_xludf.IFNA(I35/_xlfn.XLOOKUP($M35,'00_SKU_Master'!$B$2:$B$378,'00_SKU_Master'!$M$2:$M$378,0)/$M$2,"0")</f>
        <v>#NAME?</v>
      </c>
      <c r="T33" s="147" t="e">
        <f ca="1">_xludf.IFNA(J35/_xlfn.XLOOKUP($M35,'00_SKU_Master'!$B$2:$B$378,'00_SKU_Master'!$M$2:$M$378,0)/$M$2,"0")</f>
        <v>#NAME?</v>
      </c>
      <c r="U33" s="147" t="e">
        <f t="shared" ca="1" si="3"/>
        <v>#NAME?</v>
      </c>
      <c r="V33" s="4"/>
      <c r="W33" s="4" t="e">
        <f>_xlfn.XLOOKUP(M35,'00_SKU_Master'!$B$2:$B$378,'00_SKU_Master'!D:D)</f>
        <v>#VALUE!</v>
      </c>
      <c r="X33" s="14">
        <f>'05_Daily_Orders'!B34</f>
        <v>2063</v>
      </c>
      <c r="Y33" s="554"/>
      <c r="Z33" s="555"/>
      <c r="AA33" s="555"/>
      <c r="AB33" s="555"/>
      <c r="AC33" s="555">
        <v>0</v>
      </c>
      <c r="AD33" s="555">
        <v>0</v>
      </c>
      <c r="AE33" s="555">
        <v>0</v>
      </c>
      <c r="AF33" s="553">
        <f t="shared" si="4"/>
        <v>150</v>
      </c>
      <c r="AQ33" s="23">
        <v>0</v>
      </c>
      <c r="AR33" s="23">
        <v>0</v>
      </c>
      <c r="AS33" s="23">
        <f t="shared" si="5"/>
        <v>0</v>
      </c>
    </row>
    <row r="34" spans="1:45">
      <c r="A34" s="138" t="str">
        <f>_xlfn.XLOOKUP(C36,'00_SKU_Master'!$B$2:$B$378,'00_SKU_Master'!$C$2:$C$378)</f>
        <v>61050#2</v>
      </c>
      <c r="B34" s="138"/>
      <c r="C34" s="138">
        <f t="shared" si="0"/>
        <v>2066</v>
      </c>
      <c r="D34" s="552" t="e">
        <f ca="1">_xludf.IFNA(_xlfn.XLOOKUP(C36,'00_SKU_Master'!$B$2:$B$378,'00_SKU_Master'!$F$2:$F$378,0)*Y36,"")</f>
        <v>#NAME?</v>
      </c>
      <c r="E34" s="552" t="e">
        <f ca="1">_xludf.IFNA(_xlfn.XLOOKUP(C36,'00_SKU_Master'!$B$2:$B$378,'00_SKU_Master'!$F$2:$F$378,0)*Z36,"")</f>
        <v>#NAME?</v>
      </c>
      <c r="F34" s="552" t="e">
        <f ca="1">_xludf.IFNA(_xlfn.XLOOKUP(C36,'00_SKU_Master'!$B$2:$B$378,'00_SKU_Master'!$F$2:$F$378,0)*AA36,"")</f>
        <v>#NAME?</v>
      </c>
      <c r="G34" s="552" t="e">
        <f ca="1">_xludf.IFNA(_xlfn.XLOOKUP(C36,'00_SKU_Master'!$B$2:$B$378,'00_SKU_Master'!$F$2:$F$378,0)*AB36,"")</f>
        <v>#NAME?</v>
      </c>
      <c r="H34" s="552" t="e">
        <f ca="1">_xludf.IFNA(_xlfn.XLOOKUP(C36,'00_SKU_Master'!$B$2:$B$378,'00_SKU_Master'!$F$2:$F$378,0)*AC36,"")</f>
        <v>#NAME?</v>
      </c>
      <c r="I34" s="552" t="e">
        <f ca="1">_xludf.IFNA(_xlfn.XLOOKUP(C36,'00_SKU_Master'!$B$2:$B$378,'00_SKU_Master'!$F$2:$F$378,0)*AD36,"")</f>
        <v>#NAME?</v>
      </c>
      <c r="J34" s="552" t="e">
        <f ca="1">_xludf.IFNA(_xlfn.XLOOKUP(C36,'00_SKU_Master'!$B$2:$B$378,'00_SKU_Master'!$F$2:$F$378,0)*AE36,"")</f>
        <v>#NAME?</v>
      </c>
      <c r="K34" s="553" t="e">
        <f t="shared" ca="1" si="1"/>
        <v>#NAME?</v>
      </c>
      <c r="L34" s="187" t="e">
        <f>_xlfn.XLOOKUP(C36,'00_SKU_Master'!$B$2:$B$378,'00_SKU_Master'!K:K)</f>
        <v>#VALUE!</v>
      </c>
      <c r="M34" s="14">
        <f t="shared" si="2"/>
        <v>2066</v>
      </c>
      <c r="N34" s="147" t="e">
        <f ca="1">_xludf.IFNA(D36/_xlfn.XLOOKUP($M36,'00_SKU_Master'!$B$2:$B$378,'00_SKU_Master'!$M$2:$M$378,0)/$M$2,"0")</f>
        <v>#NAME?</v>
      </c>
      <c r="O34" s="147" t="e">
        <f ca="1">_xludf.IFNA(E36/_xlfn.XLOOKUP($M36,'00_SKU_Master'!$B$2:$B$378,'00_SKU_Master'!$M$2:$M$378,0)/$M$2,"0")</f>
        <v>#NAME?</v>
      </c>
      <c r="P34" s="147" t="e">
        <f ca="1">_xludf.IFNA(F36/_xlfn.XLOOKUP($M36,'00_SKU_Master'!$B$2:$B$378,'00_SKU_Master'!$M$2:$M$378,0)/$M$2,"0")</f>
        <v>#NAME?</v>
      </c>
      <c r="Q34" s="147" t="e">
        <f ca="1">_xludf.IFNA(G36/_xlfn.XLOOKUP($M36,'00_SKU_Master'!$B$2:$B$378,'00_SKU_Master'!$M$2:$M$378,0)/$M$2,"0")</f>
        <v>#NAME?</v>
      </c>
      <c r="R34" s="147" t="e">
        <f ca="1">_xludf.IFNA(H36/_xlfn.XLOOKUP($M36,'00_SKU_Master'!$B$2:$B$378,'00_SKU_Master'!$M$2:$M$378,0)/$M$2,"0")</f>
        <v>#NAME?</v>
      </c>
      <c r="S34" s="147" t="e">
        <f ca="1">_xludf.IFNA(I36/_xlfn.XLOOKUP($M36,'00_SKU_Master'!$B$2:$B$378,'00_SKU_Master'!$M$2:$M$378,0)/$M$2,"0")</f>
        <v>#NAME?</v>
      </c>
      <c r="T34" s="147" t="e">
        <f ca="1">_xludf.IFNA(J36/_xlfn.XLOOKUP($M36,'00_SKU_Master'!$B$2:$B$378,'00_SKU_Master'!$M$2:$M$378,0)/$M$2,"0")</f>
        <v>#NAME?</v>
      </c>
      <c r="U34" s="147" t="e">
        <f t="shared" ca="1" si="3"/>
        <v>#NAME?</v>
      </c>
      <c r="V34" s="4"/>
      <c r="W34" s="4" t="e">
        <f>_xlfn.XLOOKUP(M36,'00_SKU_Master'!$B$2:$B$378,'00_SKU_Master'!D:D)</f>
        <v>#VALUE!</v>
      </c>
      <c r="X34" s="14">
        <f>'05_Daily_Orders'!B35</f>
        <v>2064</v>
      </c>
      <c r="Y34" s="554"/>
      <c r="Z34" s="555"/>
      <c r="AA34" s="555"/>
      <c r="AB34" s="555"/>
      <c r="AC34" s="555">
        <v>300</v>
      </c>
      <c r="AD34" s="555">
        <v>0</v>
      </c>
      <c r="AE34" s="555">
        <v>0</v>
      </c>
      <c r="AF34" s="553">
        <f t="shared" si="4"/>
        <v>0</v>
      </c>
      <c r="AQ34" s="23">
        <v>0</v>
      </c>
      <c r="AR34" s="23">
        <v>60</v>
      </c>
      <c r="AS34" s="23">
        <f t="shared" si="5"/>
        <v>0</v>
      </c>
    </row>
    <row r="35" spans="1:45">
      <c r="A35" s="138" t="str">
        <f>_xlfn.XLOOKUP(C37,'00_SKU_Master'!$B$2:$B$378,'00_SKU_Master'!$C$2:$C$378)</f>
        <v>61040#2</v>
      </c>
      <c r="B35" s="138"/>
      <c r="C35" s="138">
        <f t="shared" si="0"/>
        <v>2067</v>
      </c>
      <c r="D35" s="552" t="e">
        <f ca="1">_xludf.IFNA(_xlfn.XLOOKUP(C37,'00_SKU_Master'!$B$2:$B$378,'00_SKU_Master'!$F$2:$F$378,0)*Y37,"")</f>
        <v>#NAME?</v>
      </c>
      <c r="E35" s="552" t="e">
        <f ca="1">_xludf.IFNA(_xlfn.XLOOKUP(C37,'00_SKU_Master'!$B$2:$B$378,'00_SKU_Master'!$F$2:$F$378,0)*Z37,"")</f>
        <v>#NAME?</v>
      </c>
      <c r="F35" s="552" t="e">
        <f ca="1">_xludf.IFNA(_xlfn.XLOOKUP(C37,'00_SKU_Master'!$B$2:$B$378,'00_SKU_Master'!$F$2:$F$378,0)*AA37,"")</f>
        <v>#NAME?</v>
      </c>
      <c r="G35" s="552" t="e">
        <f ca="1">_xludf.IFNA(_xlfn.XLOOKUP(C37,'00_SKU_Master'!$B$2:$B$378,'00_SKU_Master'!$F$2:$F$378,0)*AB37,"")</f>
        <v>#NAME?</v>
      </c>
      <c r="H35" s="552" t="e">
        <f ca="1">_xludf.IFNA(_xlfn.XLOOKUP(C37,'00_SKU_Master'!$B$2:$B$378,'00_SKU_Master'!$F$2:$F$378,0)*AC37,"")</f>
        <v>#NAME?</v>
      </c>
      <c r="I35" s="552" t="e">
        <f ca="1">_xludf.IFNA(_xlfn.XLOOKUP(C37,'00_SKU_Master'!$B$2:$B$378,'00_SKU_Master'!$F$2:$F$378,0)*AD37,"")</f>
        <v>#NAME?</v>
      </c>
      <c r="J35" s="552" t="e">
        <f ca="1">_xludf.IFNA(_xlfn.XLOOKUP(C37,'00_SKU_Master'!$B$2:$B$378,'00_SKU_Master'!$F$2:$F$378,0)*AE37,"")</f>
        <v>#NAME?</v>
      </c>
      <c r="K35" s="553" t="e">
        <f t="shared" ca="1" si="1"/>
        <v>#NAME?</v>
      </c>
      <c r="L35" s="187" t="e">
        <f>_xlfn.XLOOKUP(C37,'00_SKU_Master'!$B$2:$B$378,'00_SKU_Master'!K:K)</f>
        <v>#VALUE!</v>
      </c>
      <c r="M35" s="14">
        <f t="shared" si="2"/>
        <v>2067</v>
      </c>
      <c r="N35" s="147" t="e">
        <f ca="1">_xludf.IFNA(D37/_xlfn.XLOOKUP($M37,'00_SKU_Master'!$B$2:$B$378,'00_SKU_Master'!$M$2:$M$378,0)/$M$2,"0")</f>
        <v>#NAME?</v>
      </c>
      <c r="O35" s="147" t="e">
        <f ca="1">_xludf.IFNA(E37/_xlfn.XLOOKUP($M37,'00_SKU_Master'!$B$2:$B$378,'00_SKU_Master'!$M$2:$M$378,0)/$M$2,"0")</f>
        <v>#NAME?</v>
      </c>
      <c r="P35" s="147" t="e">
        <f ca="1">_xludf.IFNA(F37/_xlfn.XLOOKUP($M37,'00_SKU_Master'!$B$2:$B$378,'00_SKU_Master'!$M$2:$M$378,0)/$M$2,"0")</f>
        <v>#NAME?</v>
      </c>
      <c r="Q35" s="147" t="e">
        <f ca="1">_xludf.IFNA(G37/_xlfn.XLOOKUP($M37,'00_SKU_Master'!$B$2:$B$378,'00_SKU_Master'!$M$2:$M$378,0)/$M$2,"0")</f>
        <v>#NAME?</v>
      </c>
      <c r="R35" s="147" t="e">
        <f ca="1">_xludf.IFNA(H37/_xlfn.XLOOKUP($M37,'00_SKU_Master'!$B$2:$B$378,'00_SKU_Master'!$M$2:$M$378,0)/$M$2,"0")</f>
        <v>#NAME?</v>
      </c>
      <c r="S35" s="147" t="e">
        <f ca="1">_xludf.IFNA(I37/_xlfn.XLOOKUP($M37,'00_SKU_Master'!$B$2:$B$378,'00_SKU_Master'!$M$2:$M$378,0)/$M$2,"0")</f>
        <v>#NAME?</v>
      </c>
      <c r="T35" s="147" t="e">
        <f ca="1">_xludf.IFNA(J37/_xlfn.XLOOKUP($M37,'00_SKU_Master'!$B$2:$B$378,'00_SKU_Master'!$M$2:$M$378,0)/$M$2,"0")</f>
        <v>#NAME?</v>
      </c>
      <c r="U35" s="147" t="e">
        <f t="shared" ca="1" si="3"/>
        <v>#NAME?</v>
      </c>
      <c r="V35" s="4"/>
      <c r="W35" s="4" t="e">
        <f>_xlfn.XLOOKUP(M37,'00_SKU_Master'!$B$2:$B$378,'00_SKU_Master'!D:D)</f>
        <v>#VALUE!</v>
      </c>
      <c r="X35" s="14">
        <f>'05_Daily_Orders'!B36</f>
        <v>2065</v>
      </c>
      <c r="Y35" s="554"/>
      <c r="Z35" s="555"/>
      <c r="AA35" s="555"/>
      <c r="AB35" s="555"/>
      <c r="AC35" s="555">
        <v>150</v>
      </c>
      <c r="AD35" s="555">
        <v>0</v>
      </c>
      <c r="AE35" s="555">
        <v>0</v>
      </c>
      <c r="AF35" s="553">
        <f t="shared" si="4"/>
        <v>180</v>
      </c>
      <c r="AQ35" s="23">
        <v>0</v>
      </c>
      <c r="AR35" s="23">
        <v>0</v>
      </c>
      <c r="AS35" s="23">
        <f t="shared" si="5"/>
        <v>-4</v>
      </c>
    </row>
    <row r="36" spans="1:45">
      <c r="A36" s="138" t="str">
        <f>_xlfn.XLOOKUP(C38,'00_SKU_Master'!$B$2:$B$378,'00_SKU_Master'!$C$2:$C$378)</f>
        <v>61048#2</v>
      </c>
      <c r="B36" s="138"/>
      <c r="C36" s="138">
        <f t="shared" si="0"/>
        <v>2068</v>
      </c>
      <c r="D36" s="552" t="e">
        <f ca="1">_xludf.IFNA(_xlfn.XLOOKUP(C38,'00_SKU_Master'!$B$2:$B$378,'00_SKU_Master'!$F$2:$F$378,0)*Y38,"")</f>
        <v>#NAME?</v>
      </c>
      <c r="E36" s="552" t="e">
        <f ca="1">_xludf.IFNA(_xlfn.XLOOKUP(C38,'00_SKU_Master'!$B$2:$B$378,'00_SKU_Master'!$F$2:$F$378,0)*Z38,"")</f>
        <v>#NAME?</v>
      </c>
      <c r="F36" s="552" t="e">
        <f ca="1">_xludf.IFNA(_xlfn.XLOOKUP(C38,'00_SKU_Master'!$B$2:$B$378,'00_SKU_Master'!$F$2:$F$378,0)*AA38,"")</f>
        <v>#NAME?</v>
      </c>
      <c r="G36" s="552" t="e">
        <f ca="1">_xludf.IFNA(_xlfn.XLOOKUP(C38,'00_SKU_Master'!$B$2:$B$378,'00_SKU_Master'!$F$2:$F$378,0)*AB38,"")</f>
        <v>#NAME?</v>
      </c>
      <c r="H36" s="552" t="e">
        <f ca="1">_xludf.IFNA(_xlfn.XLOOKUP(C38,'00_SKU_Master'!$B$2:$B$378,'00_SKU_Master'!$F$2:$F$378,0)*AC38,"")</f>
        <v>#NAME?</v>
      </c>
      <c r="I36" s="552" t="e">
        <f ca="1">_xludf.IFNA(_xlfn.XLOOKUP(C38,'00_SKU_Master'!$B$2:$B$378,'00_SKU_Master'!$F$2:$F$378,0)*AD38,"")</f>
        <v>#NAME?</v>
      </c>
      <c r="J36" s="552" t="e">
        <f ca="1">_xludf.IFNA(_xlfn.XLOOKUP(C38,'00_SKU_Master'!$B$2:$B$378,'00_SKU_Master'!$F$2:$F$378,0)*AE38,"")</f>
        <v>#NAME?</v>
      </c>
      <c r="K36" s="553" t="e">
        <f t="shared" ca="1" si="1"/>
        <v>#NAME?</v>
      </c>
      <c r="L36" s="187" t="e">
        <f>_xlfn.XLOOKUP(C38,'00_SKU_Master'!$B$2:$B$378,'00_SKU_Master'!K:K)</f>
        <v>#VALUE!</v>
      </c>
      <c r="M36" s="14">
        <f t="shared" si="2"/>
        <v>2068</v>
      </c>
      <c r="N36" s="147" t="e">
        <f ca="1">_xludf.IFNA(D38/_xlfn.XLOOKUP($M38,'00_SKU_Master'!$B$2:$B$378,'00_SKU_Master'!$M$2:$M$378,0)/$M$2,"0")</f>
        <v>#NAME?</v>
      </c>
      <c r="O36" s="147" t="e">
        <f ca="1">_xludf.IFNA(E38/_xlfn.XLOOKUP($M38,'00_SKU_Master'!$B$2:$B$378,'00_SKU_Master'!$M$2:$M$378,0)/$M$2,"0")</f>
        <v>#NAME?</v>
      </c>
      <c r="P36" s="147" t="e">
        <f ca="1">_xludf.IFNA(F38/_xlfn.XLOOKUP($M38,'00_SKU_Master'!$B$2:$B$378,'00_SKU_Master'!$M$2:$M$378,0)/$M$2,"0")</f>
        <v>#NAME?</v>
      </c>
      <c r="Q36" s="147" t="e">
        <f ca="1">_xludf.IFNA(G38/_xlfn.XLOOKUP($M38,'00_SKU_Master'!$B$2:$B$378,'00_SKU_Master'!$M$2:$M$378,0)/$M$2,"0")</f>
        <v>#NAME?</v>
      </c>
      <c r="R36" s="147" t="e">
        <f ca="1">_xludf.IFNA(H38/_xlfn.XLOOKUP($M38,'00_SKU_Master'!$B$2:$B$378,'00_SKU_Master'!$M$2:$M$378,0)/$M$2,"0")</f>
        <v>#NAME?</v>
      </c>
      <c r="S36" s="147" t="e">
        <f ca="1">_xludf.IFNA(I38/_xlfn.XLOOKUP($M38,'00_SKU_Master'!$B$2:$B$378,'00_SKU_Master'!$M$2:$M$378,0)/$M$2,"0")</f>
        <v>#NAME?</v>
      </c>
      <c r="T36" s="147" t="e">
        <f ca="1">_xludf.IFNA(J38/_xlfn.XLOOKUP($M38,'00_SKU_Master'!$B$2:$B$378,'00_SKU_Master'!$M$2:$M$378,0)/$M$2,"0")</f>
        <v>#NAME?</v>
      </c>
      <c r="U36" s="147" t="e">
        <f t="shared" ca="1" si="3"/>
        <v>#NAME?</v>
      </c>
      <c r="V36" s="4"/>
      <c r="W36" s="4" t="e">
        <f>_xlfn.XLOOKUP(M38,'00_SKU_Master'!$B$2:$B$378,'00_SKU_Master'!D:D)</f>
        <v>#VALUE!</v>
      </c>
      <c r="X36" s="14">
        <f>'05_Daily_Orders'!B37</f>
        <v>2066</v>
      </c>
      <c r="Y36" s="554"/>
      <c r="Z36" s="555"/>
      <c r="AA36" s="555"/>
      <c r="AB36" s="555"/>
      <c r="AC36" s="555">
        <v>0</v>
      </c>
      <c r="AD36" s="555">
        <v>0</v>
      </c>
      <c r="AE36" s="555">
        <v>0</v>
      </c>
      <c r="AF36" s="553">
        <f t="shared" si="4"/>
        <v>0</v>
      </c>
      <c r="AQ36" s="23">
        <v>0</v>
      </c>
      <c r="AR36" s="23">
        <v>0</v>
      </c>
      <c r="AS36" s="23">
        <f t="shared" si="5"/>
        <v>0</v>
      </c>
    </row>
    <row r="37" spans="1:45">
      <c r="A37" s="138" t="str">
        <f>_xlfn.XLOOKUP(C39,'00_SKU_Master'!$B$2:$B$378,'00_SKU_Master'!$C$2:$C$378)</f>
        <v>61048#2</v>
      </c>
      <c r="B37" s="138"/>
      <c r="C37" s="138">
        <f t="shared" si="0"/>
        <v>2069</v>
      </c>
      <c r="D37" s="552" t="e">
        <f ca="1">_xludf.IFNA(_xlfn.XLOOKUP(C39,'00_SKU_Master'!$B$2:$B$378,'00_SKU_Master'!$F$2:$F$378,0)*Y39,"")</f>
        <v>#NAME?</v>
      </c>
      <c r="E37" s="552" t="e">
        <f ca="1">_xludf.IFNA(_xlfn.XLOOKUP(C39,'00_SKU_Master'!$B$2:$B$378,'00_SKU_Master'!$F$2:$F$378,0)*Z39,"")</f>
        <v>#NAME?</v>
      </c>
      <c r="F37" s="552" t="e">
        <f ca="1">_xludf.IFNA(_xlfn.XLOOKUP(C39,'00_SKU_Master'!$B$2:$B$378,'00_SKU_Master'!$F$2:$F$378,0)*AA39,"")</f>
        <v>#NAME?</v>
      </c>
      <c r="G37" s="552" t="e">
        <f ca="1">_xludf.IFNA(_xlfn.XLOOKUP(C39,'00_SKU_Master'!$B$2:$B$378,'00_SKU_Master'!$F$2:$F$378,0)*AB39,"")</f>
        <v>#NAME?</v>
      </c>
      <c r="H37" s="552" t="e">
        <f ca="1">_xludf.IFNA(_xlfn.XLOOKUP(C39,'00_SKU_Master'!$B$2:$B$378,'00_SKU_Master'!$F$2:$F$378,0)*AC39,"")</f>
        <v>#NAME?</v>
      </c>
      <c r="I37" s="552" t="e">
        <f ca="1">_xludf.IFNA(_xlfn.XLOOKUP(C39,'00_SKU_Master'!$B$2:$B$378,'00_SKU_Master'!$F$2:$F$378,0)*AD39,"")</f>
        <v>#NAME?</v>
      </c>
      <c r="J37" s="552" t="e">
        <f ca="1">_xludf.IFNA(_xlfn.XLOOKUP(C39,'00_SKU_Master'!$B$2:$B$378,'00_SKU_Master'!$F$2:$F$378,0)*AE39,"")</f>
        <v>#NAME?</v>
      </c>
      <c r="K37" s="553" t="e">
        <f t="shared" ca="1" si="1"/>
        <v>#NAME?</v>
      </c>
      <c r="L37" s="187" t="e">
        <f>_xlfn.XLOOKUP(C39,'00_SKU_Master'!$B$2:$B$378,'00_SKU_Master'!K:K)</f>
        <v>#VALUE!</v>
      </c>
      <c r="M37" s="14">
        <f t="shared" si="2"/>
        <v>2069</v>
      </c>
      <c r="N37" s="147" t="e">
        <f ca="1">_xludf.IFNA(D39/_xlfn.XLOOKUP($M39,'00_SKU_Master'!$B$2:$B$378,'00_SKU_Master'!$M$2:$M$378,0)/$M$2,"0")</f>
        <v>#NAME?</v>
      </c>
      <c r="O37" s="147" t="e">
        <f ca="1">_xludf.IFNA(E39/_xlfn.XLOOKUP($M39,'00_SKU_Master'!$B$2:$B$378,'00_SKU_Master'!$M$2:$M$378,0)/$M$2,"0")</f>
        <v>#NAME?</v>
      </c>
      <c r="P37" s="147" t="e">
        <f ca="1">_xludf.IFNA(F39/_xlfn.XLOOKUP($M39,'00_SKU_Master'!$B$2:$B$378,'00_SKU_Master'!$M$2:$M$378,0)/$M$2,"0")</f>
        <v>#NAME?</v>
      </c>
      <c r="Q37" s="147" t="e">
        <f ca="1">_xludf.IFNA(G39/_xlfn.XLOOKUP($M39,'00_SKU_Master'!$B$2:$B$378,'00_SKU_Master'!$M$2:$M$378,0)/$M$2,"0")</f>
        <v>#NAME?</v>
      </c>
      <c r="R37" s="147" t="e">
        <f ca="1">_xludf.IFNA(H39/_xlfn.XLOOKUP($M39,'00_SKU_Master'!$B$2:$B$378,'00_SKU_Master'!$M$2:$M$378,0)/$M$2,"0")</f>
        <v>#NAME?</v>
      </c>
      <c r="S37" s="147" t="e">
        <f ca="1">_xludf.IFNA(I39/_xlfn.XLOOKUP($M39,'00_SKU_Master'!$B$2:$B$378,'00_SKU_Master'!$M$2:$M$378,0)/$M$2,"0")</f>
        <v>#NAME?</v>
      </c>
      <c r="T37" s="147" t="e">
        <f ca="1">_xludf.IFNA(J39/_xlfn.XLOOKUP($M39,'00_SKU_Master'!$B$2:$B$378,'00_SKU_Master'!$M$2:$M$378,0)/$M$2,"0")</f>
        <v>#NAME?</v>
      </c>
      <c r="U37" s="147" t="e">
        <f t="shared" ca="1" si="3"/>
        <v>#NAME?</v>
      </c>
      <c r="V37" s="4"/>
      <c r="W37" s="4" t="e">
        <f>_xlfn.XLOOKUP(M39,'00_SKU_Master'!$B$2:$B$378,'00_SKU_Master'!D:D)</f>
        <v>#VALUE!</v>
      </c>
      <c r="X37" s="14">
        <f>'05_Daily_Orders'!B38</f>
        <v>2067</v>
      </c>
      <c r="Y37" s="554"/>
      <c r="Z37" s="555"/>
      <c r="AA37" s="555"/>
      <c r="AB37" s="555"/>
      <c r="AC37" s="555">
        <v>180</v>
      </c>
      <c r="AD37" s="555">
        <v>0</v>
      </c>
      <c r="AE37" s="555">
        <v>0</v>
      </c>
      <c r="AF37" s="553">
        <f t="shared" si="4"/>
        <v>0</v>
      </c>
      <c r="AQ37" s="23">
        <v>4</v>
      </c>
      <c r="AR37" s="23">
        <v>0</v>
      </c>
      <c r="AS37" s="23">
        <f t="shared" si="5"/>
        <v>0</v>
      </c>
    </row>
    <row r="38" spans="1:45">
      <c r="A38" s="138" t="str">
        <f>_xlfn.XLOOKUP(C40,'00_SKU_Master'!$B$2:$B$378,'00_SKU_Master'!$C$2:$C$378)</f>
        <v>61072#2</v>
      </c>
      <c r="B38" s="138"/>
      <c r="C38" s="138">
        <f t="shared" si="0"/>
        <v>2070</v>
      </c>
      <c r="D38" s="552" t="e">
        <f ca="1">_xludf.IFNA(_xlfn.XLOOKUP(C40,'00_SKU_Master'!$B$2:$B$378,'00_SKU_Master'!$F$2:$F$378,0)*Y40,"")</f>
        <v>#NAME?</v>
      </c>
      <c r="E38" s="552" t="e">
        <f ca="1">_xludf.IFNA(_xlfn.XLOOKUP(C40,'00_SKU_Master'!$B$2:$B$378,'00_SKU_Master'!$F$2:$F$378,0)*Z40,"")</f>
        <v>#NAME?</v>
      </c>
      <c r="F38" s="552" t="e">
        <f ca="1">_xludf.IFNA(_xlfn.XLOOKUP(C40,'00_SKU_Master'!$B$2:$B$378,'00_SKU_Master'!$F$2:$F$378,0)*AA40,"")</f>
        <v>#NAME?</v>
      </c>
      <c r="G38" s="552" t="e">
        <f ca="1">_xludf.IFNA(_xlfn.XLOOKUP(C40,'00_SKU_Master'!$B$2:$B$378,'00_SKU_Master'!$F$2:$F$378,0)*AB40,"")</f>
        <v>#NAME?</v>
      </c>
      <c r="H38" s="552" t="e">
        <f ca="1">_xludf.IFNA(_xlfn.XLOOKUP(C40,'00_SKU_Master'!$B$2:$B$378,'00_SKU_Master'!$F$2:$F$378,0)*AC40,"")</f>
        <v>#NAME?</v>
      </c>
      <c r="I38" s="552" t="e">
        <f ca="1">_xludf.IFNA(_xlfn.XLOOKUP(C40,'00_SKU_Master'!$B$2:$B$378,'00_SKU_Master'!$F$2:$F$378,0)*AD40,"")</f>
        <v>#NAME?</v>
      </c>
      <c r="J38" s="552" t="e">
        <f ca="1">_xludf.IFNA(_xlfn.XLOOKUP(C40,'00_SKU_Master'!$B$2:$B$378,'00_SKU_Master'!$F$2:$F$378,0)*AE40,"")</f>
        <v>#NAME?</v>
      </c>
      <c r="K38" s="553" t="e">
        <f t="shared" ca="1" si="1"/>
        <v>#NAME?</v>
      </c>
      <c r="L38" s="187" t="e">
        <f>_xlfn.XLOOKUP(C40,'00_SKU_Master'!$B$2:$B$378,'00_SKU_Master'!K:K)</f>
        <v>#VALUE!</v>
      </c>
      <c r="M38" s="14">
        <f t="shared" si="2"/>
        <v>2070</v>
      </c>
      <c r="N38" s="147" t="e">
        <f ca="1">_xludf.IFNA(D40/_xlfn.XLOOKUP($M40,'00_SKU_Master'!$B$2:$B$378,'00_SKU_Master'!$M$2:$M$378,0)/$M$2,"0")</f>
        <v>#NAME?</v>
      </c>
      <c r="O38" s="147" t="e">
        <f ca="1">_xludf.IFNA(E40/_xlfn.XLOOKUP($M40,'00_SKU_Master'!$B$2:$B$378,'00_SKU_Master'!$M$2:$M$378,0)/$M$2,"0")</f>
        <v>#NAME?</v>
      </c>
      <c r="P38" s="147" t="e">
        <f ca="1">_xludf.IFNA(F40/_xlfn.XLOOKUP($M40,'00_SKU_Master'!$B$2:$B$378,'00_SKU_Master'!$M$2:$M$378,0)/$M$2,"0")</f>
        <v>#NAME?</v>
      </c>
      <c r="Q38" s="147" t="e">
        <f ca="1">_xludf.IFNA(G40/_xlfn.XLOOKUP($M40,'00_SKU_Master'!$B$2:$B$378,'00_SKU_Master'!$M$2:$M$378,0)/$M$2,"0")</f>
        <v>#NAME?</v>
      </c>
      <c r="R38" s="147" t="e">
        <f ca="1">_xludf.IFNA(H40/_xlfn.XLOOKUP($M40,'00_SKU_Master'!$B$2:$B$378,'00_SKU_Master'!$M$2:$M$378,0)/$M$2,"0")</f>
        <v>#NAME?</v>
      </c>
      <c r="S38" s="147" t="e">
        <f ca="1">_xludf.IFNA(I40/_xlfn.XLOOKUP($M40,'00_SKU_Master'!$B$2:$B$378,'00_SKU_Master'!$M$2:$M$378,0)/$M$2,"0")</f>
        <v>#NAME?</v>
      </c>
      <c r="T38" s="147" t="e">
        <f ca="1">_xludf.IFNA(J40/_xlfn.XLOOKUP($M40,'00_SKU_Master'!$B$2:$B$378,'00_SKU_Master'!$M$2:$M$378,0)/$M$2,"0")</f>
        <v>#NAME?</v>
      </c>
      <c r="U38" s="147" t="e">
        <f t="shared" ca="1" si="3"/>
        <v>#NAME?</v>
      </c>
      <c r="V38" s="4"/>
      <c r="W38" s="4" t="e">
        <f>_xlfn.XLOOKUP(M40,'00_SKU_Master'!$B$2:$B$378,'00_SKU_Master'!D:D)</f>
        <v>#VALUE!</v>
      </c>
      <c r="X38" s="14">
        <f>'05_Daily_Orders'!B39</f>
        <v>2068</v>
      </c>
      <c r="Y38" s="554"/>
      <c r="Z38" s="555"/>
      <c r="AA38" s="555"/>
      <c r="AB38" s="555"/>
      <c r="AC38" s="555">
        <v>0</v>
      </c>
      <c r="AD38" s="555">
        <v>0</v>
      </c>
      <c r="AE38" s="555">
        <v>0</v>
      </c>
      <c r="AF38" s="553">
        <f t="shared" si="4"/>
        <v>95</v>
      </c>
      <c r="AQ38" s="23">
        <v>0</v>
      </c>
      <c r="AR38" s="23">
        <v>0</v>
      </c>
      <c r="AS38" s="23">
        <f t="shared" si="5"/>
        <v>0</v>
      </c>
    </row>
    <row r="39" spans="1:45">
      <c r="A39" s="138">
        <f>_xlfn.XLOOKUP(C41,'00_SKU_Master'!$B$2:$B$378,'00_SKU_Master'!$C$2:$C$378)</f>
        <v>61082</v>
      </c>
      <c r="B39" s="138"/>
      <c r="C39" s="138">
        <f t="shared" si="0"/>
        <v>2071</v>
      </c>
      <c r="D39" s="552" t="e">
        <f ca="1">_xludf.IFNA(_xlfn.XLOOKUP(C41,'00_SKU_Master'!$B$2:$B$378,'00_SKU_Master'!$F$2:$F$378,0)*Y41,"")</f>
        <v>#NAME?</v>
      </c>
      <c r="E39" s="552" t="e">
        <f ca="1">_xludf.IFNA(_xlfn.XLOOKUP(C41,'00_SKU_Master'!$B$2:$B$378,'00_SKU_Master'!$F$2:$F$378,0)*Z41,"")</f>
        <v>#NAME?</v>
      </c>
      <c r="F39" s="552" t="e">
        <f ca="1">_xludf.IFNA(_xlfn.XLOOKUP(C41,'00_SKU_Master'!$B$2:$B$378,'00_SKU_Master'!$F$2:$F$378,0)*AA41,"")</f>
        <v>#NAME?</v>
      </c>
      <c r="G39" s="552" t="e">
        <f ca="1">_xludf.IFNA(_xlfn.XLOOKUP(C41,'00_SKU_Master'!$B$2:$B$378,'00_SKU_Master'!$F$2:$F$378,0)*AB41,"")</f>
        <v>#NAME?</v>
      </c>
      <c r="H39" s="552" t="e">
        <f ca="1">_xludf.IFNA(_xlfn.XLOOKUP(C41,'00_SKU_Master'!$B$2:$B$378,'00_SKU_Master'!$F$2:$F$378,0)*AC41,"")</f>
        <v>#NAME?</v>
      </c>
      <c r="I39" s="552" t="e">
        <f ca="1">_xludf.IFNA(_xlfn.XLOOKUP(C41,'00_SKU_Master'!$B$2:$B$378,'00_SKU_Master'!$F$2:$F$378,0)*AD41,"")</f>
        <v>#NAME?</v>
      </c>
      <c r="J39" s="552" t="e">
        <f ca="1">_xludf.IFNA(_xlfn.XLOOKUP(C41,'00_SKU_Master'!$B$2:$B$378,'00_SKU_Master'!$F$2:$F$378,0)*AE41,"")</f>
        <v>#NAME?</v>
      </c>
      <c r="K39" s="553" t="e">
        <f t="shared" ca="1" si="1"/>
        <v>#NAME?</v>
      </c>
      <c r="L39" s="187" t="e">
        <f>_xlfn.XLOOKUP(C41,'00_SKU_Master'!$B$2:$B$378,'00_SKU_Master'!K:K)</f>
        <v>#VALUE!</v>
      </c>
      <c r="M39" s="14">
        <f t="shared" si="2"/>
        <v>2071</v>
      </c>
      <c r="N39" s="147" t="e">
        <f ca="1">_xludf.IFNA(D41/_xlfn.XLOOKUP($M41,'00_SKU_Master'!$B$2:$B$378,'00_SKU_Master'!$M$2:$M$378,0)/$M$2,"0")</f>
        <v>#NAME?</v>
      </c>
      <c r="O39" s="147" t="e">
        <f ca="1">_xludf.IFNA(E41/_xlfn.XLOOKUP($M41,'00_SKU_Master'!$B$2:$B$378,'00_SKU_Master'!$M$2:$M$378,0)/$M$2,"0")</f>
        <v>#NAME?</v>
      </c>
      <c r="P39" s="147" t="e">
        <f ca="1">_xludf.IFNA(F41/_xlfn.XLOOKUP($M41,'00_SKU_Master'!$B$2:$B$378,'00_SKU_Master'!$M$2:$M$378,0)/$M$2,"0")</f>
        <v>#NAME?</v>
      </c>
      <c r="Q39" s="147" t="e">
        <f ca="1">_xludf.IFNA(G41/_xlfn.XLOOKUP($M41,'00_SKU_Master'!$B$2:$B$378,'00_SKU_Master'!$M$2:$M$378,0)/$M$2,"0")</f>
        <v>#NAME?</v>
      </c>
      <c r="R39" s="147" t="e">
        <f ca="1">_xludf.IFNA(H41/_xlfn.XLOOKUP($M41,'00_SKU_Master'!$B$2:$B$378,'00_SKU_Master'!$M$2:$M$378,0)/$M$2,"0")</f>
        <v>#NAME?</v>
      </c>
      <c r="S39" s="147" t="e">
        <f ca="1">_xludf.IFNA(I41/_xlfn.XLOOKUP($M41,'00_SKU_Master'!$B$2:$B$378,'00_SKU_Master'!$M$2:$M$378,0)/$M$2,"0")</f>
        <v>#NAME?</v>
      </c>
      <c r="T39" s="147" t="e">
        <f ca="1">_xludf.IFNA(J41/_xlfn.XLOOKUP($M41,'00_SKU_Master'!$B$2:$B$378,'00_SKU_Master'!$M$2:$M$378,0)/$M$2,"0")</f>
        <v>#NAME?</v>
      </c>
      <c r="U39" s="147" t="e">
        <f t="shared" ca="1" si="3"/>
        <v>#NAME?</v>
      </c>
      <c r="V39" s="4"/>
      <c r="W39" s="4" t="e">
        <f>_xlfn.XLOOKUP(M41,'00_SKU_Master'!$B$2:$B$378,'00_SKU_Master'!D:D)</f>
        <v>#VALUE!</v>
      </c>
      <c r="X39" s="14">
        <f>'05_Daily_Orders'!B40</f>
        <v>2069</v>
      </c>
      <c r="Y39" s="554"/>
      <c r="Z39" s="555"/>
      <c r="AA39" s="555"/>
      <c r="AB39" s="555"/>
      <c r="AC39" s="555">
        <v>0</v>
      </c>
      <c r="AD39" s="555">
        <v>0</v>
      </c>
      <c r="AE39" s="555">
        <v>0</v>
      </c>
      <c r="AF39" s="553">
        <f t="shared" si="4"/>
        <v>85</v>
      </c>
      <c r="AQ39" s="23">
        <v>0</v>
      </c>
      <c r="AR39" s="23">
        <v>0</v>
      </c>
      <c r="AS39" s="23">
        <f t="shared" si="5"/>
        <v>0</v>
      </c>
    </row>
    <row r="40" spans="1:45">
      <c r="A40" s="138" t="str">
        <f>_xlfn.XLOOKUP(C42,'00_SKU_Master'!$B$2:$B$378,'00_SKU_Master'!$C$2:$C$378)</f>
        <v>61086#2</v>
      </c>
      <c r="B40" s="138"/>
      <c r="C40" s="138">
        <f t="shared" si="0"/>
        <v>2072</v>
      </c>
      <c r="D40" s="552" t="e">
        <f ca="1">_xludf.IFNA(_xlfn.XLOOKUP(C42,'00_SKU_Master'!$B$2:$B$378,'00_SKU_Master'!$F$2:$F$378,0)*Y42,"")</f>
        <v>#NAME?</v>
      </c>
      <c r="E40" s="552" t="e">
        <f ca="1">_xludf.IFNA(_xlfn.XLOOKUP(C42,'00_SKU_Master'!$B$2:$B$378,'00_SKU_Master'!$F$2:$F$378,0)*Z42,"")</f>
        <v>#NAME?</v>
      </c>
      <c r="F40" s="552" t="e">
        <f ca="1">_xludf.IFNA(_xlfn.XLOOKUP(C42,'00_SKU_Master'!$B$2:$B$378,'00_SKU_Master'!$F$2:$F$378,0)*AA42,"")</f>
        <v>#NAME?</v>
      </c>
      <c r="G40" s="552" t="e">
        <f ca="1">_xludf.IFNA(_xlfn.XLOOKUP(C42,'00_SKU_Master'!$B$2:$B$378,'00_SKU_Master'!$F$2:$F$378,0)*AB42,"")</f>
        <v>#NAME?</v>
      </c>
      <c r="H40" s="552" t="e">
        <f ca="1">_xludf.IFNA(_xlfn.XLOOKUP(C42,'00_SKU_Master'!$B$2:$B$378,'00_SKU_Master'!$F$2:$F$378,0)*AC42,"")</f>
        <v>#NAME?</v>
      </c>
      <c r="I40" s="552" t="e">
        <f ca="1">_xludf.IFNA(_xlfn.XLOOKUP(C42,'00_SKU_Master'!$B$2:$B$378,'00_SKU_Master'!$F$2:$F$378,0)*AD42,"")</f>
        <v>#NAME?</v>
      </c>
      <c r="J40" s="552" t="e">
        <f ca="1">_xludf.IFNA(_xlfn.XLOOKUP(C42,'00_SKU_Master'!$B$2:$B$378,'00_SKU_Master'!$F$2:$F$378,0)*AE42,"")</f>
        <v>#NAME?</v>
      </c>
      <c r="K40" s="553" t="e">
        <f t="shared" ca="1" si="1"/>
        <v>#NAME?</v>
      </c>
      <c r="L40" s="187" t="e">
        <f>_xlfn.XLOOKUP(C42,'00_SKU_Master'!$B$2:$B$378,'00_SKU_Master'!K:K)</f>
        <v>#VALUE!</v>
      </c>
      <c r="M40" s="14">
        <f t="shared" si="2"/>
        <v>2072</v>
      </c>
      <c r="N40" s="147" t="e">
        <f ca="1">_xludf.IFNA(D42/_xlfn.XLOOKUP($M42,'00_SKU_Master'!$B$2:$B$378,'00_SKU_Master'!$M$2:$M$378,0)/$M$2,"0")</f>
        <v>#NAME?</v>
      </c>
      <c r="O40" s="147" t="e">
        <f ca="1">_xludf.IFNA(E42/_xlfn.XLOOKUP($M42,'00_SKU_Master'!$B$2:$B$378,'00_SKU_Master'!$M$2:$M$378,0)/$M$2,"0")</f>
        <v>#NAME?</v>
      </c>
      <c r="P40" s="147" t="e">
        <f ca="1">_xludf.IFNA(F42/_xlfn.XLOOKUP($M42,'00_SKU_Master'!$B$2:$B$378,'00_SKU_Master'!$M$2:$M$378,0)/$M$2,"0")</f>
        <v>#NAME?</v>
      </c>
      <c r="Q40" s="147" t="e">
        <f ca="1">_xludf.IFNA(G42/_xlfn.XLOOKUP($M42,'00_SKU_Master'!$B$2:$B$378,'00_SKU_Master'!$M$2:$M$378,0)/$M$2,"0")</f>
        <v>#NAME?</v>
      </c>
      <c r="R40" s="147" t="e">
        <f ca="1">_xludf.IFNA(H42/_xlfn.XLOOKUP($M42,'00_SKU_Master'!$B$2:$B$378,'00_SKU_Master'!$M$2:$M$378,0)/$M$2,"0")</f>
        <v>#NAME?</v>
      </c>
      <c r="S40" s="147" t="e">
        <f ca="1">_xludf.IFNA(I42/_xlfn.XLOOKUP($M42,'00_SKU_Master'!$B$2:$B$378,'00_SKU_Master'!$M$2:$M$378,0)/$M$2,"0")</f>
        <v>#NAME?</v>
      </c>
      <c r="T40" s="147" t="e">
        <f ca="1">_xludf.IFNA(J42/_xlfn.XLOOKUP($M42,'00_SKU_Master'!$B$2:$B$378,'00_SKU_Master'!$M$2:$M$378,0)/$M$2,"0")</f>
        <v>#NAME?</v>
      </c>
      <c r="U40" s="147" t="e">
        <f t="shared" ca="1" si="3"/>
        <v>#NAME?</v>
      </c>
      <c r="V40" s="4"/>
      <c r="W40" s="4" t="e">
        <f>_xlfn.XLOOKUP(M42,'00_SKU_Master'!$B$2:$B$378,'00_SKU_Master'!D:D)</f>
        <v>#VALUE!</v>
      </c>
      <c r="X40" s="14">
        <f>'05_Daily_Orders'!B41</f>
        <v>2070</v>
      </c>
      <c r="Y40" s="554"/>
      <c r="Z40" s="554"/>
      <c r="AA40" s="554"/>
      <c r="AB40" s="554"/>
      <c r="AC40" s="554">
        <v>50</v>
      </c>
      <c r="AD40" s="554">
        <v>0</v>
      </c>
      <c r="AE40" s="554">
        <v>45</v>
      </c>
      <c r="AF40" s="553">
        <f t="shared" si="4"/>
        <v>161</v>
      </c>
      <c r="AQ40" s="23">
        <v>0</v>
      </c>
      <c r="AR40" s="23">
        <v>0</v>
      </c>
      <c r="AS40" s="23">
        <f t="shared" si="5"/>
        <v>97</v>
      </c>
    </row>
    <row r="41" spans="1:45">
      <c r="A41" s="138" t="str">
        <f>_xlfn.XLOOKUP(C43,'00_SKU_Master'!$B$2:$B$378,'00_SKU_Master'!$C$2:$C$378)</f>
        <v>61050#2</v>
      </c>
      <c r="B41" s="138"/>
      <c r="C41" s="138">
        <f t="shared" si="0"/>
        <v>2073</v>
      </c>
      <c r="D41" s="552" t="e">
        <f ca="1">_xludf.IFNA(_xlfn.XLOOKUP(C43,'00_SKU_Master'!$B$2:$B$378,'00_SKU_Master'!$F$2:$F$378,0)*Y43,"")</f>
        <v>#NAME?</v>
      </c>
      <c r="E41" s="552" t="e">
        <f ca="1">_xludf.IFNA(_xlfn.XLOOKUP(C43,'00_SKU_Master'!$B$2:$B$378,'00_SKU_Master'!$F$2:$F$378,0)*Z43,"")</f>
        <v>#NAME?</v>
      </c>
      <c r="F41" s="552" t="e">
        <f ca="1">_xludf.IFNA(_xlfn.XLOOKUP(C43,'00_SKU_Master'!$B$2:$B$378,'00_SKU_Master'!$F$2:$F$378,0)*AA43,"")</f>
        <v>#NAME?</v>
      </c>
      <c r="G41" s="552" t="e">
        <f ca="1">_xludf.IFNA(_xlfn.XLOOKUP(C43,'00_SKU_Master'!$B$2:$B$378,'00_SKU_Master'!$F$2:$F$378,0)*AB43,"")</f>
        <v>#NAME?</v>
      </c>
      <c r="H41" s="552" t="e">
        <f ca="1">_xludf.IFNA(_xlfn.XLOOKUP(C43,'00_SKU_Master'!$B$2:$B$378,'00_SKU_Master'!$F$2:$F$378,0)*AC43,"")</f>
        <v>#NAME?</v>
      </c>
      <c r="I41" s="552" t="e">
        <f ca="1">_xludf.IFNA(_xlfn.XLOOKUP(C43,'00_SKU_Master'!$B$2:$B$378,'00_SKU_Master'!$F$2:$F$378,0)*AD43,"")</f>
        <v>#NAME?</v>
      </c>
      <c r="J41" s="552" t="e">
        <f ca="1">_xludf.IFNA(_xlfn.XLOOKUP(C43,'00_SKU_Master'!$B$2:$B$378,'00_SKU_Master'!$F$2:$F$378,0)*AE43,"")</f>
        <v>#NAME?</v>
      </c>
      <c r="K41" s="553" t="e">
        <f t="shared" ca="1" si="1"/>
        <v>#NAME?</v>
      </c>
      <c r="L41" s="187" t="e">
        <f>_xlfn.XLOOKUP(C43,'00_SKU_Master'!$B$2:$B$378,'00_SKU_Master'!K:K)</f>
        <v>#VALUE!</v>
      </c>
      <c r="M41" s="14">
        <f t="shared" si="2"/>
        <v>2073</v>
      </c>
      <c r="N41" s="147" t="e">
        <f ca="1">_xludf.IFNA(D43/_xlfn.XLOOKUP($M43,'00_SKU_Master'!$B$2:$B$378,'00_SKU_Master'!$M$2:$M$378,0)/$M$2,"0")</f>
        <v>#NAME?</v>
      </c>
      <c r="O41" s="147" t="e">
        <f ca="1">_xludf.IFNA(E43/_xlfn.XLOOKUP($M43,'00_SKU_Master'!$B$2:$B$378,'00_SKU_Master'!$M$2:$M$378,0)/$M$2,"0")</f>
        <v>#NAME?</v>
      </c>
      <c r="P41" s="147" t="e">
        <f ca="1">_xludf.IFNA(F43/_xlfn.XLOOKUP($M43,'00_SKU_Master'!$B$2:$B$378,'00_SKU_Master'!$M$2:$M$378,0)/$M$2,"0")</f>
        <v>#NAME?</v>
      </c>
      <c r="Q41" s="147" t="e">
        <f ca="1">_xludf.IFNA(G43/_xlfn.XLOOKUP($M43,'00_SKU_Master'!$B$2:$B$378,'00_SKU_Master'!$M$2:$M$378,0)/$M$2,"0")</f>
        <v>#NAME?</v>
      </c>
      <c r="R41" s="147" t="e">
        <f ca="1">_xludf.IFNA(H43/_xlfn.XLOOKUP($M43,'00_SKU_Master'!$B$2:$B$378,'00_SKU_Master'!$M$2:$M$378,0)/$M$2,"0")</f>
        <v>#NAME?</v>
      </c>
      <c r="S41" s="147" t="e">
        <f ca="1">_xludf.IFNA(I43/_xlfn.XLOOKUP($M43,'00_SKU_Master'!$B$2:$B$378,'00_SKU_Master'!$M$2:$M$378,0)/$M$2,"0")</f>
        <v>#NAME?</v>
      </c>
      <c r="T41" s="147" t="e">
        <f ca="1">_xludf.IFNA(J43/_xlfn.XLOOKUP($M43,'00_SKU_Master'!$B$2:$B$378,'00_SKU_Master'!$M$2:$M$378,0)/$M$2,"0")</f>
        <v>#NAME?</v>
      </c>
      <c r="U41" s="147" t="e">
        <f t="shared" ca="1" si="3"/>
        <v>#NAME?</v>
      </c>
      <c r="V41" s="4"/>
      <c r="W41" s="4" t="e">
        <f>_xlfn.XLOOKUP(M43,'00_SKU_Master'!$B$2:$B$378,'00_SKU_Master'!D:D)</f>
        <v>#VALUE!</v>
      </c>
      <c r="X41" s="14">
        <f>'05_Daily_Orders'!B42</f>
        <v>2071</v>
      </c>
      <c r="Y41" s="554"/>
      <c r="Z41" s="555"/>
      <c r="AA41" s="555"/>
      <c r="AB41" s="555"/>
      <c r="AC41" s="555">
        <v>45</v>
      </c>
      <c r="AD41" s="555">
        <v>0</v>
      </c>
      <c r="AE41" s="555">
        <v>40</v>
      </c>
      <c r="AF41" s="553">
        <f t="shared" si="4"/>
        <v>0</v>
      </c>
      <c r="AQ41" s="23">
        <v>0</v>
      </c>
      <c r="AR41" s="23">
        <v>0</v>
      </c>
      <c r="AS41" s="23">
        <f t="shared" si="5"/>
        <v>0</v>
      </c>
    </row>
    <row r="42" spans="1:45">
      <c r="A42" s="138">
        <f>_xlfn.XLOOKUP(C44,'00_SKU_Master'!$B$2:$B$378,'00_SKU_Master'!$C$2:$C$378)</f>
        <v>61010</v>
      </c>
      <c r="B42" s="138"/>
      <c r="C42" s="138">
        <f t="shared" si="0"/>
        <v>2074</v>
      </c>
      <c r="D42" s="552" t="e">
        <f ca="1">_xludf.IFNA(_xlfn.XLOOKUP(C44,'00_SKU_Master'!$B$2:$B$378,'00_SKU_Master'!$F$2:$F$378,0)*Y44,"")</f>
        <v>#NAME?</v>
      </c>
      <c r="E42" s="552" t="e">
        <f ca="1">_xludf.IFNA(_xlfn.XLOOKUP(C44,'00_SKU_Master'!$B$2:$B$378,'00_SKU_Master'!$F$2:$F$378,0)*Z44,"")</f>
        <v>#NAME?</v>
      </c>
      <c r="F42" s="552" t="e">
        <f ca="1">_xludf.IFNA(_xlfn.XLOOKUP(C44,'00_SKU_Master'!$B$2:$B$378,'00_SKU_Master'!$F$2:$F$378,0)*AA44,"")</f>
        <v>#NAME?</v>
      </c>
      <c r="G42" s="552" t="e">
        <f ca="1">_xludf.IFNA(_xlfn.XLOOKUP(C44,'00_SKU_Master'!$B$2:$B$378,'00_SKU_Master'!$F$2:$F$378,0)*AB44,"")</f>
        <v>#NAME?</v>
      </c>
      <c r="H42" s="552" t="e">
        <f ca="1">_xludf.IFNA(_xlfn.XLOOKUP(C44,'00_SKU_Master'!$B$2:$B$378,'00_SKU_Master'!$F$2:$F$378,0)*AC44,"")</f>
        <v>#NAME?</v>
      </c>
      <c r="I42" s="552" t="e">
        <f ca="1">_xludf.IFNA(_xlfn.XLOOKUP(C44,'00_SKU_Master'!$B$2:$B$378,'00_SKU_Master'!$F$2:$F$378,0)*AD44,"")</f>
        <v>#NAME?</v>
      </c>
      <c r="J42" s="552" t="e">
        <f ca="1">_xludf.IFNA(_xlfn.XLOOKUP(C44,'00_SKU_Master'!$B$2:$B$378,'00_SKU_Master'!$F$2:$F$378,0)*AE44,"")</f>
        <v>#NAME?</v>
      </c>
      <c r="K42" s="553" t="e">
        <f t="shared" ca="1" si="1"/>
        <v>#NAME?</v>
      </c>
      <c r="L42" s="187" t="e">
        <f>_xlfn.XLOOKUP(C44,'00_SKU_Master'!$B$2:$B$378,'00_SKU_Master'!K:K)</f>
        <v>#VALUE!</v>
      </c>
      <c r="M42" s="14">
        <f t="shared" si="2"/>
        <v>2074</v>
      </c>
      <c r="N42" s="147" t="e">
        <f ca="1">_xludf.IFNA(D44/_xlfn.XLOOKUP($M44,'00_SKU_Master'!$B$2:$B$378,'00_SKU_Master'!$M$2:$M$378,0)/$M$2,"0")</f>
        <v>#NAME?</v>
      </c>
      <c r="O42" s="147" t="e">
        <f ca="1">_xludf.IFNA(E44/_xlfn.XLOOKUP($M44,'00_SKU_Master'!$B$2:$B$378,'00_SKU_Master'!$M$2:$M$378,0)/$M$2,"0")</f>
        <v>#NAME?</v>
      </c>
      <c r="P42" s="147" t="e">
        <f ca="1">_xludf.IFNA(F44/_xlfn.XLOOKUP($M44,'00_SKU_Master'!$B$2:$B$378,'00_SKU_Master'!$M$2:$M$378,0)/$M$2,"0")</f>
        <v>#NAME?</v>
      </c>
      <c r="Q42" s="147" t="e">
        <f ca="1">_xludf.IFNA(G44/_xlfn.XLOOKUP($M44,'00_SKU_Master'!$B$2:$B$378,'00_SKU_Master'!$M$2:$M$378,0)/$M$2,"0")</f>
        <v>#NAME?</v>
      </c>
      <c r="R42" s="147" t="e">
        <f ca="1">_xludf.IFNA(H44/_xlfn.XLOOKUP($M44,'00_SKU_Master'!$B$2:$B$378,'00_SKU_Master'!$M$2:$M$378,0)/$M$2,"0")</f>
        <v>#NAME?</v>
      </c>
      <c r="S42" s="147" t="e">
        <f ca="1">_xludf.IFNA(I44/_xlfn.XLOOKUP($M44,'00_SKU_Master'!$B$2:$B$378,'00_SKU_Master'!$M$2:$M$378,0)/$M$2,"0")</f>
        <v>#NAME?</v>
      </c>
      <c r="T42" s="147" t="e">
        <f ca="1">_xludf.IFNA(J44/_xlfn.XLOOKUP($M44,'00_SKU_Master'!$B$2:$B$378,'00_SKU_Master'!$M$2:$M$378,0)/$M$2,"0")</f>
        <v>#NAME?</v>
      </c>
      <c r="U42" s="147" t="e">
        <f t="shared" ca="1" si="3"/>
        <v>#NAME?</v>
      </c>
      <c r="V42" s="4"/>
      <c r="W42" s="4" t="e">
        <f>_xlfn.XLOOKUP(M44,'00_SKU_Master'!$B$2:$B$378,'00_SKU_Master'!D:D)</f>
        <v>#VALUE!</v>
      </c>
      <c r="X42" s="14">
        <f>'05_Daily_Orders'!B43</f>
        <v>2072</v>
      </c>
      <c r="Y42" s="554"/>
      <c r="Z42" s="555"/>
      <c r="AA42" s="555"/>
      <c r="AB42" s="555"/>
      <c r="AC42" s="555">
        <v>94</v>
      </c>
      <c r="AD42" s="555">
        <v>0</v>
      </c>
      <c r="AE42" s="555">
        <v>67</v>
      </c>
      <c r="AF42" s="553">
        <f t="shared" si="4"/>
        <v>0</v>
      </c>
      <c r="AQ42" s="23">
        <v>0</v>
      </c>
      <c r="AR42" s="23">
        <v>97</v>
      </c>
      <c r="AS42" s="23">
        <f t="shared" si="5"/>
        <v>0</v>
      </c>
    </row>
    <row r="43" spans="1:45">
      <c r="A43" s="138">
        <f>_xlfn.XLOOKUP(C45,'00_SKU_Master'!$B$2:$B$378,'00_SKU_Master'!$C$2:$C$378)</f>
        <v>61061</v>
      </c>
      <c r="B43" s="138"/>
      <c r="C43" s="138">
        <f t="shared" si="0"/>
        <v>2075</v>
      </c>
      <c r="D43" s="552" t="e">
        <f ca="1">_xludf.IFNA(_xlfn.XLOOKUP(C45,'00_SKU_Master'!$B$2:$B$378,'00_SKU_Master'!$F$2:$F$378,0)*Y45,"")</f>
        <v>#NAME?</v>
      </c>
      <c r="E43" s="552" t="e">
        <f ca="1">_xludf.IFNA(_xlfn.XLOOKUP(C45,'00_SKU_Master'!$B$2:$B$378,'00_SKU_Master'!$F$2:$F$378,0)*Z45,"")</f>
        <v>#NAME?</v>
      </c>
      <c r="F43" s="552" t="e">
        <f ca="1">_xludf.IFNA(_xlfn.XLOOKUP(C45,'00_SKU_Master'!$B$2:$B$378,'00_SKU_Master'!$F$2:$F$378,0)*AA45,"")</f>
        <v>#NAME?</v>
      </c>
      <c r="G43" s="552" t="e">
        <f ca="1">_xludf.IFNA(_xlfn.XLOOKUP(C45,'00_SKU_Master'!$B$2:$B$378,'00_SKU_Master'!$F$2:$F$378,0)*AB45,"")</f>
        <v>#NAME?</v>
      </c>
      <c r="H43" s="552" t="e">
        <f ca="1">_xludf.IFNA(_xlfn.XLOOKUP(C45,'00_SKU_Master'!$B$2:$B$378,'00_SKU_Master'!$F$2:$F$378,0)*AC45,"")</f>
        <v>#NAME?</v>
      </c>
      <c r="I43" s="552" t="e">
        <f ca="1">_xludf.IFNA(_xlfn.XLOOKUP(C45,'00_SKU_Master'!$B$2:$B$378,'00_SKU_Master'!$F$2:$F$378,0)*AD45,"")</f>
        <v>#NAME?</v>
      </c>
      <c r="J43" s="552" t="e">
        <f ca="1">_xludf.IFNA(_xlfn.XLOOKUP(C45,'00_SKU_Master'!$B$2:$B$378,'00_SKU_Master'!$F$2:$F$378,0)*AE45,"")</f>
        <v>#NAME?</v>
      </c>
      <c r="K43" s="553" t="e">
        <f t="shared" ca="1" si="1"/>
        <v>#NAME?</v>
      </c>
      <c r="L43" s="187" t="e">
        <f>_xlfn.XLOOKUP(C45,'00_SKU_Master'!$B$2:$B$378,'00_SKU_Master'!K:K)</f>
        <v>#VALUE!</v>
      </c>
      <c r="M43" s="14">
        <f t="shared" si="2"/>
        <v>2075</v>
      </c>
      <c r="N43" s="147" t="e">
        <f ca="1">_xludf.IFNA(D45/_xlfn.XLOOKUP($M45,'00_SKU_Master'!$B$2:$B$378,'00_SKU_Master'!$M$2:$M$378,0)/$M$2,"0")</f>
        <v>#NAME?</v>
      </c>
      <c r="O43" s="147" t="e">
        <f ca="1">_xludf.IFNA(E45/_xlfn.XLOOKUP($M45,'00_SKU_Master'!$B$2:$B$378,'00_SKU_Master'!$M$2:$M$378,0)/$M$2,"0")</f>
        <v>#NAME?</v>
      </c>
      <c r="P43" s="147" t="e">
        <f ca="1">_xludf.IFNA(F45/_xlfn.XLOOKUP($M45,'00_SKU_Master'!$B$2:$B$378,'00_SKU_Master'!$M$2:$M$378,0)/$M$2,"0")</f>
        <v>#NAME?</v>
      </c>
      <c r="Q43" s="147" t="e">
        <f ca="1">_xludf.IFNA(G45/_xlfn.XLOOKUP($M45,'00_SKU_Master'!$B$2:$B$378,'00_SKU_Master'!$M$2:$M$378,0)/$M$2,"0")</f>
        <v>#NAME?</v>
      </c>
      <c r="R43" s="147" t="e">
        <f ca="1">_xludf.IFNA(H45/_xlfn.XLOOKUP($M45,'00_SKU_Master'!$B$2:$B$378,'00_SKU_Master'!$M$2:$M$378,0)/$M$2,"0")</f>
        <v>#NAME?</v>
      </c>
      <c r="S43" s="147" t="e">
        <f ca="1">_xludf.IFNA(I45/_xlfn.XLOOKUP($M45,'00_SKU_Master'!$B$2:$B$378,'00_SKU_Master'!$M$2:$M$378,0)/$M$2,"0")</f>
        <v>#NAME?</v>
      </c>
      <c r="T43" s="147" t="e">
        <f ca="1">_xludf.IFNA(J45/_xlfn.XLOOKUP($M45,'00_SKU_Master'!$B$2:$B$378,'00_SKU_Master'!$M$2:$M$378,0)/$M$2,"0")</f>
        <v>#NAME?</v>
      </c>
      <c r="U43" s="147" t="e">
        <f t="shared" ca="1" si="3"/>
        <v>#NAME?</v>
      </c>
      <c r="V43" s="4"/>
      <c r="W43" s="4" t="e">
        <f>_xlfn.XLOOKUP(M45,'00_SKU_Master'!$B$2:$B$378,'00_SKU_Master'!D:D)</f>
        <v>#VALUE!</v>
      </c>
      <c r="X43" s="14">
        <f>'05_Daily_Orders'!B44</f>
        <v>2073</v>
      </c>
      <c r="Y43" s="554"/>
      <c r="Z43" s="555"/>
      <c r="AA43" s="555"/>
      <c r="AB43" s="555"/>
      <c r="AC43" s="555">
        <v>0</v>
      </c>
      <c r="AD43" s="555">
        <v>0</v>
      </c>
      <c r="AE43" s="555">
        <v>0</v>
      </c>
      <c r="AF43" s="553">
        <f t="shared" si="4"/>
        <v>209</v>
      </c>
      <c r="AQ43" s="23">
        <v>0</v>
      </c>
      <c r="AR43" s="23">
        <v>0</v>
      </c>
      <c r="AS43" s="23">
        <f t="shared" si="5"/>
        <v>2</v>
      </c>
    </row>
    <row r="44" spans="1:45">
      <c r="A44" s="138">
        <f>_xlfn.XLOOKUP(C46,'00_SKU_Master'!$B$2:$B$378,'00_SKU_Master'!$C$2:$C$378)</f>
        <v>203891</v>
      </c>
      <c r="B44" s="138"/>
      <c r="C44" s="138">
        <f t="shared" si="0"/>
        <v>2076</v>
      </c>
      <c r="D44" s="552" t="e">
        <f ca="1">_xludf.IFNA(_xlfn.XLOOKUP(C46,'00_SKU_Master'!$B$2:$B$378,'00_SKU_Master'!$F$2:$F$378,0)*Y46,"")</f>
        <v>#NAME?</v>
      </c>
      <c r="E44" s="552" t="e">
        <f ca="1">_xludf.IFNA(_xlfn.XLOOKUP(C46,'00_SKU_Master'!$B$2:$B$378,'00_SKU_Master'!$F$2:$F$378,0)*Z46,"")</f>
        <v>#NAME?</v>
      </c>
      <c r="F44" s="552" t="e">
        <f ca="1">_xludf.IFNA(_xlfn.XLOOKUP(C46,'00_SKU_Master'!$B$2:$B$378,'00_SKU_Master'!$F$2:$F$378,0)*AA46,"")</f>
        <v>#NAME?</v>
      </c>
      <c r="G44" s="552" t="e">
        <f ca="1">_xludf.IFNA(_xlfn.XLOOKUP(C46,'00_SKU_Master'!$B$2:$B$378,'00_SKU_Master'!$F$2:$F$378,0)*AB46,"")</f>
        <v>#NAME?</v>
      </c>
      <c r="H44" s="552" t="e">
        <f ca="1">_xludf.IFNA(_xlfn.XLOOKUP(C46,'00_SKU_Master'!$B$2:$B$378,'00_SKU_Master'!$F$2:$F$378,0)*AC46,"")</f>
        <v>#NAME?</v>
      </c>
      <c r="I44" s="552" t="e">
        <f ca="1">_xludf.IFNA(_xlfn.XLOOKUP(C46,'00_SKU_Master'!$B$2:$B$378,'00_SKU_Master'!$F$2:$F$378,0)*AD46,"")</f>
        <v>#NAME?</v>
      </c>
      <c r="J44" s="552" t="e">
        <f ca="1">_xludf.IFNA(_xlfn.XLOOKUP(C46,'00_SKU_Master'!$B$2:$B$378,'00_SKU_Master'!$F$2:$F$378,0)*AE46,"")</f>
        <v>#NAME?</v>
      </c>
      <c r="K44" s="553" t="e">
        <f t="shared" ca="1" si="1"/>
        <v>#NAME?</v>
      </c>
      <c r="L44" s="187" t="e">
        <f>_xlfn.XLOOKUP(C46,'00_SKU_Master'!$B$2:$B$378,'00_SKU_Master'!K:K)</f>
        <v>#VALUE!</v>
      </c>
      <c r="M44" s="14">
        <f t="shared" si="2"/>
        <v>2076</v>
      </c>
      <c r="N44" s="147" t="e">
        <f ca="1">_xludf.IFNA(D46/_xlfn.XLOOKUP($M46,'00_SKU_Master'!$B$2:$B$378,'00_SKU_Master'!$M$2:$M$378,0)/$M$2,"0")</f>
        <v>#NAME?</v>
      </c>
      <c r="O44" s="147" t="e">
        <f ca="1">_xludf.IFNA(E46/_xlfn.XLOOKUP($M46,'00_SKU_Master'!$B$2:$B$378,'00_SKU_Master'!$M$2:$M$378,0)/$M$2,"0")</f>
        <v>#NAME?</v>
      </c>
      <c r="P44" s="147" t="e">
        <f ca="1">_xludf.IFNA(F46/_xlfn.XLOOKUP($M46,'00_SKU_Master'!$B$2:$B$378,'00_SKU_Master'!$M$2:$M$378,0)/$M$2,"0")</f>
        <v>#NAME?</v>
      </c>
      <c r="Q44" s="147" t="e">
        <f ca="1">_xludf.IFNA(G46/_xlfn.XLOOKUP($M46,'00_SKU_Master'!$B$2:$B$378,'00_SKU_Master'!$M$2:$M$378,0)/$M$2,"0")</f>
        <v>#NAME?</v>
      </c>
      <c r="R44" s="147" t="e">
        <f ca="1">_xludf.IFNA(H46/_xlfn.XLOOKUP($M46,'00_SKU_Master'!$B$2:$B$378,'00_SKU_Master'!$M$2:$M$378,0)/$M$2,"0")</f>
        <v>#NAME?</v>
      </c>
      <c r="S44" s="147" t="e">
        <f ca="1">_xludf.IFNA(I46/_xlfn.XLOOKUP($M46,'00_SKU_Master'!$B$2:$B$378,'00_SKU_Master'!$M$2:$M$378,0)/$M$2,"0")</f>
        <v>#NAME?</v>
      </c>
      <c r="T44" s="147" t="e">
        <f ca="1">_xludf.IFNA(J46/_xlfn.XLOOKUP($M46,'00_SKU_Master'!$B$2:$B$378,'00_SKU_Master'!$M$2:$M$378,0)/$M$2,"0")</f>
        <v>#NAME?</v>
      </c>
      <c r="U44" s="147" t="e">
        <f t="shared" ca="1" si="3"/>
        <v>#NAME?</v>
      </c>
      <c r="V44" s="4"/>
      <c r="W44" s="4" t="e">
        <f>_xlfn.XLOOKUP(M46,'00_SKU_Master'!$B$2:$B$378,'00_SKU_Master'!D:D)</f>
        <v>#VALUE!</v>
      </c>
      <c r="X44" s="14">
        <f>'05_Daily_Orders'!B45</f>
        <v>2074</v>
      </c>
      <c r="Y44" s="554"/>
      <c r="Z44" s="555"/>
      <c r="AA44" s="555"/>
      <c r="AB44" s="555"/>
      <c r="AC44" s="555">
        <v>0</v>
      </c>
      <c r="AD44" s="555">
        <v>0</v>
      </c>
      <c r="AE44" s="555">
        <v>0</v>
      </c>
      <c r="AF44" s="553">
        <f t="shared" si="4"/>
        <v>492</v>
      </c>
      <c r="AQ44" s="23">
        <v>0</v>
      </c>
      <c r="AR44" s="23">
        <v>0</v>
      </c>
      <c r="AS44" s="23">
        <f t="shared" si="5"/>
        <v>-235</v>
      </c>
    </row>
    <row r="45" spans="1:45">
      <c r="A45" s="138" t="str">
        <f>_xlfn.XLOOKUP(C47,'00_SKU_Master'!$B$2:$B$378,'00_SKU_Master'!$C$2:$C$378)</f>
        <v>61050#2</v>
      </c>
      <c r="B45" s="138"/>
      <c r="C45" s="138">
        <f t="shared" si="0"/>
        <v>2077</v>
      </c>
      <c r="D45" s="552" t="e">
        <f ca="1">_xludf.IFNA(_xlfn.XLOOKUP(C47,'00_SKU_Master'!$B$2:$B$378,'00_SKU_Master'!$F$2:$F$378,0)*Y47,"")</f>
        <v>#NAME?</v>
      </c>
      <c r="E45" s="552" t="e">
        <f ca="1">_xludf.IFNA(_xlfn.XLOOKUP(C47,'00_SKU_Master'!$B$2:$B$378,'00_SKU_Master'!$F$2:$F$378,0)*Z47,"")</f>
        <v>#NAME?</v>
      </c>
      <c r="F45" s="552" t="e">
        <f ca="1">_xludf.IFNA(_xlfn.XLOOKUP(C47,'00_SKU_Master'!$B$2:$B$378,'00_SKU_Master'!$F$2:$F$378,0)*AA47,"")</f>
        <v>#NAME?</v>
      </c>
      <c r="G45" s="552" t="e">
        <f ca="1">_xludf.IFNA(_xlfn.XLOOKUP(C47,'00_SKU_Master'!$B$2:$B$378,'00_SKU_Master'!$F$2:$F$378,0)*AB47,"")</f>
        <v>#NAME?</v>
      </c>
      <c r="H45" s="552" t="e">
        <f ca="1">_xludf.IFNA(_xlfn.XLOOKUP(C47,'00_SKU_Master'!$B$2:$B$378,'00_SKU_Master'!$F$2:$F$378,0)*AC47,"")</f>
        <v>#NAME?</v>
      </c>
      <c r="I45" s="552" t="e">
        <f ca="1">_xludf.IFNA(_xlfn.XLOOKUP(C47,'00_SKU_Master'!$B$2:$B$378,'00_SKU_Master'!$F$2:$F$378,0)*AD47,"")</f>
        <v>#NAME?</v>
      </c>
      <c r="J45" s="552" t="e">
        <f ca="1">_xludf.IFNA(_xlfn.XLOOKUP(C47,'00_SKU_Master'!$B$2:$B$378,'00_SKU_Master'!$F$2:$F$378,0)*AE47,"")</f>
        <v>#NAME?</v>
      </c>
      <c r="K45" s="553" t="e">
        <f t="shared" ca="1" si="1"/>
        <v>#NAME?</v>
      </c>
      <c r="L45" s="187" t="e">
        <f>_xlfn.XLOOKUP(C47,'00_SKU_Master'!$B$2:$B$378,'00_SKU_Master'!K:K)</f>
        <v>#VALUE!</v>
      </c>
      <c r="M45" s="14">
        <f t="shared" si="2"/>
        <v>2077</v>
      </c>
      <c r="N45" s="147" t="e">
        <f ca="1">_xludf.IFNA(D47/_xlfn.XLOOKUP($M47,'00_SKU_Master'!$B$2:$B$378,'00_SKU_Master'!$M$2:$M$378,0)/$M$2,"0")</f>
        <v>#NAME?</v>
      </c>
      <c r="O45" s="147" t="e">
        <f ca="1">_xludf.IFNA(E47/_xlfn.XLOOKUP($M47,'00_SKU_Master'!$B$2:$B$378,'00_SKU_Master'!$M$2:$M$378,0)/$M$2,"0")</f>
        <v>#NAME?</v>
      </c>
      <c r="P45" s="147" t="e">
        <f ca="1">_xludf.IFNA(F47/_xlfn.XLOOKUP($M47,'00_SKU_Master'!$B$2:$B$378,'00_SKU_Master'!$M$2:$M$378,0)/$M$2,"0")</f>
        <v>#NAME?</v>
      </c>
      <c r="Q45" s="147" t="e">
        <f ca="1">_xludf.IFNA(G47/_xlfn.XLOOKUP($M47,'00_SKU_Master'!$B$2:$B$378,'00_SKU_Master'!$M$2:$M$378,0)/$M$2,"0")</f>
        <v>#NAME?</v>
      </c>
      <c r="R45" s="147" t="e">
        <f ca="1">_xludf.IFNA(H47/_xlfn.XLOOKUP($M47,'00_SKU_Master'!$B$2:$B$378,'00_SKU_Master'!$M$2:$M$378,0)/$M$2,"0")</f>
        <v>#NAME?</v>
      </c>
      <c r="S45" s="147" t="e">
        <f ca="1">_xludf.IFNA(I47/_xlfn.XLOOKUP($M47,'00_SKU_Master'!$B$2:$B$378,'00_SKU_Master'!$M$2:$M$378,0)/$M$2,"0")</f>
        <v>#NAME?</v>
      </c>
      <c r="T45" s="147" t="e">
        <f ca="1">_xludf.IFNA(J47/_xlfn.XLOOKUP($M47,'00_SKU_Master'!$B$2:$B$378,'00_SKU_Master'!$M$2:$M$378,0)/$M$2,"0")</f>
        <v>#NAME?</v>
      </c>
      <c r="U45" s="147" t="e">
        <f t="shared" ca="1" si="3"/>
        <v>#NAME?</v>
      </c>
      <c r="V45" s="4"/>
      <c r="W45" s="4" t="e">
        <f>_xlfn.XLOOKUP(M47,'00_SKU_Master'!$B$2:$B$378,'00_SKU_Master'!D:D)</f>
        <v>#VALUE!</v>
      </c>
      <c r="X45" s="14">
        <f>'05_Daily_Orders'!B46</f>
        <v>2075</v>
      </c>
      <c r="Y45" s="554"/>
      <c r="Z45" s="555"/>
      <c r="AA45" s="555"/>
      <c r="AB45" s="555"/>
      <c r="AC45" s="555">
        <v>109</v>
      </c>
      <c r="AD45" s="555">
        <v>0</v>
      </c>
      <c r="AE45" s="555">
        <v>100</v>
      </c>
      <c r="AF45" s="553">
        <f t="shared" si="4"/>
        <v>0</v>
      </c>
      <c r="AQ45" s="23">
        <v>0</v>
      </c>
      <c r="AR45" s="23">
        <v>2</v>
      </c>
      <c r="AS45" s="23">
        <f t="shared" si="5"/>
        <v>0</v>
      </c>
    </row>
    <row r="46" spans="1:45">
      <c r="A46" s="138" t="str">
        <f>_xlfn.XLOOKUP(C48,'00_SKU_Master'!$B$2:$B$378,'00_SKU_Master'!$C$2:$C$378)</f>
        <v>61050F</v>
      </c>
      <c r="B46" s="138"/>
      <c r="C46" s="138">
        <f t="shared" si="0"/>
        <v>2078</v>
      </c>
      <c r="D46" s="552" t="e">
        <f ca="1">_xludf.IFNA(_xlfn.XLOOKUP(C48,'00_SKU_Master'!$B$2:$B$378,'00_SKU_Master'!$F$2:$F$378,0)*Y48,"")</f>
        <v>#NAME?</v>
      </c>
      <c r="E46" s="552" t="e">
        <f ca="1">_xludf.IFNA(_xlfn.XLOOKUP(C48,'00_SKU_Master'!$B$2:$B$378,'00_SKU_Master'!$F$2:$F$378,0)*Z48,"")</f>
        <v>#NAME?</v>
      </c>
      <c r="F46" s="552" t="e">
        <f ca="1">_xludf.IFNA(_xlfn.XLOOKUP(C48,'00_SKU_Master'!$B$2:$B$378,'00_SKU_Master'!$F$2:$F$378,0)*AA48,"")</f>
        <v>#NAME?</v>
      </c>
      <c r="G46" s="552" t="e">
        <f ca="1">_xludf.IFNA(_xlfn.XLOOKUP(C48,'00_SKU_Master'!$B$2:$B$378,'00_SKU_Master'!$F$2:$F$378,0)*AB48,"")</f>
        <v>#NAME?</v>
      </c>
      <c r="H46" s="552" t="e">
        <f ca="1">_xludf.IFNA(_xlfn.XLOOKUP(C48,'00_SKU_Master'!$B$2:$B$378,'00_SKU_Master'!$F$2:$F$378,0)*AC48,"")</f>
        <v>#NAME?</v>
      </c>
      <c r="I46" s="552" t="e">
        <f ca="1">_xludf.IFNA(_xlfn.XLOOKUP(C48,'00_SKU_Master'!$B$2:$B$378,'00_SKU_Master'!$F$2:$F$378,0)*AD48,"")</f>
        <v>#NAME?</v>
      </c>
      <c r="J46" s="552" t="e">
        <f ca="1">_xludf.IFNA(_xlfn.XLOOKUP(C48,'00_SKU_Master'!$B$2:$B$378,'00_SKU_Master'!$F$2:$F$378,0)*AE48,"")</f>
        <v>#NAME?</v>
      </c>
      <c r="K46" s="553" t="e">
        <f t="shared" ca="1" si="1"/>
        <v>#NAME?</v>
      </c>
      <c r="L46" s="187" t="e">
        <f>_xlfn.XLOOKUP(C48,'00_SKU_Master'!$B$2:$B$378,'00_SKU_Master'!K:K)</f>
        <v>#VALUE!</v>
      </c>
      <c r="M46" s="14">
        <f t="shared" si="2"/>
        <v>2078</v>
      </c>
      <c r="N46" s="147" t="e">
        <f ca="1">_xludf.IFNA(D48/_xlfn.XLOOKUP($M48,'00_SKU_Master'!$B$2:$B$378,'00_SKU_Master'!$M$2:$M$378,0)/$M$2,"0")</f>
        <v>#NAME?</v>
      </c>
      <c r="O46" s="147" t="e">
        <f ca="1">_xludf.IFNA(E48/_xlfn.XLOOKUP($M48,'00_SKU_Master'!$B$2:$B$378,'00_SKU_Master'!$M$2:$M$378,0)/$M$2,"0")</f>
        <v>#NAME?</v>
      </c>
      <c r="P46" s="147" t="e">
        <f ca="1">_xludf.IFNA(F48/_xlfn.XLOOKUP($M48,'00_SKU_Master'!$B$2:$B$378,'00_SKU_Master'!$M$2:$M$378,0)/$M$2,"0")</f>
        <v>#NAME?</v>
      </c>
      <c r="Q46" s="147" t="e">
        <f ca="1">_xludf.IFNA(G48/_xlfn.XLOOKUP($M48,'00_SKU_Master'!$B$2:$B$378,'00_SKU_Master'!$M$2:$M$378,0)/$M$2,"0")</f>
        <v>#NAME?</v>
      </c>
      <c r="R46" s="147" t="e">
        <f ca="1">_xludf.IFNA(H48/_xlfn.XLOOKUP($M48,'00_SKU_Master'!$B$2:$B$378,'00_SKU_Master'!$M$2:$M$378,0)/$M$2,"0")</f>
        <v>#NAME?</v>
      </c>
      <c r="S46" s="147" t="e">
        <f ca="1">_xludf.IFNA(I48/_xlfn.XLOOKUP($M48,'00_SKU_Master'!$B$2:$B$378,'00_SKU_Master'!$M$2:$M$378,0)/$M$2,"0")</f>
        <v>#NAME?</v>
      </c>
      <c r="T46" s="147" t="e">
        <f ca="1">_xludf.IFNA(J48/_xlfn.XLOOKUP($M48,'00_SKU_Master'!$B$2:$B$378,'00_SKU_Master'!$M$2:$M$378,0)/$M$2,"0")</f>
        <v>#NAME?</v>
      </c>
      <c r="U46" s="147" t="e">
        <f t="shared" ca="1" si="3"/>
        <v>#NAME?</v>
      </c>
      <c r="V46" s="4"/>
      <c r="W46" s="4" t="e">
        <f>_xlfn.XLOOKUP(M48,'00_SKU_Master'!$B$2:$B$378,'00_SKU_Master'!D:D)</f>
        <v>#VALUE!</v>
      </c>
      <c r="X46" s="14">
        <f>'05_Daily_Orders'!B47</f>
        <v>2076</v>
      </c>
      <c r="Y46" s="554"/>
      <c r="Z46" s="555"/>
      <c r="AA46" s="555"/>
      <c r="AB46" s="555"/>
      <c r="AC46" s="555">
        <v>217</v>
      </c>
      <c r="AD46" s="555">
        <v>0</v>
      </c>
      <c r="AE46" s="555">
        <v>275</v>
      </c>
      <c r="AF46" s="553">
        <f t="shared" si="4"/>
        <v>43</v>
      </c>
      <c r="AQ46" s="23">
        <v>235</v>
      </c>
      <c r="AR46" s="23">
        <v>0</v>
      </c>
      <c r="AS46" s="23">
        <f t="shared" si="5"/>
        <v>0</v>
      </c>
    </row>
    <row r="47" spans="1:45">
      <c r="A47" s="138" t="str">
        <f>_xlfn.XLOOKUP(C49,'00_SKU_Master'!$B$2:$B$378,'00_SKU_Master'!$C$2:$C$378)</f>
        <v>61086#2</v>
      </c>
      <c r="B47" s="138"/>
      <c r="C47" s="138">
        <f t="shared" si="0"/>
        <v>2082</v>
      </c>
      <c r="D47" s="552" t="e">
        <f ca="1">_xludf.IFNA(_xlfn.XLOOKUP(C49,'00_SKU_Master'!$B$2:$B$378,'00_SKU_Master'!$F$2:$F$378,0)*Y49,"")</f>
        <v>#NAME?</v>
      </c>
      <c r="E47" s="552" t="e">
        <f ca="1">_xludf.IFNA(_xlfn.XLOOKUP(C49,'00_SKU_Master'!$B$2:$B$378,'00_SKU_Master'!$F$2:$F$378,0)*Z49,"")</f>
        <v>#NAME?</v>
      </c>
      <c r="F47" s="552" t="e">
        <f ca="1">_xludf.IFNA(_xlfn.XLOOKUP(C49,'00_SKU_Master'!$B$2:$B$378,'00_SKU_Master'!$F$2:$F$378,0)*AA49,"")</f>
        <v>#NAME?</v>
      </c>
      <c r="G47" s="552" t="e">
        <f ca="1">_xludf.IFNA(_xlfn.XLOOKUP(C49,'00_SKU_Master'!$B$2:$B$378,'00_SKU_Master'!$F$2:$F$378,0)*AB49,"")</f>
        <v>#NAME?</v>
      </c>
      <c r="H47" s="552" t="e">
        <f ca="1">_xludf.IFNA(_xlfn.XLOOKUP(C49,'00_SKU_Master'!$B$2:$B$378,'00_SKU_Master'!$F$2:$F$378,0)*AC49,"")</f>
        <v>#NAME?</v>
      </c>
      <c r="I47" s="552" t="e">
        <f ca="1">_xludf.IFNA(_xlfn.XLOOKUP(C49,'00_SKU_Master'!$B$2:$B$378,'00_SKU_Master'!$F$2:$F$378,0)*AD49,"")</f>
        <v>#NAME?</v>
      </c>
      <c r="J47" s="552" t="e">
        <f ca="1">_xludf.IFNA(_xlfn.XLOOKUP(C49,'00_SKU_Master'!$B$2:$B$378,'00_SKU_Master'!$F$2:$F$378,0)*AE49,"")</f>
        <v>#NAME?</v>
      </c>
      <c r="K47" s="553" t="e">
        <f t="shared" ca="1" si="1"/>
        <v>#NAME?</v>
      </c>
      <c r="L47" s="187" t="e">
        <f>_xlfn.XLOOKUP(C49,'00_SKU_Master'!$B$2:$B$378,'00_SKU_Master'!K:K)</f>
        <v>#VALUE!</v>
      </c>
      <c r="M47" s="14">
        <f t="shared" si="2"/>
        <v>2082</v>
      </c>
      <c r="N47" s="147" t="e">
        <f ca="1">_xludf.IFNA(D49/_xlfn.XLOOKUP($M49,'00_SKU_Master'!$B$2:$B$378,'00_SKU_Master'!$M$2:$M$378,0)/$M$2,"0")</f>
        <v>#NAME?</v>
      </c>
      <c r="O47" s="147" t="e">
        <f ca="1">_xludf.IFNA(E49/_xlfn.XLOOKUP($M49,'00_SKU_Master'!$B$2:$B$378,'00_SKU_Master'!$M$2:$M$378,0)/$M$2,"0")</f>
        <v>#NAME?</v>
      </c>
      <c r="P47" s="147" t="e">
        <f ca="1">_xludf.IFNA(F49/_xlfn.XLOOKUP($M49,'00_SKU_Master'!$B$2:$B$378,'00_SKU_Master'!$M$2:$M$378,0)/$M$2,"0")</f>
        <v>#NAME?</v>
      </c>
      <c r="Q47" s="147" t="e">
        <f ca="1">_xludf.IFNA(G49/_xlfn.XLOOKUP($M49,'00_SKU_Master'!$B$2:$B$378,'00_SKU_Master'!$M$2:$M$378,0)/$M$2,"0")</f>
        <v>#NAME?</v>
      </c>
      <c r="R47" s="147" t="e">
        <f ca="1">_xludf.IFNA(H49/_xlfn.XLOOKUP($M49,'00_SKU_Master'!$B$2:$B$378,'00_SKU_Master'!$M$2:$M$378,0)/$M$2,"0")</f>
        <v>#NAME?</v>
      </c>
      <c r="S47" s="147" t="e">
        <f ca="1">_xludf.IFNA(I49/_xlfn.XLOOKUP($M49,'00_SKU_Master'!$B$2:$B$378,'00_SKU_Master'!$M$2:$M$378,0)/$M$2,"0")</f>
        <v>#NAME?</v>
      </c>
      <c r="T47" s="147" t="e">
        <f ca="1">_xludf.IFNA(J49/_xlfn.XLOOKUP($M49,'00_SKU_Master'!$B$2:$B$378,'00_SKU_Master'!$M$2:$M$378,0)/$M$2,"0")</f>
        <v>#NAME?</v>
      </c>
      <c r="U47" s="147" t="e">
        <f t="shared" ca="1" si="3"/>
        <v>#NAME?</v>
      </c>
      <c r="V47" s="4"/>
      <c r="W47" s="4" t="e">
        <f>_xlfn.XLOOKUP(M49,'00_SKU_Master'!$B$2:$B$378,'00_SKU_Master'!D:D)</f>
        <v>#VALUE!</v>
      </c>
      <c r="X47" s="14">
        <f>'05_Daily_Orders'!B48</f>
        <v>2077</v>
      </c>
      <c r="Y47" s="554"/>
      <c r="Z47" s="555"/>
      <c r="AA47" s="555"/>
      <c r="AB47" s="555"/>
      <c r="AC47" s="555">
        <v>0</v>
      </c>
      <c r="AD47" s="555">
        <v>0</v>
      </c>
      <c r="AE47" s="555">
        <v>0</v>
      </c>
      <c r="AF47" s="553">
        <f t="shared" si="4"/>
        <v>352</v>
      </c>
      <c r="AQ47" s="23">
        <v>0</v>
      </c>
      <c r="AR47" s="23">
        <v>0</v>
      </c>
      <c r="AS47" s="23">
        <f t="shared" si="5"/>
        <v>31</v>
      </c>
    </row>
    <row r="48" spans="1:45">
      <c r="A48" s="138">
        <f>_xlfn.XLOOKUP(C50,'00_SKU_Master'!$B$2:$B$378,'00_SKU_Master'!$C$2:$C$378)</f>
        <v>61050</v>
      </c>
      <c r="B48" s="138"/>
      <c r="C48" s="138">
        <f t="shared" si="0"/>
        <v>2084</v>
      </c>
      <c r="D48" s="552" t="e">
        <f ca="1">_xludf.IFNA(_xlfn.XLOOKUP(C50,'00_SKU_Master'!$B$2:$B$378,'00_SKU_Master'!$F$2:$F$378,0)*Y50,"")</f>
        <v>#NAME?</v>
      </c>
      <c r="E48" s="552" t="e">
        <f ca="1">_xludf.IFNA(_xlfn.XLOOKUP(C50,'00_SKU_Master'!$B$2:$B$378,'00_SKU_Master'!$F$2:$F$378,0)*Z50,"")</f>
        <v>#NAME?</v>
      </c>
      <c r="F48" s="552" t="e">
        <f ca="1">_xludf.IFNA(_xlfn.XLOOKUP(C50,'00_SKU_Master'!$B$2:$B$378,'00_SKU_Master'!$F$2:$F$378,0)*AA50,"")</f>
        <v>#NAME?</v>
      </c>
      <c r="G48" s="552" t="e">
        <f ca="1">_xludf.IFNA(_xlfn.XLOOKUP(C50,'00_SKU_Master'!$B$2:$B$378,'00_SKU_Master'!$F$2:$F$378,0)*AB50,"")</f>
        <v>#NAME?</v>
      </c>
      <c r="H48" s="552" t="e">
        <f ca="1">_xludf.IFNA(_xlfn.XLOOKUP(C50,'00_SKU_Master'!$B$2:$B$378,'00_SKU_Master'!$F$2:$F$378,0)*AC50,"")</f>
        <v>#NAME?</v>
      </c>
      <c r="I48" s="552" t="e">
        <f ca="1">_xludf.IFNA(_xlfn.XLOOKUP(C50,'00_SKU_Master'!$B$2:$B$378,'00_SKU_Master'!$F$2:$F$378,0)*AD50,"")</f>
        <v>#NAME?</v>
      </c>
      <c r="J48" s="552" t="e">
        <f ca="1">_xludf.IFNA(_xlfn.XLOOKUP(C50,'00_SKU_Master'!$B$2:$B$378,'00_SKU_Master'!$F$2:$F$378,0)*AE50,"")</f>
        <v>#NAME?</v>
      </c>
      <c r="K48" s="553" t="e">
        <f t="shared" ca="1" si="1"/>
        <v>#NAME?</v>
      </c>
      <c r="L48" s="187" t="e">
        <f>_xlfn.XLOOKUP(C50,'00_SKU_Master'!$B$2:$B$378,'00_SKU_Master'!K:K)</f>
        <v>#VALUE!</v>
      </c>
      <c r="M48" s="14">
        <f t="shared" si="2"/>
        <v>2084</v>
      </c>
      <c r="N48" s="147" t="e">
        <f ca="1">_xludf.IFNA(D50/_xlfn.XLOOKUP($M50,'00_SKU_Master'!$B$2:$B$378,'00_SKU_Master'!$M$2:$M$378,0)/$M$2,"0")</f>
        <v>#NAME?</v>
      </c>
      <c r="O48" s="147" t="e">
        <f ca="1">_xludf.IFNA(E50/_xlfn.XLOOKUP($M50,'00_SKU_Master'!$B$2:$B$378,'00_SKU_Master'!$M$2:$M$378,0)/$M$2,"0")</f>
        <v>#NAME?</v>
      </c>
      <c r="P48" s="147" t="e">
        <f ca="1">_xludf.IFNA(F50/_xlfn.XLOOKUP($M50,'00_SKU_Master'!$B$2:$B$378,'00_SKU_Master'!$M$2:$M$378,0)/$M$2,"0")</f>
        <v>#NAME?</v>
      </c>
      <c r="Q48" s="147" t="e">
        <f ca="1">_xludf.IFNA(G50/_xlfn.XLOOKUP($M50,'00_SKU_Master'!$B$2:$B$378,'00_SKU_Master'!$M$2:$M$378,0)/$M$2,"0")</f>
        <v>#NAME?</v>
      </c>
      <c r="R48" s="147" t="e">
        <f ca="1">_xludf.IFNA(H50/_xlfn.XLOOKUP($M50,'00_SKU_Master'!$B$2:$B$378,'00_SKU_Master'!$M$2:$M$378,0)/$M$2,"0")</f>
        <v>#NAME?</v>
      </c>
      <c r="S48" s="147" t="e">
        <f ca="1">_xludf.IFNA(I50/_xlfn.XLOOKUP($M50,'00_SKU_Master'!$B$2:$B$378,'00_SKU_Master'!$M$2:$M$378,0)/$M$2,"0")</f>
        <v>#NAME?</v>
      </c>
      <c r="T48" s="147" t="e">
        <f ca="1">_xludf.IFNA(J50/_xlfn.XLOOKUP($M50,'00_SKU_Master'!$B$2:$B$378,'00_SKU_Master'!$M$2:$M$378,0)/$M$2,"0")</f>
        <v>#NAME?</v>
      </c>
      <c r="U48" s="147" t="e">
        <f t="shared" ca="1" si="3"/>
        <v>#NAME?</v>
      </c>
      <c r="V48" s="4"/>
      <c r="W48" s="4" t="e">
        <f>_xlfn.XLOOKUP(M50,'00_SKU_Master'!$B$2:$B$378,'00_SKU_Master'!D:D)</f>
        <v>#VALUE!</v>
      </c>
      <c r="X48" s="14">
        <f>'05_Daily_Orders'!B49</f>
        <v>2078</v>
      </c>
      <c r="Y48" s="554"/>
      <c r="Z48" s="555"/>
      <c r="AA48" s="555"/>
      <c r="AB48" s="555"/>
      <c r="AC48" s="555">
        <v>23</v>
      </c>
      <c r="AD48" s="555">
        <v>0</v>
      </c>
      <c r="AE48" s="555">
        <v>20</v>
      </c>
      <c r="AF48" s="553">
        <f t="shared" si="4"/>
        <v>0</v>
      </c>
      <c r="AQ48" s="23">
        <v>0</v>
      </c>
      <c r="AR48" s="23">
        <v>0</v>
      </c>
      <c r="AS48" s="23">
        <f t="shared" si="5"/>
        <v>0</v>
      </c>
    </row>
    <row r="49" spans="1:45">
      <c r="A49" s="138">
        <f>_xlfn.XLOOKUP(C51,'00_SKU_Master'!$B$2:$B$378,'00_SKU_Master'!$C$2:$C$378)</f>
        <v>61050</v>
      </c>
      <c r="B49" s="138"/>
      <c r="C49" s="138">
        <f t="shared" si="0"/>
        <v>2085</v>
      </c>
      <c r="D49" s="552" t="e">
        <f ca="1">_xludf.IFNA(_xlfn.XLOOKUP(C51,'00_SKU_Master'!$B$2:$B$378,'00_SKU_Master'!$F$2:$F$378,0)*Y51,"")</f>
        <v>#NAME?</v>
      </c>
      <c r="E49" s="552" t="e">
        <f ca="1">_xludf.IFNA(_xlfn.XLOOKUP(C51,'00_SKU_Master'!$B$2:$B$378,'00_SKU_Master'!$F$2:$F$378,0)*Z51,"")</f>
        <v>#NAME?</v>
      </c>
      <c r="F49" s="552" t="e">
        <f ca="1">_xludf.IFNA(_xlfn.XLOOKUP(C51,'00_SKU_Master'!$B$2:$B$378,'00_SKU_Master'!$F$2:$F$378,0)*AA51,"")</f>
        <v>#NAME?</v>
      </c>
      <c r="G49" s="552" t="e">
        <f ca="1">_xludf.IFNA(_xlfn.XLOOKUP(C51,'00_SKU_Master'!$B$2:$B$378,'00_SKU_Master'!$F$2:$F$378,0)*AB51,"")</f>
        <v>#NAME?</v>
      </c>
      <c r="H49" s="552" t="e">
        <f ca="1">_xludf.IFNA(_xlfn.XLOOKUP(C51,'00_SKU_Master'!$B$2:$B$378,'00_SKU_Master'!$F$2:$F$378,0)*AC51,"")</f>
        <v>#NAME?</v>
      </c>
      <c r="I49" s="552" t="e">
        <f ca="1">_xludf.IFNA(_xlfn.XLOOKUP(C51,'00_SKU_Master'!$B$2:$B$378,'00_SKU_Master'!$F$2:$F$378,0)*AD51,"")</f>
        <v>#NAME?</v>
      </c>
      <c r="J49" s="552" t="e">
        <f ca="1">_xludf.IFNA(_xlfn.XLOOKUP(C51,'00_SKU_Master'!$B$2:$B$378,'00_SKU_Master'!$F$2:$F$378,0)*AE51,"")</f>
        <v>#NAME?</v>
      </c>
      <c r="K49" s="553" t="e">
        <f t="shared" ca="1" si="1"/>
        <v>#NAME?</v>
      </c>
      <c r="L49" s="187" t="e">
        <f>_xlfn.XLOOKUP(C51,'00_SKU_Master'!$B$2:$B$378,'00_SKU_Master'!K:K)</f>
        <v>#VALUE!</v>
      </c>
      <c r="M49" s="14">
        <f t="shared" si="2"/>
        <v>2085</v>
      </c>
      <c r="N49" s="147" t="e">
        <f ca="1">_xludf.IFNA(D51/_xlfn.XLOOKUP($M51,'00_SKU_Master'!$B$2:$B$378,'00_SKU_Master'!$M$2:$M$378,0)/$M$2,"0")</f>
        <v>#NAME?</v>
      </c>
      <c r="O49" s="147" t="e">
        <f ca="1">_xludf.IFNA(E51/_xlfn.XLOOKUP($M51,'00_SKU_Master'!$B$2:$B$378,'00_SKU_Master'!$M$2:$M$378,0)/$M$2,"0")</f>
        <v>#NAME?</v>
      </c>
      <c r="P49" s="147" t="e">
        <f ca="1">_xludf.IFNA(F51/_xlfn.XLOOKUP($M51,'00_SKU_Master'!$B$2:$B$378,'00_SKU_Master'!$M$2:$M$378,0)/$M$2,"0")</f>
        <v>#NAME?</v>
      </c>
      <c r="Q49" s="147" t="e">
        <f ca="1">_xludf.IFNA(G51/_xlfn.XLOOKUP($M51,'00_SKU_Master'!$B$2:$B$378,'00_SKU_Master'!$M$2:$M$378,0)/$M$2,"0")</f>
        <v>#NAME?</v>
      </c>
      <c r="R49" s="147" t="e">
        <f ca="1">_xludf.IFNA(H51/_xlfn.XLOOKUP($M51,'00_SKU_Master'!$B$2:$B$378,'00_SKU_Master'!$M$2:$M$378,0)/$M$2,"0")</f>
        <v>#NAME?</v>
      </c>
      <c r="S49" s="147" t="e">
        <f ca="1">_xludf.IFNA(I51/_xlfn.XLOOKUP($M51,'00_SKU_Master'!$B$2:$B$378,'00_SKU_Master'!$M$2:$M$378,0)/$M$2,"0")</f>
        <v>#NAME?</v>
      </c>
      <c r="T49" s="147" t="e">
        <f ca="1">_xludf.IFNA(J51/_xlfn.XLOOKUP($M51,'00_SKU_Master'!$B$2:$B$378,'00_SKU_Master'!$M$2:$M$378,0)/$M$2,"0")</f>
        <v>#NAME?</v>
      </c>
      <c r="U49" s="147" t="e">
        <f t="shared" ca="1" si="3"/>
        <v>#NAME?</v>
      </c>
      <c r="V49" s="4"/>
      <c r="W49" s="4" t="e">
        <f>_xlfn.XLOOKUP(M51,'00_SKU_Master'!$B$2:$B$378,'00_SKU_Master'!D:D)</f>
        <v>#VALUE!</v>
      </c>
      <c r="X49" s="14">
        <f>'05_Daily_Orders'!B50</f>
        <v>2082</v>
      </c>
      <c r="Y49" s="554"/>
      <c r="Z49" s="555"/>
      <c r="AA49" s="555"/>
      <c r="AB49" s="555"/>
      <c r="AC49" s="555">
        <v>200</v>
      </c>
      <c r="AD49" s="555">
        <v>0</v>
      </c>
      <c r="AE49" s="555">
        <v>152</v>
      </c>
      <c r="AF49" s="553">
        <f t="shared" si="4"/>
        <v>215</v>
      </c>
      <c r="AQ49" s="23">
        <v>0</v>
      </c>
      <c r="AR49" s="23">
        <v>31</v>
      </c>
      <c r="AS49" s="23">
        <f t="shared" si="5"/>
        <v>-1</v>
      </c>
    </row>
    <row r="50" spans="1:45">
      <c r="A50" s="138">
        <f>_xlfn.XLOOKUP(C52,'00_SKU_Master'!$B$2:$B$378,'00_SKU_Master'!$C$2:$C$378)</f>
        <v>61054</v>
      </c>
      <c r="B50" s="138"/>
      <c r="C50" s="138">
        <f t="shared" si="0"/>
        <v>2086</v>
      </c>
      <c r="D50" s="552" t="e">
        <f ca="1">_xludf.IFNA(_xlfn.XLOOKUP(C52,'00_SKU_Master'!$B$2:$B$378,'00_SKU_Master'!$F$2:$F$378,0)*Y52,"")</f>
        <v>#NAME?</v>
      </c>
      <c r="E50" s="552" t="e">
        <f ca="1">_xludf.IFNA(_xlfn.XLOOKUP(C52,'00_SKU_Master'!$B$2:$B$378,'00_SKU_Master'!$F$2:$F$378,0)*Z52,"")</f>
        <v>#NAME?</v>
      </c>
      <c r="F50" s="552" t="e">
        <f ca="1">_xludf.IFNA(_xlfn.XLOOKUP(C52,'00_SKU_Master'!$B$2:$B$378,'00_SKU_Master'!$F$2:$F$378,0)*AA52,"")</f>
        <v>#NAME?</v>
      </c>
      <c r="G50" s="552" t="e">
        <f ca="1">_xludf.IFNA(_xlfn.XLOOKUP(C52,'00_SKU_Master'!$B$2:$B$378,'00_SKU_Master'!$F$2:$F$378,0)*AB52,"")</f>
        <v>#NAME?</v>
      </c>
      <c r="H50" s="552" t="e">
        <f ca="1">_xludf.IFNA(_xlfn.XLOOKUP(C52,'00_SKU_Master'!$B$2:$B$378,'00_SKU_Master'!$F$2:$F$378,0)*AC52,"")</f>
        <v>#NAME?</v>
      </c>
      <c r="I50" s="552" t="e">
        <f ca="1">_xludf.IFNA(_xlfn.XLOOKUP(C52,'00_SKU_Master'!$B$2:$B$378,'00_SKU_Master'!$F$2:$F$378,0)*AD52,"")</f>
        <v>#NAME?</v>
      </c>
      <c r="J50" s="552" t="e">
        <f ca="1">_xludf.IFNA(_xlfn.XLOOKUP(C52,'00_SKU_Master'!$B$2:$B$378,'00_SKU_Master'!$F$2:$F$378,0)*AE52,"")</f>
        <v>#NAME?</v>
      </c>
      <c r="K50" s="553" t="e">
        <f t="shared" ca="1" si="1"/>
        <v>#NAME?</v>
      </c>
      <c r="L50" s="187" t="e">
        <f>_xlfn.XLOOKUP(C52,'00_SKU_Master'!$B$2:$B$378,'00_SKU_Master'!K:K)</f>
        <v>#VALUE!</v>
      </c>
      <c r="M50" s="14">
        <f t="shared" si="2"/>
        <v>2086</v>
      </c>
      <c r="N50" s="147" t="e">
        <f ca="1">_xludf.IFNA(D52/_xlfn.XLOOKUP($M52,'00_SKU_Master'!$B$2:$B$378,'00_SKU_Master'!$M$2:$M$378,0)/$M$2,"0")</f>
        <v>#NAME?</v>
      </c>
      <c r="O50" s="147" t="e">
        <f ca="1">_xludf.IFNA(E52/_xlfn.XLOOKUP($M52,'00_SKU_Master'!$B$2:$B$378,'00_SKU_Master'!$M$2:$M$378,0)/$M$2,"0")</f>
        <v>#NAME?</v>
      </c>
      <c r="P50" s="147" t="e">
        <f ca="1">_xludf.IFNA(F52/_xlfn.XLOOKUP($M52,'00_SKU_Master'!$B$2:$B$378,'00_SKU_Master'!$M$2:$M$378,0)/$M$2,"0")</f>
        <v>#NAME?</v>
      </c>
      <c r="Q50" s="147" t="e">
        <f ca="1">_xludf.IFNA(G52/_xlfn.XLOOKUP($M52,'00_SKU_Master'!$B$2:$B$378,'00_SKU_Master'!$M$2:$M$378,0)/$M$2,"0")</f>
        <v>#NAME?</v>
      </c>
      <c r="R50" s="147" t="e">
        <f ca="1">_xludf.IFNA(H52/_xlfn.XLOOKUP($M52,'00_SKU_Master'!$B$2:$B$378,'00_SKU_Master'!$M$2:$M$378,0)/$M$2,"0")</f>
        <v>#NAME?</v>
      </c>
      <c r="S50" s="147" t="e">
        <f ca="1">_xludf.IFNA(I52/_xlfn.XLOOKUP($M52,'00_SKU_Master'!$B$2:$B$378,'00_SKU_Master'!$M$2:$M$378,0)/$M$2,"0")</f>
        <v>#NAME?</v>
      </c>
      <c r="T50" s="147" t="e">
        <f ca="1">_xludf.IFNA(J52/_xlfn.XLOOKUP($M52,'00_SKU_Master'!$B$2:$B$378,'00_SKU_Master'!$M$2:$M$378,0)/$M$2,"0")</f>
        <v>#NAME?</v>
      </c>
      <c r="U50" s="147" t="e">
        <f t="shared" ca="1" si="3"/>
        <v>#NAME?</v>
      </c>
      <c r="V50" s="4"/>
      <c r="W50" s="4" t="e">
        <f>_xlfn.XLOOKUP(M52,'00_SKU_Master'!$B$2:$B$378,'00_SKU_Master'!D:D)</f>
        <v>#VALUE!</v>
      </c>
      <c r="X50" s="14">
        <f>'05_Daily_Orders'!B51</f>
        <v>2084</v>
      </c>
      <c r="Y50" s="554"/>
      <c r="Z50" s="555"/>
      <c r="AA50" s="555"/>
      <c r="AB50" s="555"/>
      <c r="AC50" s="555">
        <v>0</v>
      </c>
      <c r="AD50" s="555">
        <v>0</v>
      </c>
      <c r="AE50" s="555">
        <v>0</v>
      </c>
      <c r="AF50" s="553">
        <f t="shared" si="4"/>
        <v>80</v>
      </c>
      <c r="AQ50" s="23">
        <v>0</v>
      </c>
      <c r="AR50" s="23">
        <v>0</v>
      </c>
      <c r="AS50" s="23">
        <f t="shared" si="5"/>
        <v>40</v>
      </c>
    </row>
    <row r="51" spans="1:45">
      <c r="A51" s="138">
        <f>_xlfn.XLOOKUP(C53,'00_SKU_Master'!$B$2:$B$378,'00_SKU_Master'!$C$2:$C$378)</f>
        <v>61040</v>
      </c>
      <c r="B51" s="138"/>
      <c r="C51" s="138">
        <f t="shared" si="0"/>
        <v>2087</v>
      </c>
      <c r="D51" s="552" t="e">
        <f ca="1">_xludf.IFNA(_xlfn.XLOOKUP(C53,'00_SKU_Master'!$B$2:$B$378,'00_SKU_Master'!$F$2:$F$378,0)*Y53,"")</f>
        <v>#NAME?</v>
      </c>
      <c r="E51" s="552" t="e">
        <f ca="1">_xludf.IFNA(_xlfn.XLOOKUP(C53,'00_SKU_Master'!$B$2:$B$378,'00_SKU_Master'!$F$2:$F$378,0)*Z53,"")</f>
        <v>#NAME?</v>
      </c>
      <c r="F51" s="552" t="e">
        <f ca="1">_xludf.IFNA(_xlfn.XLOOKUP(C53,'00_SKU_Master'!$B$2:$B$378,'00_SKU_Master'!$F$2:$F$378,0)*AA53,"")</f>
        <v>#NAME?</v>
      </c>
      <c r="G51" s="552" t="e">
        <f ca="1">_xludf.IFNA(_xlfn.XLOOKUP(C53,'00_SKU_Master'!$B$2:$B$378,'00_SKU_Master'!$F$2:$F$378,0)*AB53,"")</f>
        <v>#NAME?</v>
      </c>
      <c r="H51" s="552" t="e">
        <f ca="1">_xludf.IFNA(_xlfn.XLOOKUP(C53,'00_SKU_Master'!$B$2:$B$378,'00_SKU_Master'!$F$2:$F$378,0)*AC53,"")</f>
        <v>#NAME?</v>
      </c>
      <c r="I51" s="552" t="e">
        <f ca="1">_xludf.IFNA(_xlfn.XLOOKUP(C53,'00_SKU_Master'!$B$2:$B$378,'00_SKU_Master'!$F$2:$F$378,0)*AD53,"")</f>
        <v>#NAME?</v>
      </c>
      <c r="J51" s="552" t="e">
        <f ca="1">_xludf.IFNA(_xlfn.XLOOKUP(C53,'00_SKU_Master'!$B$2:$B$378,'00_SKU_Master'!$F$2:$F$378,0)*AE53,"")</f>
        <v>#NAME?</v>
      </c>
      <c r="K51" s="553" t="e">
        <f t="shared" ca="1" si="1"/>
        <v>#NAME?</v>
      </c>
      <c r="L51" s="187" t="e">
        <f>_xlfn.XLOOKUP(C53,'00_SKU_Master'!$B$2:$B$378,'00_SKU_Master'!K:K)</f>
        <v>#VALUE!</v>
      </c>
      <c r="M51" s="14">
        <f t="shared" si="2"/>
        <v>2087</v>
      </c>
      <c r="N51" s="147" t="e">
        <f ca="1">_xludf.IFNA(D53/_xlfn.XLOOKUP($M53,'00_SKU_Master'!$B$2:$B$378,'00_SKU_Master'!$M$2:$M$378,0)/$M$2,"0")</f>
        <v>#NAME?</v>
      </c>
      <c r="O51" s="147" t="e">
        <f ca="1">_xludf.IFNA(E53/_xlfn.XLOOKUP($M53,'00_SKU_Master'!$B$2:$B$378,'00_SKU_Master'!$M$2:$M$378,0)/$M$2,"0")</f>
        <v>#NAME?</v>
      </c>
      <c r="P51" s="147" t="e">
        <f ca="1">_xludf.IFNA(F53/_xlfn.XLOOKUP($M53,'00_SKU_Master'!$B$2:$B$378,'00_SKU_Master'!$M$2:$M$378,0)/$M$2,"0")</f>
        <v>#NAME?</v>
      </c>
      <c r="Q51" s="147" t="e">
        <f ca="1">_xludf.IFNA(G53/_xlfn.XLOOKUP($M53,'00_SKU_Master'!$B$2:$B$378,'00_SKU_Master'!$M$2:$M$378,0)/$M$2,"0")</f>
        <v>#NAME?</v>
      </c>
      <c r="R51" s="147" t="e">
        <f ca="1">_xludf.IFNA(H53/_xlfn.XLOOKUP($M53,'00_SKU_Master'!$B$2:$B$378,'00_SKU_Master'!$M$2:$M$378,0)/$M$2,"0")</f>
        <v>#NAME?</v>
      </c>
      <c r="S51" s="147" t="e">
        <f ca="1">_xludf.IFNA(I53/_xlfn.XLOOKUP($M53,'00_SKU_Master'!$B$2:$B$378,'00_SKU_Master'!$M$2:$M$378,0)/$M$2,"0")</f>
        <v>#NAME?</v>
      </c>
      <c r="T51" s="147" t="e">
        <f ca="1">_xludf.IFNA(J53/_xlfn.XLOOKUP($M53,'00_SKU_Master'!$B$2:$B$378,'00_SKU_Master'!$M$2:$M$378,0)/$M$2,"0")</f>
        <v>#NAME?</v>
      </c>
      <c r="U51" s="147" t="e">
        <f t="shared" ca="1" si="3"/>
        <v>#NAME?</v>
      </c>
      <c r="V51" s="4"/>
      <c r="W51" s="4" t="e">
        <f>_xlfn.XLOOKUP(M53,'00_SKU_Master'!$B$2:$B$378,'00_SKU_Master'!D:D)</f>
        <v>#VALUE!</v>
      </c>
      <c r="X51" s="14">
        <f>'05_Daily_Orders'!B52</f>
        <v>2085</v>
      </c>
      <c r="Y51" s="554"/>
      <c r="Z51" s="555"/>
      <c r="AA51" s="555"/>
      <c r="AB51" s="555"/>
      <c r="AC51" s="555">
        <v>215</v>
      </c>
      <c r="AD51" s="555">
        <v>0</v>
      </c>
      <c r="AE51" s="555">
        <v>0</v>
      </c>
      <c r="AF51" s="553">
        <f t="shared" si="4"/>
        <v>0</v>
      </c>
      <c r="AQ51" s="23">
        <v>1</v>
      </c>
      <c r="AR51" s="23">
        <v>0</v>
      </c>
      <c r="AS51" s="23">
        <f t="shared" si="5"/>
        <v>0</v>
      </c>
    </row>
    <row r="52" spans="1:45">
      <c r="A52" s="138">
        <f>_xlfn.XLOOKUP(C54,'00_SKU_Master'!$B$2:$B$378,'00_SKU_Master'!$C$2:$C$378)</f>
        <v>61040</v>
      </c>
      <c r="B52" s="138"/>
      <c r="C52" s="138">
        <f t="shared" si="0"/>
        <v>2088</v>
      </c>
      <c r="D52" s="552" t="e">
        <f ca="1">_xludf.IFNA(_xlfn.XLOOKUP(C54,'00_SKU_Master'!$B$2:$B$378,'00_SKU_Master'!$F$2:$F$378,0)*Y54,"")</f>
        <v>#NAME?</v>
      </c>
      <c r="E52" s="552" t="e">
        <f ca="1">_xludf.IFNA(_xlfn.XLOOKUP(C54,'00_SKU_Master'!$B$2:$B$378,'00_SKU_Master'!$F$2:$F$378,0)*Z54,"")</f>
        <v>#NAME?</v>
      </c>
      <c r="F52" s="552" t="e">
        <f ca="1">_xludf.IFNA(_xlfn.XLOOKUP(C54,'00_SKU_Master'!$B$2:$B$378,'00_SKU_Master'!$F$2:$F$378,0)*AA54,"")</f>
        <v>#NAME?</v>
      </c>
      <c r="G52" s="552" t="e">
        <f ca="1">_xludf.IFNA(_xlfn.XLOOKUP(C54,'00_SKU_Master'!$B$2:$B$378,'00_SKU_Master'!$F$2:$F$378,0)*AB54,"")</f>
        <v>#NAME?</v>
      </c>
      <c r="H52" s="552" t="e">
        <f ca="1">_xludf.IFNA(_xlfn.XLOOKUP(C54,'00_SKU_Master'!$B$2:$B$378,'00_SKU_Master'!$F$2:$F$378,0)*AC54,"")</f>
        <v>#NAME?</v>
      </c>
      <c r="I52" s="552" t="e">
        <f ca="1">_xludf.IFNA(_xlfn.XLOOKUP(C54,'00_SKU_Master'!$B$2:$B$378,'00_SKU_Master'!$F$2:$F$378,0)*AD54,"")</f>
        <v>#NAME?</v>
      </c>
      <c r="J52" s="552" t="e">
        <f ca="1">_xludf.IFNA(_xlfn.XLOOKUP(C54,'00_SKU_Master'!$B$2:$B$378,'00_SKU_Master'!$F$2:$F$378,0)*AE54,"")</f>
        <v>#NAME?</v>
      </c>
      <c r="K52" s="553" t="e">
        <f t="shared" ca="1" si="1"/>
        <v>#NAME?</v>
      </c>
      <c r="L52" s="187" t="e">
        <f>_xlfn.XLOOKUP(C54,'00_SKU_Master'!$B$2:$B$378,'00_SKU_Master'!K:K)</f>
        <v>#VALUE!</v>
      </c>
      <c r="M52" s="14">
        <f t="shared" si="2"/>
        <v>2088</v>
      </c>
      <c r="N52" s="147" t="e">
        <f ca="1">_xludf.IFNA(D54/_xlfn.XLOOKUP($M54,'00_SKU_Master'!$B$2:$B$378,'00_SKU_Master'!$M$2:$M$378,0)/$M$2,"0")</f>
        <v>#NAME?</v>
      </c>
      <c r="O52" s="147" t="e">
        <f ca="1">_xludf.IFNA(E54/_xlfn.XLOOKUP($M54,'00_SKU_Master'!$B$2:$B$378,'00_SKU_Master'!$M$2:$M$378,0)/$M$2,"0")</f>
        <v>#NAME?</v>
      </c>
      <c r="P52" s="147" t="e">
        <f ca="1">_xludf.IFNA(F54/_xlfn.XLOOKUP($M54,'00_SKU_Master'!$B$2:$B$378,'00_SKU_Master'!$M$2:$M$378,0)/$M$2,"0")</f>
        <v>#NAME?</v>
      </c>
      <c r="Q52" s="147" t="e">
        <f ca="1">_xludf.IFNA(G54/_xlfn.XLOOKUP($M54,'00_SKU_Master'!$B$2:$B$378,'00_SKU_Master'!$M$2:$M$378,0)/$M$2,"0")</f>
        <v>#NAME?</v>
      </c>
      <c r="R52" s="147" t="e">
        <f ca="1">_xludf.IFNA(H54/_xlfn.XLOOKUP($M54,'00_SKU_Master'!$B$2:$B$378,'00_SKU_Master'!$M$2:$M$378,0)/$M$2,"0")</f>
        <v>#NAME?</v>
      </c>
      <c r="S52" s="147" t="e">
        <f ca="1">_xludf.IFNA(I54/_xlfn.XLOOKUP($M54,'00_SKU_Master'!$B$2:$B$378,'00_SKU_Master'!$M$2:$M$378,0)/$M$2,"0")</f>
        <v>#NAME?</v>
      </c>
      <c r="T52" s="147" t="e">
        <f ca="1">_xludf.IFNA(J54/_xlfn.XLOOKUP($M54,'00_SKU_Master'!$B$2:$B$378,'00_SKU_Master'!$M$2:$M$378,0)/$M$2,"0")</f>
        <v>#NAME?</v>
      </c>
      <c r="U52" s="147" t="e">
        <f t="shared" ca="1" si="3"/>
        <v>#NAME?</v>
      </c>
      <c r="V52" s="4"/>
      <c r="W52" s="4" t="e">
        <f>_xlfn.XLOOKUP(M54,'00_SKU_Master'!$B$2:$B$378,'00_SKU_Master'!D:D)</f>
        <v>#VALUE!</v>
      </c>
      <c r="X52" s="14">
        <f>'05_Daily_Orders'!B53</f>
        <v>2086</v>
      </c>
      <c r="Y52" s="554"/>
      <c r="Z52" s="555"/>
      <c r="AA52" s="555"/>
      <c r="AB52" s="555"/>
      <c r="AC52" s="555">
        <v>80</v>
      </c>
      <c r="AD52" s="555">
        <v>0</v>
      </c>
      <c r="AE52" s="555">
        <v>0</v>
      </c>
      <c r="AF52" s="553">
        <f t="shared" si="4"/>
        <v>0</v>
      </c>
      <c r="AQ52" s="23">
        <v>0</v>
      </c>
      <c r="AR52" s="23">
        <v>40</v>
      </c>
      <c r="AS52" s="23">
        <f t="shared" si="5"/>
        <v>0</v>
      </c>
    </row>
    <row r="53" spans="1:45">
      <c r="A53" s="138">
        <f>_xlfn.XLOOKUP(C55,'00_SKU_Master'!$B$2:$B$378,'00_SKU_Master'!$C$2:$C$378)</f>
        <v>61061</v>
      </c>
      <c r="B53" s="138"/>
      <c r="C53" s="138">
        <f t="shared" si="0"/>
        <v>2089</v>
      </c>
      <c r="D53" s="552" t="e">
        <f ca="1">_xludf.IFNA(_xlfn.XLOOKUP(C55,'00_SKU_Master'!$B$2:$B$378,'00_SKU_Master'!$F$2:$F$378,0)*Y55,"")</f>
        <v>#NAME?</v>
      </c>
      <c r="E53" s="552" t="e">
        <f ca="1">_xludf.IFNA(_xlfn.XLOOKUP(C55,'00_SKU_Master'!$B$2:$B$378,'00_SKU_Master'!$F$2:$F$378,0)*Z55,"")</f>
        <v>#NAME?</v>
      </c>
      <c r="F53" s="552" t="e">
        <f ca="1">_xludf.IFNA(_xlfn.XLOOKUP(C55,'00_SKU_Master'!$B$2:$B$378,'00_SKU_Master'!$F$2:$F$378,0)*AA55,"")</f>
        <v>#NAME?</v>
      </c>
      <c r="G53" s="552" t="e">
        <f ca="1">_xludf.IFNA(_xlfn.XLOOKUP(C55,'00_SKU_Master'!$B$2:$B$378,'00_SKU_Master'!$F$2:$F$378,0)*AB55,"")</f>
        <v>#NAME?</v>
      </c>
      <c r="H53" s="552" t="e">
        <f ca="1">_xludf.IFNA(_xlfn.XLOOKUP(C55,'00_SKU_Master'!$B$2:$B$378,'00_SKU_Master'!$F$2:$F$378,0)*AC55,"")</f>
        <v>#NAME?</v>
      </c>
      <c r="I53" s="552" t="e">
        <f ca="1">_xludf.IFNA(_xlfn.XLOOKUP(C55,'00_SKU_Master'!$B$2:$B$378,'00_SKU_Master'!$F$2:$F$378,0)*AD55,"")</f>
        <v>#NAME?</v>
      </c>
      <c r="J53" s="552" t="e">
        <f ca="1">_xludf.IFNA(_xlfn.XLOOKUP(C55,'00_SKU_Master'!$B$2:$B$378,'00_SKU_Master'!$F$2:$F$378,0)*AE55,"")</f>
        <v>#NAME?</v>
      </c>
      <c r="K53" s="553" t="e">
        <f t="shared" ca="1" si="1"/>
        <v>#NAME?</v>
      </c>
      <c r="L53" s="187" t="e">
        <f>_xlfn.XLOOKUP(C55,'00_SKU_Master'!$B$2:$B$378,'00_SKU_Master'!K:K)</f>
        <v>#VALUE!</v>
      </c>
      <c r="M53" s="14">
        <f t="shared" si="2"/>
        <v>2089</v>
      </c>
      <c r="N53" s="147" t="e">
        <f ca="1">_xludf.IFNA(D55/_xlfn.XLOOKUP($M55,'00_SKU_Master'!$B$2:$B$378,'00_SKU_Master'!$M$2:$M$378,0)/$M$2,"0")</f>
        <v>#NAME?</v>
      </c>
      <c r="O53" s="147" t="e">
        <f ca="1">_xludf.IFNA(E55/_xlfn.XLOOKUP($M55,'00_SKU_Master'!$B$2:$B$378,'00_SKU_Master'!$M$2:$M$378,0)/$M$2,"0")</f>
        <v>#NAME?</v>
      </c>
      <c r="P53" s="147" t="e">
        <f ca="1">_xludf.IFNA(F55/_xlfn.XLOOKUP($M55,'00_SKU_Master'!$B$2:$B$378,'00_SKU_Master'!$M$2:$M$378,0)/$M$2,"0")</f>
        <v>#NAME?</v>
      </c>
      <c r="Q53" s="147" t="e">
        <f ca="1">_xludf.IFNA(G55/_xlfn.XLOOKUP($M55,'00_SKU_Master'!$B$2:$B$378,'00_SKU_Master'!$M$2:$M$378,0)/$M$2,"0")</f>
        <v>#NAME?</v>
      </c>
      <c r="R53" s="147" t="e">
        <f ca="1">_xludf.IFNA(H55/_xlfn.XLOOKUP($M55,'00_SKU_Master'!$B$2:$B$378,'00_SKU_Master'!$M$2:$M$378,0)/$M$2,"0")</f>
        <v>#NAME?</v>
      </c>
      <c r="S53" s="147" t="e">
        <f ca="1">_xludf.IFNA(I55/_xlfn.XLOOKUP($M55,'00_SKU_Master'!$B$2:$B$378,'00_SKU_Master'!$M$2:$M$378,0)/$M$2,"0")</f>
        <v>#NAME?</v>
      </c>
      <c r="T53" s="147" t="e">
        <f ca="1">_xludf.IFNA(J55/_xlfn.XLOOKUP($M55,'00_SKU_Master'!$B$2:$B$378,'00_SKU_Master'!$M$2:$M$378,0)/$M$2,"0")</f>
        <v>#NAME?</v>
      </c>
      <c r="U53" s="147" t="e">
        <f t="shared" ca="1" si="3"/>
        <v>#NAME?</v>
      </c>
      <c r="V53" s="4"/>
      <c r="W53" s="4" t="e">
        <f>_xlfn.XLOOKUP(M55,'00_SKU_Master'!$B$2:$B$378,'00_SKU_Master'!D:D)</f>
        <v>#VALUE!</v>
      </c>
      <c r="X53" s="14">
        <f>'05_Daily_Orders'!B54</f>
        <v>2087</v>
      </c>
      <c r="Y53" s="554"/>
      <c r="Z53" s="555"/>
      <c r="AA53" s="554"/>
      <c r="AB53" s="555"/>
      <c r="AC53" s="554">
        <v>0</v>
      </c>
      <c r="AD53" s="555">
        <v>0</v>
      </c>
      <c r="AE53" s="554">
        <v>0</v>
      </c>
      <c r="AF53" s="553">
        <f t="shared" si="4"/>
        <v>0</v>
      </c>
      <c r="AQ53" s="23">
        <v>0</v>
      </c>
      <c r="AR53" s="23">
        <v>0</v>
      </c>
      <c r="AS53" s="23">
        <f t="shared" si="5"/>
        <v>0</v>
      </c>
    </row>
    <row r="54" spans="1:45">
      <c r="A54" s="138">
        <f>_xlfn.XLOOKUP(C56,'00_SKU_Master'!$B$2:$B$378,'00_SKU_Master'!$C$2:$C$378)</f>
        <v>61072</v>
      </c>
      <c r="B54" s="138"/>
      <c r="C54" s="138">
        <f t="shared" si="0"/>
        <v>2090</v>
      </c>
      <c r="D54" s="552" t="e">
        <f ca="1">_xludf.IFNA(_xlfn.XLOOKUP(C56,'00_SKU_Master'!$B$2:$B$378,'00_SKU_Master'!$F$2:$F$378,0)*Y56,"")</f>
        <v>#NAME?</v>
      </c>
      <c r="E54" s="552" t="e">
        <f ca="1">_xludf.IFNA(_xlfn.XLOOKUP(C56,'00_SKU_Master'!$B$2:$B$378,'00_SKU_Master'!$F$2:$F$378,0)*Z56,"")</f>
        <v>#NAME?</v>
      </c>
      <c r="F54" s="552" t="e">
        <f ca="1">_xludf.IFNA(_xlfn.XLOOKUP(C56,'00_SKU_Master'!$B$2:$B$378,'00_SKU_Master'!$F$2:$F$378,0)*AA56,"")</f>
        <v>#NAME?</v>
      </c>
      <c r="G54" s="552" t="e">
        <f ca="1">_xludf.IFNA(_xlfn.XLOOKUP(C56,'00_SKU_Master'!$B$2:$B$378,'00_SKU_Master'!$F$2:$F$378,0)*AB56,"")</f>
        <v>#NAME?</v>
      </c>
      <c r="H54" s="552" t="e">
        <f ca="1">_xludf.IFNA(_xlfn.XLOOKUP(C56,'00_SKU_Master'!$B$2:$B$378,'00_SKU_Master'!$F$2:$F$378,0)*AC56,"")</f>
        <v>#NAME?</v>
      </c>
      <c r="I54" s="552" t="e">
        <f ca="1">_xludf.IFNA(_xlfn.XLOOKUP(C56,'00_SKU_Master'!$B$2:$B$378,'00_SKU_Master'!$F$2:$F$378,0)*AD56,"")</f>
        <v>#NAME?</v>
      </c>
      <c r="J54" s="552" t="e">
        <f ca="1">_xludf.IFNA(_xlfn.XLOOKUP(C56,'00_SKU_Master'!$B$2:$B$378,'00_SKU_Master'!$F$2:$F$378,0)*AE56,"")</f>
        <v>#NAME?</v>
      </c>
      <c r="K54" s="553" t="e">
        <f t="shared" ca="1" si="1"/>
        <v>#NAME?</v>
      </c>
      <c r="L54" s="187" t="e">
        <f>_xlfn.XLOOKUP(C56,'00_SKU_Master'!$B$2:$B$378,'00_SKU_Master'!K:K)</f>
        <v>#VALUE!</v>
      </c>
      <c r="M54" s="14">
        <f t="shared" si="2"/>
        <v>2090</v>
      </c>
      <c r="N54" s="147" t="e">
        <f ca="1">_xludf.IFNA(D56/_xlfn.XLOOKUP($M56,'00_SKU_Master'!$B$2:$B$378,'00_SKU_Master'!$M$2:$M$378,0)/$M$2,"0")</f>
        <v>#NAME?</v>
      </c>
      <c r="O54" s="147" t="e">
        <f ca="1">_xludf.IFNA(E56/_xlfn.XLOOKUP($M56,'00_SKU_Master'!$B$2:$B$378,'00_SKU_Master'!$M$2:$M$378,0)/$M$2,"0")</f>
        <v>#NAME?</v>
      </c>
      <c r="P54" s="147" t="e">
        <f ca="1">_xludf.IFNA(F56/_xlfn.XLOOKUP($M56,'00_SKU_Master'!$B$2:$B$378,'00_SKU_Master'!$M$2:$M$378,0)/$M$2,"0")</f>
        <v>#NAME?</v>
      </c>
      <c r="Q54" s="147" t="e">
        <f ca="1">_xludf.IFNA(G56/_xlfn.XLOOKUP($M56,'00_SKU_Master'!$B$2:$B$378,'00_SKU_Master'!$M$2:$M$378,0)/$M$2,"0")</f>
        <v>#NAME?</v>
      </c>
      <c r="R54" s="147" t="e">
        <f ca="1">_xludf.IFNA(H56/_xlfn.XLOOKUP($M56,'00_SKU_Master'!$B$2:$B$378,'00_SKU_Master'!$M$2:$M$378,0)/$M$2,"0")</f>
        <v>#NAME?</v>
      </c>
      <c r="S54" s="147" t="e">
        <f ca="1">_xludf.IFNA(I56/_xlfn.XLOOKUP($M56,'00_SKU_Master'!$B$2:$B$378,'00_SKU_Master'!$M$2:$M$378,0)/$M$2,"0")</f>
        <v>#NAME?</v>
      </c>
      <c r="T54" s="147" t="e">
        <f ca="1">_xludf.IFNA(J56/_xlfn.XLOOKUP($M56,'00_SKU_Master'!$B$2:$B$378,'00_SKU_Master'!$M$2:$M$378,0)/$M$2,"0")</f>
        <v>#NAME?</v>
      </c>
      <c r="U54" s="147" t="e">
        <f t="shared" ca="1" si="3"/>
        <v>#NAME?</v>
      </c>
      <c r="V54" s="4"/>
      <c r="W54" s="4" t="e">
        <f>_xlfn.XLOOKUP(M56,'00_SKU_Master'!$B$2:$B$378,'00_SKU_Master'!D:D)</f>
        <v>#VALUE!</v>
      </c>
      <c r="X54" s="14">
        <f>'05_Daily_Orders'!B55</f>
        <v>2088</v>
      </c>
      <c r="Y54" s="554"/>
      <c r="Z54" s="555"/>
      <c r="AA54" s="554"/>
      <c r="AB54" s="555"/>
      <c r="AC54" s="554">
        <v>0</v>
      </c>
      <c r="AD54" s="555">
        <v>0</v>
      </c>
      <c r="AE54" s="554">
        <v>0</v>
      </c>
      <c r="AF54" s="553">
        <f t="shared" si="4"/>
        <v>0</v>
      </c>
      <c r="AQ54" s="23">
        <v>0</v>
      </c>
      <c r="AR54" s="23">
        <v>0</v>
      </c>
      <c r="AS54" s="23">
        <f t="shared" si="5"/>
        <v>0</v>
      </c>
    </row>
    <row r="55" spans="1:45">
      <c r="A55" s="138">
        <f>_xlfn.XLOOKUP(C57,'00_SKU_Master'!$B$2:$B$378,'00_SKU_Master'!$C$2:$C$378)</f>
        <v>61072</v>
      </c>
      <c r="B55" s="138"/>
      <c r="C55" s="138">
        <f t="shared" si="0"/>
        <v>2091</v>
      </c>
      <c r="D55" s="552" t="e">
        <f ca="1">_xludf.IFNA(_xlfn.XLOOKUP(C57,'00_SKU_Master'!$B$2:$B$378,'00_SKU_Master'!$F$2:$F$378,0)*Y57,"")</f>
        <v>#NAME?</v>
      </c>
      <c r="E55" s="552" t="e">
        <f ca="1">_xludf.IFNA(_xlfn.XLOOKUP(C57,'00_SKU_Master'!$B$2:$B$378,'00_SKU_Master'!$F$2:$F$378,0)*Z57,"")</f>
        <v>#NAME?</v>
      </c>
      <c r="F55" s="552" t="e">
        <f ca="1">_xludf.IFNA(_xlfn.XLOOKUP(C57,'00_SKU_Master'!$B$2:$B$378,'00_SKU_Master'!$F$2:$F$378,0)*AA57,"")</f>
        <v>#NAME?</v>
      </c>
      <c r="G55" s="552" t="e">
        <f ca="1">_xludf.IFNA(_xlfn.XLOOKUP(C57,'00_SKU_Master'!$B$2:$B$378,'00_SKU_Master'!$F$2:$F$378,0)*AB57,"")</f>
        <v>#NAME?</v>
      </c>
      <c r="H55" s="552" t="e">
        <f ca="1">_xludf.IFNA(_xlfn.XLOOKUP(C57,'00_SKU_Master'!$B$2:$B$378,'00_SKU_Master'!$F$2:$F$378,0)*AC57,"")</f>
        <v>#NAME?</v>
      </c>
      <c r="I55" s="552" t="e">
        <f ca="1">_xludf.IFNA(_xlfn.XLOOKUP(C57,'00_SKU_Master'!$B$2:$B$378,'00_SKU_Master'!$F$2:$F$378,0)*AD57,"")</f>
        <v>#NAME?</v>
      </c>
      <c r="J55" s="552" t="e">
        <f ca="1">_xludf.IFNA(_xlfn.XLOOKUP(C57,'00_SKU_Master'!$B$2:$B$378,'00_SKU_Master'!$F$2:$F$378,0)*AE57,"")</f>
        <v>#NAME?</v>
      </c>
      <c r="K55" s="553" t="e">
        <f t="shared" ca="1" si="1"/>
        <v>#NAME?</v>
      </c>
      <c r="L55" s="187" t="e">
        <f>_xlfn.XLOOKUP(C57,'00_SKU_Master'!$B$2:$B$378,'00_SKU_Master'!K:K)</f>
        <v>#VALUE!</v>
      </c>
      <c r="M55" s="14">
        <f t="shared" si="2"/>
        <v>2091</v>
      </c>
      <c r="N55" s="147" t="e">
        <f ca="1">_xludf.IFNA(D57/_xlfn.XLOOKUP($M57,'00_SKU_Master'!$B$2:$B$378,'00_SKU_Master'!$M$2:$M$378,0)/$M$2,"0")</f>
        <v>#NAME?</v>
      </c>
      <c r="O55" s="147" t="e">
        <f ca="1">_xludf.IFNA(E57/_xlfn.XLOOKUP($M57,'00_SKU_Master'!$B$2:$B$378,'00_SKU_Master'!$M$2:$M$378,0)/$M$2,"0")</f>
        <v>#NAME?</v>
      </c>
      <c r="P55" s="147" t="e">
        <f ca="1">_xludf.IFNA(F57/_xlfn.XLOOKUP($M57,'00_SKU_Master'!$B$2:$B$378,'00_SKU_Master'!$M$2:$M$378,0)/$M$2,"0")</f>
        <v>#NAME?</v>
      </c>
      <c r="Q55" s="147" t="e">
        <f ca="1">_xludf.IFNA(G57/_xlfn.XLOOKUP($M57,'00_SKU_Master'!$B$2:$B$378,'00_SKU_Master'!$M$2:$M$378,0)/$M$2,"0")</f>
        <v>#NAME?</v>
      </c>
      <c r="R55" s="147" t="e">
        <f ca="1">_xludf.IFNA(H57/_xlfn.XLOOKUP($M57,'00_SKU_Master'!$B$2:$B$378,'00_SKU_Master'!$M$2:$M$378,0)/$M$2,"0")</f>
        <v>#NAME?</v>
      </c>
      <c r="S55" s="147" t="e">
        <f ca="1">_xludf.IFNA(I57/_xlfn.XLOOKUP($M57,'00_SKU_Master'!$B$2:$B$378,'00_SKU_Master'!$M$2:$M$378,0)/$M$2,"0")</f>
        <v>#NAME?</v>
      </c>
      <c r="T55" s="147" t="e">
        <f ca="1">_xludf.IFNA(J57/_xlfn.XLOOKUP($M57,'00_SKU_Master'!$B$2:$B$378,'00_SKU_Master'!$M$2:$M$378,0)/$M$2,"0")</f>
        <v>#NAME?</v>
      </c>
      <c r="U55" s="147" t="e">
        <f t="shared" ca="1" si="3"/>
        <v>#NAME?</v>
      </c>
      <c r="V55" s="4"/>
      <c r="W55" s="4" t="e">
        <f>_xlfn.XLOOKUP(M57,'00_SKU_Master'!$B$2:$B$378,'00_SKU_Master'!D:D)</f>
        <v>#VALUE!</v>
      </c>
      <c r="X55" s="14">
        <f>'05_Daily_Orders'!B56</f>
        <v>2089</v>
      </c>
      <c r="Y55" s="554"/>
      <c r="Z55" s="555"/>
      <c r="AA55" s="554"/>
      <c r="AB55" s="555"/>
      <c r="AC55" s="554">
        <v>0</v>
      </c>
      <c r="AD55" s="555">
        <v>0</v>
      </c>
      <c r="AE55" s="554">
        <v>0</v>
      </c>
      <c r="AF55" s="553">
        <f t="shared" si="4"/>
        <v>0</v>
      </c>
      <c r="AQ55" s="23">
        <v>0</v>
      </c>
      <c r="AR55" s="23">
        <v>0</v>
      </c>
      <c r="AS55" s="23">
        <f t="shared" si="5"/>
        <v>0</v>
      </c>
    </row>
    <row r="56" spans="1:45">
      <c r="A56" s="138">
        <f>_xlfn.XLOOKUP(C58,'00_SKU_Master'!$B$2:$B$378,'00_SKU_Master'!$C$2:$C$378)</f>
        <v>61077</v>
      </c>
      <c r="B56" s="138"/>
      <c r="C56" s="138">
        <f t="shared" si="0"/>
        <v>2092</v>
      </c>
      <c r="D56" s="552" t="e">
        <f ca="1">_xludf.IFNA(_xlfn.XLOOKUP(C58,'00_SKU_Master'!$B$2:$B$378,'00_SKU_Master'!$F$2:$F$378,0)*Y58,"")</f>
        <v>#NAME?</v>
      </c>
      <c r="E56" s="552" t="e">
        <f ca="1">_xludf.IFNA(_xlfn.XLOOKUP(C58,'00_SKU_Master'!$B$2:$B$378,'00_SKU_Master'!$F$2:$F$378,0)*Z58,"")</f>
        <v>#NAME?</v>
      </c>
      <c r="F56" s="552" t="e">
        <f ca="1">_xludf.IFNA(_xlfn.XLOOKUP(C58,'00_SKU_Master'!$B$2:$B$378,'00_SKU_Master'!$F$2:$F$378,0)*AA58,"")</f>
        <v>#NAME?</v>
      </c>
      <c r="G56" s="552" t="e">
        <f ca="1">_xludf.IFNA(_xlfn.XLOOKUP(C58,'00_SKU_Master'!$B$2:$B$378,'00_SKU_Master'!$F$2:$F$378,0)*AB58,"")</f>
        <v>#NAME?</v>
      </c>
      <c r="H56" s="552" t="e">
        <f ca="1">_xludf.IFNA(_xlfn.XLOOKUP(C58,'00_SKU_Master'!$B$2:$B$378,'00_SKU_Master'!$F$2:$F$378,0)*AC58,"")</f>
        <v>#NAME?</v>
      </c>
      <c r="I56" s="552" t="e">
        <f ca="1">_xludf.IFNA(_xlfn.XLOOKUP(C58,'00_SKU_Master'!$B$2:$B$378,'00_SKU_Master'!$F$2:$F$378,0)*AD58,"")</f>
        <v>#NAME?</v>
      </c>
      <c r="J56" s="552" t="e">
        <f ca="1">_xludf.IFNA(_xlfn.XLOOKUP(C58,'00_SKU_Master'!$B$2:$B$378,'00_SKU_Master'!$F$2:$F$378,0)*AE58,"")</f>
        <v>#NAME?</v>
      </c>
      <c r="K56" s="553" t="e">
        <f t="shared" ca="1" si="1"/>
        <v>#NAME?</v>
      </c>
      <c r="L56" s="187" t="e">
        <f>_xlfn.XLOOKUP(C58,'00_SKU_Master'!$B$2:$B$378,'00_SKU_Master'!K:K)</f>
        <v>#VALUE!</v>
      </c>
      <c r="M56" s="14">
        <f t="shared" si="2"/>
        <v>2092</v>
      </c>
      <c r="N56" s="147" t="e">
        <f ca="1">_xludf.IFNA(D58/_xlfn.XLOOKUP($M58,'00_SKU_Master'!$B$2:$B$378,'00_SKU_Master'!$M$2:$M$378,0)/$M$2,"0")</f>
        <v>#NAME?</v>
      </c>
      <c r="O56" s="147" t="e">
        <f ca="1">_xludf.IFNA(E58/_xlfn.XLOOKUP($M58,'00_SKU_Master'!$B$2:$B$378,'00_SKU_Master'!$M$2:$M$378,0)/$M$2,"0")</f>
        <v>#NAME?</v>
      </c>
      <c r="P56" s="147" t="e">
        <f ca="1">_xludf.IFNA(F58/_xlfn.XLOOKUP($M58,'00_SKU_Master'!$B$2:$B$378,'00_SKU_Master'!$M$2:$M$378,0)/$M$2,"0")</f>
        <v>#NAME?</v>
      </c>
      <c r="Q56" s="147" t="e">
        <f ca="1">_xludf.IFNA(G58/_xlfn.XLOOKUP($M58,'00_SKU_Master'!$B$2:$B$378,'00_SKU_Master'!$M$2:$M$378,0)/$M$2,"0")</f>
        <v>#NAME?</v>
      </c>
      <c r="R56" s="147" t="e">
        <f ca="1">_xludf.IFNA(H58/_xlfn.XLOOKUP($M58,'00_SKU_Master'!$B$2:$B$378,'00_SKU_Master'!$M$2:$M$378,0)/$M$2,"0")</f>
        <v>#NAME?</v>
      </c>
      <c r="S56" s="147" t="e">
        <f ca="1">_xludf.IFNA(I58/_xlfn.XLOOKUP($M58,'00_SKU_Master'!$B$2:$B$378,'00_SKU_Master'!$M$2:$M$378,0)/$M$2,"0")</f>
        <v>#NAME?</v>
      </c>
      <c r="T56" s="147" t="e">
        <f ca="1">_xludf.IFNA(J58/_xlfn.XLOOKUP($M58,'00_SKU_Master'!$B$2:$B$378,'00_SKU_Master'!$M$2:$M$378,0)/$M$2,"0")</f>
        <v>#NAME?</v>
      </c>
      <c r="U56" s="147" t="e">
        <f t="shared" ca="1" si="3"/>
        <v>#NAME?</v>
      </c>
      <c r="V56" s="4"/>
      <c r="W56" s="4" t="e">
        <f>_xlfn.XLOOKUP(M58,'00_SKU_Master'!$B$2:$B$378,'00_SKU_Master'!D:D)</f>
        <v>#VALUE!</v>
      </c>
      <c r="X56" s="14">
        <f>'05_Daily_Orders'!B57</f>
        <v>2090</v>
      </c>
      <c r="Y56" s="554"/>
      <c r="Z56" s="555"/>
      <c r="AA56" s="554"/>
      <c r="AB56" s="555"/>
      <c r="AC56" s="554">
        <v>0</v>
      </c>
      <c r="AD56" s="555">
        <v>0</v>
      </c>
      <c r="AE56" s="554">
        <v>0</v>
      </c>
      <c r="AF56" s="553">
        <f t="shared" si="4"/>
        <v>0</v>
      </c>
      <c r="AQ56" s="23">
        <v>0</v>
      </c>
      <c r="AR56" s="23">
        <v>0</v>
      </c>
      <c r="AS56" s="23">
        <f t="shared" si="5"/>
        <v>0</v>
      </c>
    </row>
    <row r="57" spans="1:45">
      <c r="A57" s="138">
        <f>_xlfn.XLOOKUP(C59,'00_SKU_Master'!$B$2:$B$378,'00_SKU_Master'!$C$2:$C$378)</f>
        <v>61077</v>
      </c>
      <c r="B57" s="138"/>
      <c r="C57" s="138">
        <f t="shared" si="0"/>
        <v>2093</v>
      </c>
      <c r="D57" s="552" t="e">
        <f ca="1">_xludf.IFNA(_xlfn.XLOOKUP(C59,'00_SKU_Master'!$B$2:$B$378,'00_SKU_Master'!$F$2:$F$378,0)*Y59,"")</f>
        <v>#NAME?</v>
      </c>
      <c r="E57" s="552" t="e">
        <f ca="1">_xludf.IFNA(_xlfn.XLOOKUP(C59,'00_SKU_Master'!$B$2:$B$378,'00_SKU_Master'!$F$2:$F$378,0)*Z59,"")</f>
        <v>#NAME?</v>
      </c>
      <c r="F57" s="552" t="e">
        <f ca="1">_xludf.IFNA(_xlfn.XLOOKUP(C59,'00_SKU_Master'!$B$2:$B$378,'00_SKU_Master'!$F$2:$F$378,0)*AA59,"")</f>
        <v>#NAME?</v>
      </c>
      <c r="G57" s="552" t="e">
        <f ca="1">_xludf.IFNA(_xlfn.XLOOKUP(C59,'00_SKU_Master'!$B$2:$B$378,'00_SKU_Master'!$F$2:$F$378,0)*AB59,"")</f>
        <v>#NAME?</v>
      </c>
      <c r="H57" s="552" t="e">
        <f ca="1">_xludf.IFNA(_xlfn.XLOOKUP(C59,'00_SKU_Master'!$B$2:$B$378,'00_SKU_Master'!$F$2:$F$378,0)*AC59,"")</f>
        <v>#NAME?</v>
      </c>
      <c r="I57" s="552" t="e">
        <f ca="1">_xludf.IFNA(_xlfn.XLOOKUP(C59,'00_SKU_Master'!$B$2:$B$378,'00_SKU_Master'!$F$2:$F$378,0)*AD59,"")</f>
        <v>#NAME?</v>
      </c>
      <c r="J57" s="552" t="e">
        <f ca="1">_xludf.IFNA(_xlfn.XLOOKUP(C59,'00_SKU_Master'!$B$2:$B$378,'00_SKU_Master'!$F$2:$F$378,0)*AE59,"")</f>
        <v>#NAME?</v>
      </c>
      <c r="K57" s="553" t="e">
        <f t="shared" ca="1" si="1"/>
        <v>#NAME?</v>
      </c>
      <c r="L57" s="187" t="e">
        <f>_xlfn.XLOOKUP(C59,'00_SKU_Master'!$B$2:$B$378,'00_SKU_Master'!K:K)</f>
        <v>#VALUE!</v>
      </c>
      <c r="M57" s="14">
        <f t="shared" si="2"/>
        <v>2093</v>
      </c>
      <c r="N57" s="147" t="e">
        <f ca="1">_xludf.IFNA(D59/_xlfn.XLOOKUP($M59,'00_SKU_Master'!$B$2:$B$378,'00_SKU_Master'!$M$2:$M$378,0)/$M$2,"0")</f>
        <v>#NAME?</v>
      </c>
      <c r="O57" s="147" t="e">
        <f ca="1">_xludf.IFNA(E59/_xlfn.XLOOKUP($M59,'00_SKU_Master'!$B$2:$B$378,'00_SKU_Master'!$M$2:$M$378,0)/$M$2,"0")</f>
        <v>#NAME?</v>
      </c>
      <c r="P57" s="147" t="e">
        <f ca="1">_xludf.IFNA(F59/_xlfn.XLOOKUP($M59,'00_SKU_Master'!$B$2:$B$378,'00_SKU_Master'!$M$2:$M$378,0)/$M$2,"0")</f>
        <v>#NAME?</v>
      </c>
      <c r="Q57" s="147" t="e">
        <f ca="1">_xludf.IFNA(G59/_xlfn.XLOOKUP($M59,'00_SKU_Master'!$B$2:$B$378,'00_SKU_Master'!$M$2:$M$378,0)/$M$2,"0")</f>
        <v>#NAME?</v>
      </c>
      <c r="R57" s="147" t="e">
        <f ca="1">_xludf.IFNA(H59/_xlfn.XLOOKUP($M59,'00_SKU_Master'!$B$2:$B$378,'00_SKU_Master'!$M$2:$M$378,0)/$M$2,"0")</f>
        <v>#NAME?</v>
      </c>
      <c r="S57" s="147" t="e">
        <f ca="1">_xludf.IFNA(I59/_xlfn.XLOOKUP($M59,'00_SKU_Master'!$B$2:$B$378,'00_SKU_Master'!$M$2:$M$378,0)/$M$2,"0")</f>
        <v>#NAME?</v>
      </c>
      <c r="T57" s="147" t="e">
        <f ca="1">_xludf.IFNA(J59/_xlfn.XLOOKUP($M59,'00_SKU_Master'!$B$2:$B$378,'00_SKU_Master'!$M$2:$M$378,0)/$M$2,"0")</f>
        <v>#NAME?</v>
      </c>
      <c r="U57" s="147" t="e">
        <f t="shared" ca="1" si="3"/>
        <v>#NAME?</v>
      </c>
      <c r="V57" s="4"/>
      <c r="W57" s="4" t="e">
        <f>_xlfn.XLOOKUP(M59,'00_SKU_Master'!$B$2:$B$378,'00_SKU_Master'!D:D)</f>
        <v>#VALUE!</v>
      </c>
      <c r="X57" s="14">
        <f>'05_Daily_Orders'!B58</f>
        <v>2091</v>
      </c>
      <c r="Y57" s="554"/>
      <c r="Z57" s="555"/>
      <c r="AA57" s="554"/>
      <c r="AB57" s="555"/>
      <c r="AC57" s="554">
        <v>0</v>
      </c>
      <c r="AD57" s="555">
        <v>0</v>
      </c>
      <c r="AE57" s="554">
        <v>0</v>
      </c>
      <c r="AF57" s="553">
        <f t="shared" si="4"/>
        <v>0</v>
      </c>
      <c r="AQ57" s="23">
        <v>0</v>
      </c>
      <c r="AR57" s="23">
        <v>0</v>
      </c>
      <c r="AS57" s="23">
        <f t="shared" si="5"/>
        <v>0</v>
      </c>
    </row>
    <row r="58" spans="1:45">
      <c r="A58" s="138">
        <f>_xlfn.XLOOKUP(C60,'00_SKU_Master'!$B$2:$B$378,'00_SKU_Master'!$C$2:$C$378)</f>
        <v>61086</v>
      </c>
      <c r="B58" s="138"/>
      <c r="C58" s="138">
        <f t="shared" si="0"/>
        <v>2094</v>
      </c>
      <c r="D58" s="552" t="e">
        <f ca="1">_xludf.IFNA(_xlfn.XLOOKUP(C60,'00_SKU_Master'!$B$2:$B$378,'00_SKU_Master'!$F$2:$F$378,0)*Y60,"")</f>
        <v>#NAME?</v>
      </c>
      <c r="E58" s="552" t="e">
        <f ca="1">_xludf.IFNA(_xlfn.XLOOKUP(C60,'00_SKU_Master'!$B$2:$B$378,'00_SKU_Master'!$F$2:$F$378,0)*Z60,"")</f>
        <v>#NAME?</v>
      </c>
      <c r="F58" s="552" t="e">
        <f ca="1">_xludf.IFNA(_xlfn.XLOOKUP(C60,'00_SKU_Master'!$B$2:$B$378,'00_SKU_Master'!$F$2:$F$378,0)*AA60,"")</f>
        <v>#NAME?</v>
      </c>
      <c r="G58" s="552" t="e">
        <f ca="1">_xludf.IFNA(_xlfn.XLOOKUP(C60,'00_SKU_Master'!$B$2:$B$378,'00_SKU_Master'!$F$2:$F$378,0)*AB60,"")</f>
        <v>#NAME?</v>
      </c>
      <c r="H58" s="552" t="e">
        <f ca="1">_xludf.IFNA(_xlfn.XLOOKUP(C60,'00_SKU_Master'!$B$2:$B$378,'00_SKU_Master'!$F$2:$F$378,0)*AC60,"")</f>
        <v>#NAME?</v>
      </c>
      <c r="I58" s="552" t="e">
        <f ca="1">_xludf.IFNA(_xlfn.XLOOKUP(C60,'00_SKU_Master'!$B$2:$B$378,'00_SKU_Master'!$F$2:$F$378,0)*AD60,"")</f>
        <v>#NAME?</v>
      </c>
      <c r="J58" s="552" t="e">
        <f ca="1">_xludf.IFNA(_xlfn.XLOOKUP(C60,'00_SKU_Master'!$B$2:$B$378,'00_SKU_Master'!$F$2:$F$378,0)*AE60,"")</f>
        <v>#NAME?</v>
      </c>
      <c r="K58" s="553" t="e">
        <f t="shared" ca="1" si="1"/>
        <v>#NAME?</v>
      </c>
      <c r="L58" s="187" t="e">
        <f>_xlfn.XLOOKUP(C60,'00_SKU_Master'!$B$2:$B$378,'00_SKU_Master'!K:K)</f>
        <v>#VALUE!</v>
      </c>
      <c r="M58" s="14">
        <f t="shared" si="2"/>
        <v>2094</v>
      </c>
      <c r="N58" s="147" t="e">
        <f ca="1">_xludf.IFNA(D60/_xlfn.XLOOKUP($M60,'00_SKU_Master'!$B$2:$B$378,'00_SKU_Master'!$M$2:$M$378,0)/$M$2,"0")</f>
        <v>#NAME?</v>
      </c>
      <c r="O58" s="147" t="e">
        <f ca="1">_xludf.IFNA(E60/_xlfn.XLOOKUP($M60,'00_SKU_Master'!$B$2:$B$378,'00_SKU_Master'!$M$2:$M$378,0)/$M$2,"0")</f>
        <v>#NAME?</v>
      </c>
      <c r="P58" s="147" t="e">
        <f ca="1">_xludf.IFNA(F60/_xlfn.XLOOKUP($M60,'00_SKU_Master'!$B$2:$B$378,'00_SKU_Master'!$M$2:$M$378,0)/$M$2,"0")</f>
        <v>#NAME?</v>
      </c>
      <c r="Q58" s="147" t="e">
        <f ca="1">_xludf.IFNA(G60/_xlfn.XLOOKUP($M60,'00_SKU_Master'!$B$2:$B$378,'00_SKU_Master'!$M$2:$M$378,0)/$M$2,"0")</f>
        <v>#NAME?</v>
      </c>
      <c r="R58" s="147" t="e">
        <f ca="1">_xludf.IFNA(H60/_xlfn.XLOOKUP($M60,'00_SKU_Master'!$B$2:$B$378,'00_SKU_Master'!$M$2:$M$378,0)/$M$2,"0")</f>
        <v>#NAME?</v>
      </c>
      <c r="S58" s="147" t="e">
        <f ca="1">_xludf.IFNA(I60/_xlfn.XLOOKUP($M60,'00_SKU_Master'!$B$2:$B$378,'00_SKU_Master'!$M$2:$M$378,0)/$M$2,"0")</f>
        <v>#NAME?</v>
      </c>
      <c r="T58" s="147" t="e">
        <f ca="1">_xludf.IFNA(J60/_xlfn.XLOOKUP($M60,'00_SKU_Master'!$B$2:$B$378,'00_SKU_Master'!$M$2:$M$378,0)/$M$2,"0")</f>
        <v>#NAME?</v>
      </c>
      <c r="U58" s="147" t="e">
        <f t="shared" ca="1" si="3"/>
        <v>#NAME?</v>
      </c>
      <c r="V58" s="4"/>
      <c r="W58" s="4" t="e">
        <f>_xlfn.XLOOKUP(M60,'00_SKU_Master'!$B$2:$B$378,'00_SKU_Master'!D:D)</f>
        <v>#VALUE!</v>
      </c>
      <c r="X58" s="14">
        <f>'05_Daily_Orders'!B59</f>
        <v>2092</v>
      </c>
      <c r="Y58" s="554"/>
      <c r="Z58" s="555"/>
      <c r="AA58" s="554"/>
      <c r="AB58" s="555"/>
      <c r="AC58" s="554">
        <v>0</v>
      </c>
      <c r="AD58" s="555">
        <v>0</v>
      </c>
      <c r="AE58" s="554">
        <v>0</v>
      </c>
      <c r="AF58" s="553">
        <f t="shared" si="4"/>
        <v>0</v>
      </c>
      <c r="AQ58" s="23">
        <v>0</v>
      </c>
      <c r="AR58" s="23">
        <v>0</v>
      </c>
      <c r="AS58" s="23">
        <f t="shared" si="5"/>
        <v>0</v>
      </c>
    </row>
    <row r="59" spans="1:45">
      <c r="A59" s="138">
        <f>_xlfn.XLOOKUP(C61,'00_SKU_Master'!$B$2:$B$378,'00_SKU_Master'!$C$2:$C$378)</f>
        <v>61086</v>
      </c>
      <c r="B59" s="138"/>
      <c r="C59" s="138">
        <f t="shared" si="0"/>
        <v>2095</v>
      </c>
      <c r="D59" s="552" t="e">
        <f ca="1">_xludf.IFNA(_xlfn.XLOOKUP(C61,'00_SKU_Master'!$B$2:$B$378,'00_SKU_Master'!$F$2:$F$378,0)*Y61,"")</f>
        <v>#NAME?</v>
      </c>
      <c r="E59" s="552" t="e">
        <f ca="1">_xludf.IFNA(_xlfn.XLOOKUP(C61,'00_SKU_Master'!$B$2:$B$378,'00_SKU_Master'!$F$2:$F$378,0)*Z61,"")</f>
        <v>#NAME?</v>
      </c>
      <c r="F59" s="552" t="e">
        <f ca="1">_xludf.IFNA(_xlfn.XLOOKUP(C61,'00_SKU_Master'!$B$2:$B$378,'00_SKU_Master'!$F$2:$F$378,0)*AA61,"")</f>
        <v>#NAME?</v>
      </c>
      <c r="G59" s="552" t="e">
        <f ca="1">_xludf.IFNA(_xlfn.XLOOKUP(C61,'00_SKU_Master'!$B$2:$B$378,'00_SKU_Master'!$F$2:$F$378,0)*AB61,"")</f>
        <v>#NAME?</v>
      </c>
      <c r="H59" s="552" t="e">
        <f ca="1">_xludf.IFNA(_xlfn.XLOOKUP(C61,'00_SKU_Master'!$B$2:$B$378,'00_SKU_Master'!$F$2:$F$378,0)*AC61,"")</f>
        <v>#NAME?</v>
      </c>
      <c r="I59" s="552" t="e">
        <f ca="1">_xludf.IFNA(_xlfn.XLOOKUP(C61,'00_SKU_Master'!$B$2:$B$378,'00_SKU_Master'!$F$2:$F$378,0)*AD61,"")</f>
        <v>#NAME?</v>
      </c>
      <c r="J59" s="552" t="e">
        <f ca="1">_xludf.IFNA(_xlfn.XLOOKUP(C61,'00_SKU_Master'!$B$2:$B$378,'00_SKU_Master'!$F$2:$F$378,0)*AE61,"")</f>
        <v>#NAME?</v>
      </c>
      <c r="K59" s="553" t="e">
        <f t="shared" ca="1" si="1"/>
        <v>#NAME?</v>
      </c>
      <c r="L59" s="187" t="e">
        <f>_xlfn.XLOOKUP(C61,'00_SKU_Master'!$B$2:$B$378,'00_SKU_Master'!K:K)</f>
        <v>#VALUE!</v>
      </c>
      <c r="M59" s="14">
        <f t="shared" si="2"/>
        <v>2095</v>
      </c>
      <c r="N59" s="147" t="e">
        <f ca="1">_xludf.IFNA(D61/_xlfn.XLOOKUP($M61,'00_SKU_Master'!$B$2:$B$378,'00_SKU_Master'!$M$2:$M$378,0)/$M$2,"0")</f>
        <v>#NAME?</v>
      </c>
      <c r="O59" s="147" t="e">
        <f ca="1">_xludf.IFNA(E61/_xlfn.XLOOKUP($M61,'00_SKU_Master'!$B$2:$B$378,'00_SKU_Master'!$M$2:$M$378,0)/$M$2,"0")</f>
        <v>#NAME?</v>
      </c>
      <c r="P59" s="147" t="e">
        <f ca="1">_xludf.IFNA(F61/_xlfn.XLOOKUP($M61,'00_SKU_Master'!$B$2:$B$378,'00_SKU_Master'!$M$2:$M$378,0)/$M$2,"0")</f>
        <v>#NAME?</v>
      </c>
      <c r="Q59" s="147" t="e">
        <f ca="1">_xludf.IFNA(G61/_xlfn.XLOOKUP($M61,'00_SKU_Master'!$B$2:$B$378,'00_SKU_Master'!$M$2:$M$378,0)/$M$2,"0")</f>
        <v>#NAME?</v>
      </c>
      <c r="R59" s="147" t="e">
        <f ca="1">_xludf.IFNA(H61/_xlfn.XLOOKUP($M61,'00_SKU_Master'!$B$2:$B$378,'00_SKU_Master'!$M$2:$M$378,0)/$M$2,"0")</f>
        <v>#NAME?</v>
      </c>
      <c r="S59" s="147" t="e">
        <f ca="1">_xludf.IFNA(I61/_xlfn.XLOOKUP($M61,'00_SKU_Master'!$B$2:$B$378,'00_SKU_Master'!$M$2:$M$378,0)/$M$2,"0")</f>
        <v>#NAME?</v>
      </c>
      <c r="T59" s="147" t="e">
        <f ca="1">_xludf.IFNA(J61/_xlfn.XLOOKUP($M61,'00_SKU_Master'!$B$2:$B$378,'00_SKU_Master'!$M$2:$M$378,0)/$M$2,"0")</f>
        <v>#NAME?</v>
      </c>
      <c r="U59" s="147" t="e">
        <f t="shared" ca="1" si="3"/>
        <v>#NAME?</v>
      </c>
      <c r="V59" s="4"/>
      <c r="W59" s="4" t="e">
        <f>_xlfn.XLOOKUP(M61,'00_SKU_Master'!$B$2:$B$378,'00_SKU_Master'!D:D)</f>
        <v>#VALUE!</v>
      </c>
      <c r="X59" s="14">
        <f>'05_Daily_Orders'!B60</f>
        <v>2093</v>
      </c>
      <c r="Y59" s="554"/>
      <c r="Z59" s="555"/>
      <c r="AA59" s="554"/>
      <c r="AB59" s="555"/>
      <c r="AC59" s="554">
        <v>0</v>
      </c>
      <c r="AD59" s="555">
        <v>0</v>
      </c>
      <c r="AE59" s="554">
        <v>0</v>
      </c>
      <c r="AF59" s="553">
        <f t="shared" si="4"/>
        <v>0</v>
      </c>
      <c r="AQ59" s="23">
        <v>0</v>
      </c>
      <c r="AR59" s="23">
        <v>0</v>
      </c>
      <c r="AS59" s="23">
        <f t="shared" si="5"/>
        <v>0</v>
      </c>
    </row>
    <row r="60" spans="1:45">
      <c r="A60" s="138">
        <f>_xlfn.XLOOKUP(C62,'00_SKU_Master'!$B$2:$B$378,'00_SKU_Master'!$C$2:$C$378)</f>
        <v>61014</v>
      </c>
      <c r="B60" s="138"/>
      <c r="C60" s="138">
        <f t="shared" si="0"/>
        <v>2096</v>
      </c>
      <c r="D60" s="552" t="e">
        <f ca="1">_xludf.IFNA(_xlfn.XLOOKUP(C62,'00_SKU_Master'!$B$2:$B$378,'00_SKU_Master'!$F$2:$F$378,0)*Y62,"")</f>
        <v>#NAME?</v>
      </c>
      <c r="E60" s="552" t="e">
        <f ca="1">_xludf.IFNA(_xlfn.XLOOKUP(C62,'00_SKU_Master'!$B$2:$B$378,'00_SKU_Master'!$F$2:$F$378,0)*Z62,"")</f>
        <v>#NAME?</v>
      </c>
      <c r="F60" s="552" t="e">
        <f ca="1">_xludf.IFNA(_xlfn.XLOOKUP(C62,'00_SKU_Master'!$B$2:$B$378,'00_SKU_Master'!$F$2:$F$378,0)*AA62,"")</f>
        <v>#NAME?</v>
      </c>
      <c r="G60" s="552" t="e">
        <f ca="1">_xludf.IFNA(_xlfn.XLOOKUP(C62,'00_SKU_Master'!$B$2:$B$378,'00_SKU_Master'!$F$2:$F$378,0)*AB62,"")</f>
        <v>#NAME?</v>
      </c>
      <c r="H60" s="552" t="e">
        <f ca="1">_xludf.IFNA(_xlfn.XLOOKUP(C62,'00_SKU_Master'!$B$2:$B$378,'00_SKU_Master'!$F$2:$F$378,0)*AC62,"")</f>
        <v>#NAME?</v>
      </c>
      <c r="I60" s="552" t="e">
        <f ca="1">_xludf.IFNA(_xlfn.XLOOKUP(C62,'00_SKU_Master'!$B$2:$B$378,'00_SKU_Master'!$F$2:$F$378,0)*AD62,"")</f>
        <v>#NAME?</v>
      </c>
      <c r="J60" s="552" t="e">
        <f ca="1">_xludf.IFNA(_xlfn.XLOOKUP(C62,'00_SKU_Master'!$B$2:$B$378,'00_SKU_Master'!$F$2:$F$378,0)*AE62,"")</f>
        <v>#NAME?</v>
      </c>
      <c r="K60" s="553" t="e">
        <f t="shared" ca="1" si="1"/>
        <v>#NAME?</v>
      </c>
      <c r="L60" s="187" t="e">
        <f>_xlfn.XLOOKUP(C62,'00_SKU_Master'!$B$2:$B$378,'00_SKU_Master'!K:K)</f>
        <v>#VALUE!</v>
      </c>
      <c r="M60" s="14">
        <f t="shared" si="2"/>
        <v>2096</v>
      </c>
      <c r="N60" s="147" t="e">
        <f ca="1">_xludf.IFNA(D62/_xlfn.XLOOKUP($M62,'00_SKU_Master'!$B$2:$B$378,'00_SKU_Master'!$M$2:$M$378,0)/$M$2,"0")</f>
        <v>#NAME?</v>
      </c>
      <c r="O60" s="147" t="e">
        <f ca="1">_xludf.IFNA(E62/_xlfn.XLOOKUP($M62,'00_SKU_Master'!$B$2:$B$378,'00_SKU_Master'!$M$2:$M$378,0)/$M$2,"0")</f>
        <v>#NAME?</v>
      </c>
      <c r="P60" s="147" t="e">
        <f ca="1">_xludf.IFNA(F62/_xlfn.XLOOKUP($M62,'00_SKU_Master'!$B$2:$B$378,'00_SKU_Master'!$M$2:$M$378,0)/$M$2,"0")</f>
        <v>#NAME?</v>
      </c>
      <c r="Q60" s="147" t="e">
        <f ca="1">_xludf.IFNA(G62/_xlfn.XLOOKUP($M62,'00_SKU_Master'!$B$2:$B$378,'00_SKU_Master'!$M$2:$M$378,0)/$M$2,"0")</f>
        <v>#NAME?</v>
      </c>
      <c r="R60" s="147" t="e">
        <f ca="1">_xludf.IFNA(H62/_xlfn.XLOOKUP($M62,'00_SKU_Master'!$B$2:$B$378,'00_SKU_Master'!$M$2:$M$378,0)/$M$2,"0")</f>
        <v>#NAME?</v>
      </c>
      <c r="S60" s="147" t="e">
        <f ca="1">_xludf.IFNA(I62/_xlfn.XLOOKUP($M62,'00_SKU_Master'!$B$2:$B$378,'00_SKU_Master'!$M$2:$M$378,0)/$M$2,"0")</f>
        <v>#NAME?</v>
      </c>
      <c r="T60" s="147" t="e">
        <f ca="1">_xludf.IFNA(J62/_xlfn.XLOOKUP($M62,'00_SKU_Master'!$B$2:$B$378,'00_SKU_Master'!$M$2:$M$378,0)/$M$2,"0")</f>
        <v>#NAME?</v>
      </c>
      <c r="U60" s="147" t="e">
        <f t="shared" ca="1" si="3"/>
        <v>#NAME?</v>
      </c>
      <c r="V60" s="4"/>
      <c r="W60" s="4" t="e">
        <f>_xlfn.XLOOKUP(M62,'00_SKU_Master'!$B$2:$B$378,'00_SKU_Master'!D:D)</f>
        <v>#VALUE!</v>
      </c>
      <c r="X60" s="14">
        <f>'05_Daily_Orders'!B61</f>
        <v>2094</v>
      </c>
      <c r="Y60" s="554"/>
      <c r="Z60" s="555"/>
      <c r="AA60" s="554"/>
      <c r="AB60" s="555"/>
      <c r="AC60" s="554">
        <v>0</v>
      </c>
      <c r="AD60" s="555">
        <v>0</v>
      </c>
      <c r="AE60" s="554">
        <v>0</v>
      </c>
      <c r="AF60" s="553">
        <f t="shared" si="4"/>
        <v>0</v>
      </c>
      <c r="AQ60" s="23">
        <v>0</v>
      </c>
      <c r="AR60" s="23">
        <v>0</v>
      </c>
      <c r="AS60" s="23">
        <f t="shared" si="5"/>
        <v>0</v>
      </c>
    </row>
    <row r="61" spans="1:45">
      <c r="A61" s="138">
        <f>_xlfn.XLOOKUP(C63,'00_SKU_Master'!$B$2:$B$378,'00_SKU_Master'!$C$2:$C$378)</f>
        <v>61014</v>
      </c>
      <c r="B61" s="138"/>
      <c r="C61" s="138">
        <f t="shared" si="0"/>
        <v>2097</v>
      </c>
      <c r="D61" s="552" t="e">
        <f ca="1">_xludf.IFNA(_xlfn.XLOOKUP(C63,'00_SKU_Master'!$B$2:$B$378,'00_SKU_Master'!$F$2:$F$378,0)*Y63,"")</f>
        <v>#NAME?</v>
      </c>
      <c r="E61" s="552" t="e">
        <f ca="1">_xludf.IFNA(_xlfn.XLOOKUP(C63,'00_SKU_Master'!$B$2:$B$378,'00_SKU_Master'!$F$2:$F$378,0)*Z63,"")</f>
        <v>#NAME?</v>
      </c>
      <c r="F61" s="552" t="e">
        <f ca="1">_xludf.IFNA(_xlfn.XLOOKUP(C63,'00_SKU_Master'!$B$2:$B$378,'00_SKU_Master'!$F$2:$F$378,0)*AA63,"")</f>
        <v>#NAME?</v>
      </c>
      <c r="G61" s="552" t="e">
        <f ca="1">_xludf.IFNA(_xlfn.XLOOKUP(C63,'00_SKU_Master'!$B$2:$B$378,'00_SKU_Master'!$F$2:$F$378,0)*AB63,"")</f>
        <v>#NAME?</v>
      </c>
      <c r="H61" s="552" t="e">
        <f ca="1">_xludf.IFNA(_xlfn.XLOOKUP(C63,'00_SKU_Master'!$B$2:$B$378,'00_SKU_Master'!$F$2:$F$378,0)*AC63,"")</f>
        <v>#NAME?</v>
      </c>
      <c r="I61" s="552" t="e">
        <f ca="1">_xludf.IFNA(_xlfn.XLOOKUP(C63,'00_SKU_Master'!$B$2:$B$378,'00_SKU_Master'!$F$2:$F$378,0)*AD63,"")</f>
        <v>#NAME?</v>
      </c>
      <c r="J61" s="552" t="e">
        <f ca="1">_xludf.IFNA(_xlfn.XLOOKUP(C63,'00_SKU_Master'!$B$2:$B$378,'00_SKU_Master'!$F$2:$F$378,0)*AE63,"")</f>
        <v>#NAME?</v>
      </c>
      <c r="K61" s="553" t="e">
        <f t="shared" ca="1" si="1"/>
        <v>#NAME?</v>
      </c>
      <c r="L61" s="187" t="e">
        <f>_xlfn.XLOOKUP(C63,'00_SKU_Master'!$B$2:$B$378,'00_SKU_Master'!K:K)</f>
        <v>#VALUE!</v>
      </c>
      <c r="M61" s="14">
        <f t="shared" si="2"/>
        <v>2097</v>
      </c>
      <c r="N61" s="147" t="e">
        <f ca="1">_xludf.IFNA(D63/_xlfn.XLOOKUP($M63,'00_SKU_Master'!$B$2:$B$378,'00_SKU_Master'!$M$2:$M$378,0)/$M$2,"0")</f>
        <v>#NAME?</v>
      </c>
      <c r="O61" s="147" t="e">
        <f ca="1">_xludf.IFNA(E63/_xlfn.XLOOKUP($M63,'00_SKU_Master'!$B$2:$B$378,'00_SKU_Master'!$M$2:$M$378,0)/$M$2,"0")</f>
        <v>#NAME?</v>
      </c>
      <c r="P61" s="147" t="e">
        <f ca="1">_xludf.IFNA(F63/_xlfn.XLOOKUP($M63,'00_SKU_Master'!$B$2:$B$378,'00_SKU_Master'!$M$2:$M$378,0)/$M$2,"0")</f>
        <v>#NAME?</v>
      </c>
      <c r="Q61" s="147" t="e">
        <f ca="1">_xludf.IFNA(G63/_xlfn.XLOOKUP($M63,'00_SKU_Master'!$B$2:$B$378,'00_SKU_Master'!$M$2:$M$378,0)/$M$2,"0")</f>
        <v>#NAME?</v>
      </c>
      <c r="R61" s="147" t="e">
        <f ca="1">_xludf.IFNA(H63/_xlfn.XLOOKUP($M63,'00_SKU_Master'!$B$2:$B$378,'00_SKU_Master'!$M$2:$M$378,0)/$M$2,"0")</f>
        <v>#NAME?</v>
      </c>
      <c r="S61" s="147" t="e">
        <f ca="1">_xludf.IFNA(I63/_xlfn.XLOOKUP($M63,'00_SKU_Master'!$B$2:$B$378,'00_SKU_Master'!$M$2:$M$378,0)/$M$2,"0")</f>
        <v>#NAME?</v>
      </c>
      <c r="T61" s="147" t="e">
        <f ca="1">_xludf.IFNA(J63/_xlfn.XLOOKUP($M63,'00_SKU_Master'!$B$2:$B$378,'00_SKU_Master'!$M$2:$M$378,0)/$M$2,"0")</f>
        <v>#NAME?</v>
      </c>
      <c r="U61" s="147" t="e">
        <f t="shared" ca="1" si="3"/>
        <v>#NAME?</v>
      </c>
      <c r="V61" s="4"/>
      <c r="W61" s="4" t="e">
        <f>_xlfn.XLOOKUP(M63,'00_SKU_Master'!$B$2:$B$378,'00_SKU_Master'!D:D)</f>
        <v>#VALUE!</v>
      </c>
      <c r="X61" s="14">
        <f>'05_Daily_Orders'!B62</f>
        <v>2095</v>
      </c>
      <c r="Y61" s="554"/>
      <c r="Z61" s="555"/>
      <c r="AA61" s="554"/>
      <c r="AB61" s="555"/>
      <c r="AC61" s="554">
        <v>0</v>
      </c>
      <c r="AD61" s="555">
        <v>0</v>
      </c>
      <c r="AE61" s="554">
        <v>0</v>
      </c>
      <c r="AF61" s="553">
        <f t="shared" si="4"/>
        <v>0</v>
      </c>
      <c r="AQ61" s="23">
        <v>0</v>
      </c>
      <c r="AR61" s="23">
        <v>0</v>
      </c>
      <c r="AS61" s="23">
        <f t="shared" si="5"/>
        <v>0</v>
      </c>
    </row>
    <row r="62" spans="1:45">
      <c r="A62" s="138" t="str">
        <f>_xlfn.XLOOKUP(C64,'00_SKU_Master'!$B$2:$B$378,'00_SKU_Master'!$C$2:$C$378)</f>
        <v>61077F</v>
      </c>
      <c r="B62" s="138"/>
      <c r="C62" s="138">
        <f t="shared" si="0"/>
        <v>2098</v>
      </c>
      <c r="D62" s="552" t="e">
        <f ca="1">_xludf.IFNA(_xlfn.XLOOKUP(C64,'00_SKU_Master'!$B$2:$B$378,'00_SKU_Master'!$F$2:$F$378,0)*Y64,"")</f>
        <v>#NAME?</v>
      </c>
      <c r="E62" s="552" t="e">
        <f ca="1">_xludf.IFNA(_xlfn.XLOOKUP(C64,'00_SKU_Master'!$B$2:$B$378,'00_SKU_Master'!$F$2:$F$378,0)*Z64,"")</f>
        <v>#NAME?</v>
      </c>
      <c r="F62" s="552" t="e">
        <f ca="1">_xludf.IFNA(_xlfn.XLOOKUP(C64,'00_SKU_Master'!$B$2:$B$378,'00_SKU_Master'!$F$2:$F$378,0)*AA64,"")</f>
        <v>#NAME?</v>
      </c>
      <c r="G62" s="552" t="e">
        <f ca="1">_xludf.IFNA(_xlfn.XLOOKUP(C64,'00_SKU_Master'!$B$2:$B$378,'00_SKU_Master'!$F$2:$F$378,0)*AB64,"")</f>
        <v>#NAME?</v>
      </c>
      <c r="H62" s="552" t="e">
        <f ca="1">_xludf.IFNA(_xlfn.XLOOKUP(C64,'00_SKU_Master'!$B$2:$B$378,'00_SKU_Master'!$F$2:$F$378,0)*AC64,"")</f>
        <v>#NAME?</v>
      </c>
      <c r="I62" s="552" t="e">
        <f ca="1">_xludf.IFNA(_xlfn.XLOOKUP(C64,'00_SKU_Master'!$B$2:$B$378,'00_SKU_Master'!$F$2:$F$378,0)*AD64,"")</f>
        <v>#NAME?</v>
      </c>
      <c r="J62" s="552" t="e">
        <f ca="1">_xludf.IFNA(_xlfn.XLOOKUP(C64,'00_SKU_Master'!$B$2:$B$378,'00_SKU_Master'!$F$2:$F$378,0)*AE64,"")</f>
        <v>#NAME?</v>
      </c>
      <c r="K62" s="553" t="e">
        <f t="shared" ca="1" si="1"/>
        <v>#NAME?</v>
      </c>
      <c r="L62" s="187" t="e">
        <f>_xlfn.XLOOKUP(C64,'00_SKU_Master'!$B$2:$B$378,'00_SKU_Master'!K:K)</f>
        <v>#VALUE!</v>
      </c>
      <c r="M62" s="14">
        <f t="shared" si="2"/>
        <v>2098</v>
      </c>
      <c r="N62" s="147" t="e">
        <f ca="1">_xludf.IFNA(D64/_xlfn.XLOOKUP($M64,'00_SKU_Master'!$B$2:$B$378,'00_SKU_Master'!$M$2:$M$378,0)/$M$2,"0")</f>
        <v>#NAME?</v>
      </c>
      <c r="O62" s="147" t="e">
        <f ca="1">_xludf.IFNA(E64/_xlfn.XLOOKUP($M64,'00_SKU_Master'!$B$2:$B$378,'00_SKU_Master'!$M$2:$M$378,0)/$M$2,"0")</f>
        <v>#NAME?</v>
      </c>
      <c r="P62" s="147" t="e">
        <f ca="1">_xludf.IFNA(F64/_xlfn.XLOOKUP($M64,'00_SKU_Master'!$B$2:$B$378,'00_SKU_Master'!$M$2:$M$378,0)/$M$2,"0")</f>
        <v>#NAME?</v>
      </c>
      <c r="Q62" s="147" t="e">
        <f ca="1">_xludf.IFNA(G64/_xlfn.XLOOKUP($M64,'00_SKU_Master'!$B$2:$B$378,'00_SKU_Master'!$M$2:$M$378,0)/$M$2,"0")</f>
        <v>#NAME?</v>
      </c>
      <c r="R62" s="147" t="e">
        <f ca="1">_xludf.IFNA(H64/_xlfn.XLOOKUP($M64,'00_SKU_Master'!$B$2:$B$378,'00_SKU_Master'!$M$2:$M$378,0)/$M$2,"0")</f>
        <v>#NAME?</v>
      </c>
      <c r="S62" s="147" t="e">
        <f ca="1">_xludf.IFNA(I64/_xlfn.XLOOKUP($M64,'00_SKU_Master'!$B$2:$B$378,'00_SKU_Master'!$M$2:$M$378,0)/$M$2,"0")</f>
        <v>#NAME?</v>
      </c>
      <c r="T62" s="147" t="e">
        <f ca="1">_xludf.IFNA(J64/_xlfn.XLOOKUP($M64,'00_SKU_Master'!$B$2:$B$378,'00_SKU_Master'!$M$2:$M$378,0)/$M$2,"0")</f>
        <v>#NAME?</v>
      </c>
      <c r="U62" s="147" t="e">
        <f t="shared" ca="1" si="3"/>
        <v>#NAME?</v>
      </c>
      <c r="V62" s="4"/>
      <c r="W62" s="4" t="e">
        <f>_xlfn.XLOOKUP(M64,'00_SKU_Master'!$B$2:$B$378,'00_SKU_Master'!D:D)</f>
        <v>#VALUE!</v>
      </c>
      <c r="X62" s="14">
        <f>'05_Daily_Orders'!B63</f>
        <v>2096</v>
      </c>
      <c r="Y62" s="554"/>
      <c r="Z62" s="555"/>
      <c r="AA62" s="554"/>
      <c r="AB62" s="555"/>
      <c r="AC62" s="554">
        <v>0</v>
      </c>
      <c r="AD62" s="555">
        <v>0</v>
      </c>
      <c r="AE62" s="554">
        <v>0</v>
      </c>
      <c r="AF62" s="553">
        <f t="shared" si="4"/>
        <v>0</v>
      </c>
      <c r="AQ62" s="23">
        <v>0</v>
      </c>
      <c r="AR62" s="23">
        <v>0</v>
      </c>
      <c r="AS62" s="23">
        <f t="shared" si="5"/>
        <v>0</v>
      </c>
    </row>
    <row r="63" spans="1:45">
      <c r="A63" s="138">
        <f>_xlfn.XLOOKUP(C65,'00_SKU_Master'!$B$2:$B$378,'00_SKU_Master'!$C$2:$C$378)</f>
        <v>203021</v>
      </c>
      <c r="B63" s="138"/>
      <c r="C63" s="138">
        <f t="shared" si="0"/>
        <v>2099</v>
      </c>
      <c r="D63" s="552" t="e">
        <f ca="1">_xludf.IFNA(_xlfn.XLOOKUP(C65,'00_SKU_Master'!$B$2:$B$378,'00_SKU_Master'!$F$2:$F$378,0)*Y65,"")</f>
        <v>#NAME?</v>
      </c>
      <c r="E63" s="552" t="e">
        <f ca="1">_xludf.IFNA(_xlfn.XLOOKUP(C65,'00_SKU_Master'!$B$2:$B$378,'00_SKU_Master'!$F$2:$F$378,0)*Z65,"")</f>
        <v>#NAME?</v>
      </c>
      <c r="F63" s="552" t="e">
        <f ca="1">_xludf.IFNA(_xlfn.XLOOKUP(C65,'00_SKU_Master'!$B$2:$B$378,'00_SKU_Master'!$F$2:$F$378,0)*AA65,"")</f>
        <v>#NAME?</v>
      </c>
      <c r="G63" s="552" t="e">
        <f ca="1">_xludf.IFNA(_xlfn.XLOOKUP(C65,'00_SKU_Master'!$B$2:$B$378,'00_SKU_Master'!$F$2:$F$378,0)*AB65,"")</f>
        <v>#NAME?</v>
      </c>
      <c r="H63" s="552" t="e">
        <f ca="1">_xludf.IFNA(_xlfn.XLOOKUP(C65,'00_SKU_Master'!$B$2:$B$378,'00_SKU_Master'!$F$2:$F$378,0)*AC65,"")</f>
        <v>#NAME?</v>
      </c>
      <c r="I63" s="552" t="e">
        <f ca="1">_xludf.IFNA(_xlfn.XLOOKUP(C65,'00_SKU_Master'!$B$2:$B$378,'00_SKU_Master'!$F$2:$F$378,0)*AD65,"")</f>
        <v>#NAME?</v>
      </c>
      <c r="J63" s="552" t="e">
        <f ca="1">_xludf.IFNA(_xlfn.XLOOKUP(C65,'00_SKU_Master'!$B$2:$B$378,'00_SKU_Master'!$F$2:$F$378,0)*AE65,"")</f>
        <v>#NAME?</v>
      </c>
      <c r="K63" s="553" t="e">
        <f t="shared" ca="1" si="1"/>
        <v>#NAME?</v>
      </c>
      <c r="L63" s="187" t="e">
        <f>_xlfn.XLOOKUP(C65,'00_SKU_Master'!$B$2:$B$378,'00_SKU_Master'!K:K)</f>
        <v>#VALUE!</v>
      </c>
      <c r="M63" s="14">
        <f t="shared" si="2"/>
        <v>2099</v>
      </c>
      <c r="N63" s="147" t="e">
        <f ca="1">_xludf.IFNA(D65/_xlfn.XLOOKUP($M65,'00_SKU_Master'!$B$2:$B$378,'00_SKU_Master'!$M$2:$M$378,0)/$M$2,"0")</f>
        <v>#NAME?</v>
      </c>
      <c r="O63" s="147" t="e">
        <f ca="1">_xludf.IFNA(E65/_xlfn.XLOOKUP($M65,'00_SKU_Master'!$B$2:$B$378,'00_SKU_Master'!$M$2:$M$378,0)/$M$2,"0")</f>
        <v>#NAME?</v>
      </c>
      <c r="P63" s="147" t="e">
        <f ca="1">_xludf.IFNA(F65/_xlfn.XLOOKUP($M65,'00_SKU_Master'!$B$2:$B$378,'00_SKU_Master'!$M$2:$M$378,0)/$M$2,"0")</f>
        <v>#NAME?</v>
      </c>
      <c r="Q63" s="147" t="e">
        <f ca="1">_xludf.IFNA(G65/_xlfn.XLOOKUP($M65,'00_SKU_Master'!$B$2:$B$378,'00_SKU_Master'!$M$2:$M$378,0)/$M$2,"0")</f>
        <v>#NAME?</v>
      </c>
      <c r="R63" s="147" t="e">
        <f ca="1">_xludf.IFNA(H65/_xlfn.XLOOKUP($M65,'00_SKU_Master'!$B$2:$B$378,'00_SKU_Master'!$M$2:$M$378,0)/$M$2,"0")</f>
        <v>#NAME?</v>
      </c>
      <c r="S63" s="147" t="e">
        <f ca="1">_xludf.IFNA(I65/_xlfn.XLOOKUP($M65,'00_SKU_Master'!$B$2:$B$378,'00_SKU_Master'!$M$2:$M$378,0)/$M$2,"0")</f>
        <v>#NAME?</v>
      </c>
      <c r="T63" s="147" t="e">
        <f ca="1">_xludf.IFNA(J65/_xlfn.XLOOKUP($M65,'00_SKU_Master'!$B$2:$B$378,'00_SKU_Master'!$M$2:$M$378,0)/$M$2,"0")</f>
        <v>#NAME?</v>
      </c>
      <c r="U63" s="147" t="e">
        <f t="shared" ca="1" si="3"/>
        <v>#NAME?</v>
      </c>
      <c r="V63" s="4"/>
      <c r="W63" s="4" t="e">
        <f>_xlfn.XLOOKUP(M65,'00_SKU_Master'!$B$2:$B$378,'00_SKU_Master'!D:D)</f>
        <v>#VALUE!</v>
      </c>
      <c r="X63" s="14">
        <f>'05_Daily_Orders'!B64</f>
        <v>2097</v>
      </c>
      <c r="Y63" s="554"/>
      <c r="Z63" s="555"/>
      <c r="AA63" s="554"/>
      <c r="AB63" s="555"/>
      <c r="AC63" s="554">
        <v>0</v>
      </c>
      <c r="AD63" s="555">
        <v>0</v>
      </c>
      <c r="AE63" s="554">
        <v>0</v>
      </c>
      <c r="AF63" s="553">
        <f t="shared" si="4"/>
        <v>0</v>
      </c>
      <c r="AQ63" s="23">
        <v>0</v>
      </c>
      <c r="AR63" s="23">
        <v>0</v>
      </c>
      <c r="AS63" s="23">
        <f t="shared" si="5"/>
        <v>0</v>
      </c>
    </row>
    <row r="64" spans="1:45">
      <c r="A64" s="138" t="str">
        <f>_xlfn.XLOOKUP(C66,'00_SKU_Master'!$B$2:$B$378,'00_SKU_Master'!$C$2:$C$378)</f>
        <v>61072#2</v>
      </c>
      <c r="B64" s="138"/>
      <c r="C64" s="138">
        <f t="shared" si="0"/>
        <v>2102</v>
      </c>
      <c r="D64" s="552" t="e">
        <f ca="1">_xludf.IFNA(_xlfn.XLOOKUP(C66,'00_SKU_Master'!$B$2:$B$378,'00_SKU_Master'!$F$2:$F$378,0)*Y66,"")</f>
        <v>#NAME?</v>
      </c>
      <c r="E64" s="552" t="e">
        <f ca="1">_xludf.IFNA(_xlfn.XLOOKUP(C66,'00_SKU_Master'!$B$2:$B$378,'00_SKU_Master'!$F$2:$F$378,0)*Z66,"")</f>
        <v>#NAME?</v>
      </c>
      <c r="F64" s="552" t="e">
        <f ca="1">_xludf.IFNA(_xlfn.XLOOKUP(C66,'00_SKU_Master'!$B$2:$B$378,'00_SKU_Master'!$F$2:$F$378,0)*AA66,"")</f>
        <v>#NAME?</v>
      </c>
      <c r="G64" s="552" t="e">
        <f ca="1">_xludf.IFNA(_xlfn.XLOOKUP(C66,'00_SKU_Master'!$B$2:$B$378,'00_SKU_Master'!$F$2:$F$378,0)*AB66,"")</f>
        <v>#NAME?</v>
      </c>
      <c r="H64" s="552" t="e">
        <f ca="1">_xludf.IFNA(_xlfn.XLOOKUP(C66,'00_SKU_Master'!$B$2:$B$378,'00_SKU_Master'!$F$2:$F$378,0)*AC66,"")</f>
        <v>#NAME?</v>
      </c>
      <c r="I64" s="552" t="e">
        <f ca="1">_xludf.IFNA(_xlfn.XLOOKUP(C66,'00_SKU_Master'!$B$2:$B$378,'00_SKU_Master'!$F$2:$F$378,0)*AD66,"")</f>
        <v>#NAME?</v>
      </c>
      <c r="J64" s="552" t="e">
        <f ca="1">_xludf.IFNA(_xlfn.XLOOKUP(C66,'00_SKU_Master'!$B$2:$B$378,'00_SKU_Master'!$F$2:$F$378,0)*AE66,"")</f>
        <v>#NAME?</v>
      </c>
      <c r="K64" s="553" t="e">
        <f t="shared" ca="1" si="1"/>
        <v>#NAME?</v>
      </c>
      <c r="L64" s="187" t="e">
        <f>_xlfn.XLOOKUP(C66,'00_SKU_Master'!$B$2:$B$378,'00_SKU_Master'!K:K)</f>
        <v>#VALUE!</v>
      </c>
      <c r="M64" s="14">
        <f t="shared" si="2"/>
        <v>2102</v>
      </c>
      <c r="N64" s="147" t="e">
        <f ca="1">_xludf.IFNA(D66/_xlfn.XLOOKUP($M66,'00_SKU_Master'!$B$2:$B$378,'00_SKU_Master'!$M$2:$M$378,0)/$M$2,"0")</f>
        <v>#NAME?</v>
      </c>
      <c r="O64" s="147" t="e">
        <f ca="1">_xludf.IFNA(E66/_xlfn.XLOOKUP($M66,'00_SKU_Master'!$B$2:$B$378,'00_SKU_Master'!$M$2:$M$378,0)/$M$2,"0")</f>
        <v>#NAME?</v>
      </c>
      <c r="P64" s="147" t="e">
        <f ca="1">_xludf.IFNA(F66/_xlfn.XLOOKUP($M66,'00_SKU_Master'!$B$2:$B$378,'00_SKU_Master'!$M$2:$M$378,0)/$M$2,"0")</f>
        <v>#NAME?</v>
      </c>
      <c r="Q64" s="147" t="e">
        <f ca="1">_xludf.IFNA(G66/_xlfn.XLOOKUP($M66,'00_SKU_Master'!$B$2:$B$378,'00_SKU_Master'!$M$2:$M$378,0)/$M$2,"0")</f>
        <v>#NAME?</v>
      </c>
      <c r="R64" s="147" t="e">
        <f ca="1">_xludf.IFNA(H66/_xlfn.XLOOKUP($M66,'00_SKU_Master'!$B$2:$B$378,'00_SKU_Master'!$M$2:$M$378,0)/$M$2,"0")</f>
        <v>#NAME?</v>
      </c>
      <c r="S64" s="147" t="e">
        <f ca="1">_xludf.IFNA(I66/_xlfn.XLOOKUP($M66,'00_SKU_Master'!$B$2:$B$378,'00_SKU_Master'!$M$2:$M$378,0)/$M$2,"0")</f>
        <v>#NAME?</v>
      </c>
      <c r="T64" s="147" t="e">
        <f ca="1">_xludf.IFNA(J66/_xlfn.XLOOKUP($M66,'00_SKU_Master'!$B$2:$B$378,'00_SKU_Master'!$M$2:$M$378,0)/$M$2,"0")</f>
        <v>#NAME?</v>
      </c>
      <c r="U64" s="147" t="e">
        <f t="shared" ca="1" si="3"/>
        <v>#NAME?</v>
      </c>
      <c r="V64" s="4"/>
      <c r="W64" s="4" t="e">
        <f>_xlfn.XLOOKUP(M66,'00_SKU_Master'!$B$2:$B$378,'00_SKU_Master'!D:D)</f>
        <v>#VALUE!</v>
      </c>
      <c r="X64" s="14">
        <f>'05_Daily_Orders'!B65</f>
        <v>2098</v>
      </c>
      <c r="Y64" s="554"/>
      <c r="Z64" s="555"/>
      <c r="AA64" s="554"/>
      <c r="AB64" s="555"/>
      <c r="AC64" s="554">
        <v>0</v>
      </c>
      <c r="AD64" s="555">
        <v>0</v>
      </c>
      <c r="AE64" s="554">
        <v>0</v>
      </c>
      <c r="AF64" s="553">
        <f t="shared" si="4"/>
        <v>0</v>
      </c>
      <c r="AQ64" s="23">
        <v>0</v>
      </c>
      <c r="AR64" s="23">
        <v>0</v>
      </c>
      <c r="AS64" s="23">
        <f t="shared" si="5"/>
        <v>0</v>
      </c>
    </row>
    <row r="65" spans="1:45">
      <c r="A65" s="138">
        <f>_xlfn.XLOOKUP(C67,'00_SKU_Master'!$B$2:$B$378,'00_SKU_Master'!$C$2:$C$378)</f>
        <v>61082</v>
      </c>
      <c r="B65" s="138"/>
      <c r="C65" s="138">
        <f t="shared" si="0"/>
        <v>2121</v>
      </c>
      <c r="D65" s="552" t="e">
        <f ca="1">_xludf.IFNA(_xlfn.XLOOKUP(C67,'00_SKU_Master'!$B$2:$B$378,'00_SKU_Master'!$F$2:$F$378,0)*Y67,"")</f>
        <v>#NAME?</v>
      </c>
      <c r="E65" s="552" t="e">
        <f ca="1">_xludf.IFNA(_xlfn.XLOOKUP(C67,'00_SKU_Master'!$B$2:$B$378,'00_SKU_Master'!$F$2:$F$378,0)*Z67,"")</f>
        <v>#NAME?</v>
      </c>
      <c r="F65" s="552" t="e">
        <f ca="1">_xludf.IFNA(_xlfn.XLOOKUP(C67,'00_SKU_Master'!$B$2:$B$378,'00_SKU_Master'!$F$2:$F$378,0)*AA67,"")</f>
        <v>#NAME?</v>
      </c>
      <c r="G65" s="552" t="e">
        <f ca="1">_xludf.IFNA(_xlfn.XLOOKUP(C67,'00_SKU_Master'!$B$2:$B$378,'00_SKU_Master'!$F$2:$F$378,0)*AB67,"")</f>
        <v>#NAME?</v>
      </c>
      <c r="H65" s="552" t="e">
        <f ca="1">_xludf.IFNA(_xlfn.XLOOKUP(C67,'00_SKU_Master'!$B$2:$B$378,'00_SKU_Master'!$F$2:$F$378,0)*AC67,"")</f>
        <v>#NAME?</v>
      </c>
      <c r="I65" s="552" t="e">
        <f ca="1">_xludf.IFNA(_xlfn.XLOOKUP(C67,'00_SKU_Master'!$B$2:$B$378,'00_SKU_Master'!$F$2:$F$378,0)*AD67,"")</f>
        <v>#NAME?</v>
      </c>
      <c r="J65" s="552" t="e">
        <f ca="1">_xludf.IFNA(_xlfn.XLOOKUP(C67,'00_SKU_Master'!$B$2:$B$378,'00_SKU_Master'!$F$2:$F$378,0)*AE67,"")</f>
        <v>#NAME?</v>
      </c>
      <c r="K65" s="553" t="e">
        <f t="shared" ca="1" si="1"/>
        <v>#NAME?</v>
      </c>
      <c r="L65" s="187" t="e">
        <f>_xlfn.XLOOKUP(C67,'00_SKU_Master'!$B$2:$B$378,'00_SKU_Master'!K:K)</f>
        <v>#VALUE!</v>
      </c>
      <c r="M65" s="14">
        <f t="shared" si="2"/>
        <v>2121</v>
      </c>
      <c r="N65" s="147" t="e">
        <f ca="1">_xludf.IFNA(D67/_xlfn.XLOOKUP($M67,'00_SKU_Master'!$B$2:$B$378,'00_SKU_Master'!$M$2:$M$378,0)/$M$2,"0")</f>
        <v>#NAME?</v>
      </c>
      <c r="O65" s="147" t="e">
        <f ca="1">_xludf.IFNA(E67/_xlfn.XLOOKUP($M67,'00_SKU_Master'!$B$2:$B$378,'00_SKU_Master'!$M$2:$M$378,0)/$M$2,"0")</f>
        <v>#NAME?</v>
      </c>
      <c r="P65" s="147" t="e">
        <f ca="1">_xludf.IFNA(F67/_xlfn.XLOOKUP($M67,'00_SKU_Master'!$B$2:$B$378,'00_SKU_Master'!$M$2:$M$378,0)/$M$2,"0")</f>
        <v>#NAME?</v>
      </c>
      <c r="Q65" s="147" t="e">
        <f ca="1">_xludf.IFNA(G67/_xlfn.XLOOKUP($M67,'00_SKU_Master'!$B$2:$B$378,'00_SKU_Master'!$M$2:$M$378,0)/$M$2,"0")</f>
        <v>#NAME?</v>
      </c>
      <c r="R65" s="147" t="e">
        <f ca="1">_xludf.IFNA(H67/_xlfn.XLOOKUP($M67,'00_SKU_Master'!$B$2:$B$378,'00_SKU_Master'!$M$2:$M$378,0)/$M$2,"0")</f>
        <v>#NAME?</v>
      </c>
      <c r="S65" s="147" t="e">
        <f ca="1">_xludf.IFNA(I67/_xlfn.XLOOKUP($M67,'00_SKU_Master'!$B$2:$B$378,'00_SKU_Master'!$M$2:$M$378,0)/$M$2,"0")</f>
        <v>#NAME?</v>
      </c>
      <c r="T65" s="147" t="e">
        <f ca="1">_xludf.IFNA(J67/_xlfn.XLOOKUP($M67,'00_SKU_Master'!$B$2:$B$378,'00_SKU_Master'!$M$2:$M$378,0)/$M$2,"0")</f>
        <v>#NAME?</v>
      </c>
      <c r="U65" s="147" t="e">
        <f t="shared" ca="1" si="3"/>
        <v>#NAME?</v>
      </c>
      <c r="V65" s="4"/>
      <c r="W65" s="4" t="e">
        <f>_xlfn.XLOOKUP(M67,'00_SKU_Master'!$B$2:$B$378,'00_SKU_Master'!D:D)</f>
        <v>#VALUE!</v>
      </c>
      <c r="X65" s="14">
        <f>'05_Daily_Orders'!B66</f>
        <v>2099</v>
      </c>
      <c r="Y65" s="554"/>
      <c r="Z65" s="555"/>
      <c r="AA65" s="554"/>
      <c r="AB65" s="555"/>
      <c r="AC65" s="554">
        <v>0</v>
      </c>
      <c r="AD65" s="555">
        <v>0</v>
      </c>
      <c r="AE65" s="554">
        <v>0</v>
      </c>
      <c r="AF65" s="553">
        <f t="shared" si="4"/>
        <v>0</v>
      </c>
      <c r="AQ65" s="23">
        <v>0</v>
      </c>
      <c r="AR65" s="23">
        <v>0</v>
      </c>
      <c r="AS65" s="23">
        <f t="shared" si="5"/>
        <v>0</v>
      </c>
    </row>
    <row r="66" spans="1:45">
      <c r="A66" s="138" t="str">
        <f>_xlfn.XLOOKUP(C68,'00_SKU_Master'!$B$2:$B$378,'00_SKU_Master'!$C$2:$C$378)</f>
        <v>61050#2</v>
      </c>
      <c r="B66" s="138"/>
      <c r="C66" s="138">
        <f t="shared" ref="C66:C129" si="6">X68</f>
        <v>2124</v>
      </c>
      <c r="D66" s="552" t="e">
        <f ca="1">_xludf.IFNA(_xlfn.XLOOKUP(C68,'00_SKU_Master'!$B$2:$B$378,'00_SKU_Master'!$F$2:$F$378,0)*Y68,"")</f>
        <v>#NAME?</v>
      </c>
      <c r="E66" s="552" t="e">
        <f ca="1">_xludf.IFNA(_xlfn.XLOOKUP(C68,'00_SKU_Master'!$B$2:$B$378,'00_SKU_Master'!$F$2:$F$378,0)*Z68,"")</f>
        <v>#NAME?</v>
      </c>
      <c r="F66" s="552" t="e">
        <f ca="1">_xludf.IFNA(_xlfn.XLOOKUP(C68,'00_SKU_Master'!$B$2:$B$378,'00_SKU_Master'!$F$2:$F$378,0)*AA68,"")</f>
        <v>#NAME?</v>
      </c>
      <c r="G66" s="552" t="e">
        <f ca="1">_xludf.IFNA(_xlfn.XLOOKUP(C68,'00_SKU_Master'!$B$2:$B$378,'00_SKU_Master'!$F$2:$F$378,0)*AB68,"")</f>
        <v>#NAME?</v>
      </c>
      <c r="H66" s="552" t="e">
        <f ca="1">_xludf.IFNA(_xlfn.XLOOKUP(C68,'00_SKU_Master'!$B$2:$B$378,'00_SKU_Master'!$F$2:$F$378,0)*AC68,"")</f>
        <v>#NAME?</v>
      </c>
      <c r="I66" s="552" t="e">
        <f ca="1">_xludf.IFNA(_xlfn.XLOOKUP(C68,'00_SKU_Master'!$B$2:$B$378,'00_SKU_Master'!$F$2:$F$378,0)*AD68,"")</f>
        <v>#NAME?</v>
      </c>
      <c r="J66" s="552" t="e">
        <f ca="1">_xludf.IFNA(_xlfn.XLOOKUP(C68,'00_SKU_Master'!$B$2:$B$378,'00_SKU_Master'!$F$2:$F$378,0)*AE68,"")</f>
        <v>#NAME?</v>
      </c>
      <c r="K66" s="553" t="e">
        <f t="shared" ref="K66:K129" ca="1" si="7">SUM(D68:J68)</f>
        <v>#NAME?</v>
      </c>
      <c r="L66" s="187" t="e">
        <f>_xlfn.XLOOKUP(C68,'00_SKU_Master'!$B$2:$B$378,'00_SKU_Master'!K:K)</f>
        <v>#VALUE!</v>
      </c>
      <c r="M66" s="14">
        <f t="shared" ref="M66:M129" si="8">X68</f>
        <v>2124</v>
      </c>
      <c r="N66" s="147" t="e">
        <f ca="1">_xludf.IFNA(D68/_xlfn.XLOOKUP($M68,'00_SKU_Master'!$B$2:$B$378,'00_SKU_Master'!$M$2:$M$378,0)/$M$2,"0")</f>
        <v>#NAME?</v>
      </c>
      <c r="O66" s="147" t="e">
        <f ca="1">_xludf.IFNA(E68/_xlfn.XLOOKUP($M68,'00_SKU_Master'!$B$2:$B$378,'00_SKU_Master'!$M$2:$M$378,0)/$M$2,"0")</f>
        <v>#NAME?</v>
      </c>
      <c r="P66" s="147" t="e">
        <f ca="1">_xludf.IFNA(F68/_xlfn.XLOOKUP($M68,'00_SKU_Master'!$B$2:$B$378,'00_SKU_Master'!$M$2:$M$378,0)/$M$2,"0")</f>
        <v>#NAME?</v>
      </c>
      <c r="Q66" s="147" t="e">
        <f ca="1">_xludf.IFNA(G68/_xlfn.XLOOKUP($M68,'00_SKU_Master'!$B$2:$B$378,'00_SKU_Master'!$M$2:$M$378,0)/$M$2,"0")</f>
        <v>#NAME?</v>
      </c>
      <c r="R66" s="147" t="e">
        <f ca="1">_xludf.IFNA(H68/_xlfn.XLOOKUP($M68,'00_SKU_Master'!$B$2:$B$378,'00_SKU_Master'!$M$2:$M$378,0)/$M$2,"0")</f>
        <v>#NAME?</v>
      </c>
      <c r="S66" s="147" t="e">
        <f ca="1">_xludf.IFNA(I68/_xlfn.XLOOKUP($M68,'00_SKU_Master'!$B$2:$B$378,'00_SKU_Master'!$M$2:$M$378,0)/$M$2,"0")</f>
        <v>#NAME?</v>
      </c>
      <c r="T66" s="147" t="e">
        <f ca="1">_xludf.IFNA(J68/_xlfn.XLOOKUP($M68,'00_SKU_Master'!$B$2:$B$378,'00_SKU_Master'!$M$2:$M$378,0)/$M$2,"0")</f>
        <v>#NAME?</v>
      </c>
      <c r="U66" s="147" t="e">
        <f t="shared" ref="U66:U129" ca="1" si="9">SUM(N68:T68)</f>
        <v>#NAME?</v>
      </c>
      <c r="V66" s="4"/>
      <c r="W66" s="4" t="e">
        <f>_xlfn.XLOOKUP(M68,'00_SKU_Master'!$B$2:$B$378,'00_SKU_Master'!D:D)</f>
        <v>#VALUE!</v>
      </c>
      <c r="X66" s="14">
        <f>'05_Daily_Orders'!B67</f>
        <v>2102</v>
      </c>
      <c r="Y66" s="554"/>
      <c r="Z66" s="555"/>
      <c r="AA66" s="554"/>
      <c r="AB66" s="555"/>
      <c r="AC66" s="554">
        <v>0</v>
      </c>
      <c r="AD66" s="555">
        <v>0</v>
      </c>
      <c r="AE66" s="554">
        <v>0</v>
      </c>
      <c r="AF66" s="553">
        <f t="shared" ref="AF66:AF129" si="10">SUM(Y68:AE68)</f>
        <v>0</v>
      </c>
      <c r="AQ66" s="23">
        <v>0</v>
      </c>
      <c r="AR66" s="23">
        <v>0</v>
      </c>
      <c r="AS66" s="23">
        <f t="shared" ref="AS66:AS129" si="11">AR68-AQ68</f>
        <v>0</v>
      </c>
    </row>
    <row r="67" spans="1:45">
      <c r="A67" s="138" t="str">
        <f>_xlfn.XLOOKUP(C69,'00_SKU_Master'!$B$2:$B$378,'00_SKU_Master'!$C$2:$C$378)</f>
        <v>61086F</v>
      </c>
      <c r="B67" s="138"/>
      <c r="C67" s="138">
        <f t="shared" si="6"/>
        <v>2125</v>
      </c>
      <c r="D67" s="552" t="e">
        <f ca="1">_xludf.IFNA(_xlfn.XLOOKUP(C69,'00_SKU_Master'!$B$2:$B$378,'00_SKU_Master'!$F$2:$F$378,0)*Y69,"")</f>
        <v>#NAME?</v>
      </c>
      <c r="E67" s="552" t="e">
        <f ca="1">_xludf.IFNA(_xlfn.XLOOKUP(C69,'00_SKU_Master'!$B$2:$B$378,'00_SKU_Master'!$F$2:$F$378,0)*Z69,"")</f>
        <v>#NAME?</v>
      </c>
      <c r="F67" s="552" t="e">
        <f ca="1">_xludf.IFNA(_xlfn.XLOOKUP(C69,'00_SKU_Master'!$B$2:$B$378,'00_SKU_Master'!$F$2:$F$378,0)*AA69,"")</f>
        <v>#NAME?</v>
      </c>
      <c r="G67" s="552" t="e">
        <f ca="1">_xludf.IFNA(_xlfn.XLOOKUP(C69,'00_SKU_Master'!$B$2:$B$378,'00_SKU_Master'!$F$2:$F$378,0)*AB69,"")</f>
        <v>#NAME?</v>
      </c>
      <c r="H67" s="552" t="e">
        <f ca="1">_xludf.IFNA(_xlfn.XLOOKUP(C69,'00_SKU_Master'!$B$2:$B$378,'00_SKU_Master'!$F$2:$F$378,0)*AC69,"")</f>
        <v>#NAME?</v>
      </c>
      <c r="I67" s="552" t="e">
        <f ca="1">_xludf.IFNA(_xlfn.XLOOKUP(C69,'00_SKU_Master'!$B$2:$B$378,'00_SKU_Master'!$F$2:$F$378,0)*AD69,"")</f>
        <v>#NAME?</v>
      </c>
      <c r="J67" s="552" t="e">
        <f ca="1">_xludf.IFNA(_xlfn.XLOOKUP(C69,'00_SKU_Master'!$B$2:$B$378,'00_SKU_Master'!$F$2:$F$378,0)*AE69,"")</f>
        <v>#NAME?</v>
      </c>
      <c r="K67" s="553" t="e">
        <f t="shared" ca="1" si="7"/>
        <v>#NAME?</v>
      </c>
      <c r="L67" s="187" t="e">
        <f>_xlfn.XLOOKUP(C69,'00_SKU_Master'!$B$2:$B$378,'00_SKU_Master'!K:K)</f>
        <v>#VALUE!</v>
      </c>
      <c r="M67" s="14">
        <f t="shared" si="8"/>
        <v>2125</v>
      </c>
      <c r="N67" s="147" t="e">
        <f ca="1">_xludf.IFNA(D69/_xlfn.XLOOKUP($M69,'00_SKU_Master'!$B$2:$B$378,'00_SKU_Master'!$M$2:$M$378,0)/$M$2,"0")</f>
        <v>#NAME?</v>
      </c>
      <c r="O67" s="147" t="e">
        <f ca="1">_xludf.IFNA(E69/_xlfn.XLOOKUP($M69,'00_SKU_Master'!$B$2:$B$378,'00_SKU_Master'!$M$2:$M$378,0)/$M$2,"0")</f>
        <v>#NAME?</v>
      </c>
      <c r="P67" s="147" t="e">
        <f ca="1">_xludf.IFNA(F69/_xlfn.XLOOKUP($M69,'00_SKU_Master'!$B$2:$B$378,'00_SKU_Master'!$M$2:$M$378,0)/$M$2,"0")</f>
        <v>#NAME?</v>
      </c>
      <c r="Q67" s="147" t="e">
        <f ca="1">_xludf.IFNA(G69/_xlfn.XLOOKUP($M69,'00_SKU_Master'!$B$2:$B$378,'00_SKU_Master'!$M$2:$M$378,0)/$M$2,"0")</f>
        <v>#NAME?</v>
      </c>
      <c r="R67" s="147" t="e">
        <f ca="1">_xludf.IFNA(H69/_xlfn.XLOOKUP($M69,'00_SKU_Master'!$B$2:$B$378,'00_SKU_Master'!$M$2:$M$378,0)/$M$2,"0")</f>
        <v>#NAME?</v>
      </c>
      <c r="S67" s="147" t="e">
        <f ca="1">_xludf.IFNA(I69/_xlfn.XLOOKUP($M69,'00_SKU_Master'!$B$2:$B$378,'00_SKU_Master'!$M$2:$M$378,0)/$M$2,"0")</f>
        <v>#NAME?</v>
      </c>
      <c r="T67" s="147" t="e">
        <f ca="1">_xludf.IFNA(J69/_xlfn.XLOOKUP($M69,'00_SKU_Master'!$B$2:$B$378,'00_SKU_Master'!$M$2:$M$378,0)/$M$2,"0")</f>
        <v>#NAME?</v>
      </c>
      <c r="U67" s="147" t="e">
        <f t="shared" ca="1" si="9"/>
        <v>#NAME?</v>
      </c>
      <c r="V67" s="4"/>
      <c r="W67" s="4" t="e">
        <f>_xlfn.XLOOKUP(M69,'00_SKU_Master'!$B$2:$B$378,'00_SKU_Master'!D:D)</f>
        <v>#VALUE!</v>
      </c>
      <c r="X67" s="14">
        <f>'05_Daily_Orders'!B68</f>
        <v>2121</v>
      </c>
      <c r="Y67" s="554"/>
      <c r="Z67" s="555"/>
      <c r="AA67" s="555"/>
      <c r="AB67" s="555"/>
      <c r="AC67" s="555">
        <v>0</v>
      </c>
      <c r="AD67" s="555">
        <v>0</v>
      </c>
      <c r="AE67" s="555">
        <v>0</v>
      </c>
      <c r="AF67" s="553">
        <f t="shared" si="10"/>
        <v>0</v>
      </c>
      <c r="AQ67" s="23">
        <v>0</v>
      </c>
      <c r="AR67" s="23">
        <v>0</v>
      </c>
      <c r="AS67" s="23">
        <f t="shared" si="11"/>
        <v>0</v>
      </c>
    </row>
    <row r="68" spans="1:45">
      <c r="A68" s="138" t="str">
        <f>_xlfn.XLOOKUP(C70,'00_SKU_Master'!$B$2:$B$378,'00_SKU_Master'!$C$2:$C$378)</f>
        <v>61086F</v>
      </c>
      <c r="B68" s="138"/>
      <c r="C68" s="138">
        <f t="shared" si="6"/>
        <v>2237</v>
      </c>
      <c r="D68" s="552" t="e">
        <f ca="1">_xludf.IFNA(_xlfn.XLOOKUP(C70,'00_SKU_Master'!$B$2:$B$378,'00_SKU_Master'!$F$2:$F$378,0)*Y70,"")</f>
        <v>#NAME?</v>
      </c>
      <c r="E68" s="552" t="e">
        <f ca="1">_xludf.IFNA(_xlfn.XLOOKUP(C70,'00_SKU_Master'!$B$2:$B$378,'00_SKU_Master'!$F$2:$F$378,0)*Z70,"")</f>
        <v>#NAME?</v>
      </c>
      <c r="F68" s="552" t="e">
        <f ca="1">_xludf.IFNA(_xlfn.XLOOKUP(C70,'00_SKU_Master'!$B$2:$B$378,'00_SKU_Master'!$F$2:$F$378,0)*AA70,"")</f>
        <v>#NAME?</v>
      </c>
      <c r="G68" s="552" t="e">
        <f ca="1">_xludf.IFNA(_xlfn.XLOOKUP(C70,'00_SKU_Master'!$B$2:$B$378,'00_SKU_Master'!$F$2:$F$378,0)*AB70,"")</f>
        <v>#NAME?</v>
      </c>
      <c r="H68" s="552" t="e">
        <f ca="1">_xludf.IFNA(_xlfn.XLOOKUP(C70,'00_SKU_Master'!$B$2:$B$378,'00_SKU_Master'!$F$2:$F$378,0)*AC70,"")</f>
        <v>#NAME?</v>
      </c>
      <c r="I68" s="552" t="e">
        <f ca="1">_xludf.IFNA(_xlfn.XLOOKUP(C70,'00_SKU_Master'!$B$2:$B$378,'00_SKU_Master'!$F$2:$F$378,0)*AD70,"")</f>
        <v>#NAME?</v>
      </c>
      <c r="J68" s="552" t="e">
        <f ca="1">_xludf.IFNA(_xlfn.XLOOKUP(C70,'00_SKU_Master'!$B$2:$B$378,'00_SKU_Master'!$F$2:$F$378,0)*AE70,"")</f>
        <v>#NAME?</v>
      </c>
      <c r="K68" s="553" t="e">
        <f t="shared" ca="1" si="7"/>
        <v>#NAME?</v>
      </c>
      <c r="L68" s="187" t="e">
        <f>_xlfn.XLOOKUP(C70,'00_SKU_Master'!$B$2:$B$378,'00_SKU_Master'!K:K)</f>
        <v>#VALUE!</v>
      </c>
      <c r="M68" s="14">
        <f t="shared" si="8"/>
        <v>2237</v>
      </c>
      <c r="N68" s="147" t="e">
        <f ca="1">_xludf.IFNA(D70/_xlfn.XLOOKUP($M70,'00_SKU_Master'!$B$2:$B$378,'00_SKU_Master'!$M$2:$M$378,0)/$M$2,"0")</f>
        <v>#NAME?</v>
      </c>
      <c r="O68" s="147" t="e">
        <f ca="1">_xludf.IFNA(E70/_xlfn.XLOOKUP($M70,'00_SKU_Master'!$B$2:$B$378,'00_SKU_Master'!$M$2:$M$378,0)/$M$2,"0")</f>
        <v>#NAME?</v>
      </c>
      <c r="P68" s="147" t="e">
        <f ca="1">_xludf.IFNA(F70/_xlfn.XLOOKUP($M70,'00_SKU_Master'!$B$2:$B$378,'00_SKU_Master'!$M$2:$M$378,0)/$M$2,"0")</f>
        <v>#NAME?</v>
      </c>
      <c r="Q68" s="147" t="e">
        <f ca="1">_xludf.IFNA(G70/_xlfn.XLOOKUP($M70,'00_SKU_Master'!$B$2:$B$378,'00_SKU_Master'!$M$2:$M$378,0)/$M$2,"0")</f>
        <v>#NAME?</v>
      </c>
      <c r="R68" s="147" t="e">
        <f ca="1">_xludf.IFNA(H70/_xlfn.XLOOKUP($M70,'00_SKU_Master'!$B$2:$B$378,'00_SKU_Master'!$M$2:$M$378,0)/$M$2,"0")</f>
        <v>#NAME?</v>
      </c>
      <c r="S68" s="147" t="e">
        <f ca="1">_xludf.IFNA(I70/_xlfn.XLOOKUP($M70,'00_SKU_Master'!$B$2:$B$378,'00_SKU_Master'!$M$2:$M$378,0)/$M$2,"0")</f>
        <v>#NAME?</v>
      </c>
      <c r="T68" s="147" t="e">
        <f ca="1">_xludf.IFNA(J70/_xlfn.XLOOKUP($M70,'00_SKU_Master'!$B$2:$B$378,'00_SKU_Master'!$M$2:$M$378,0)/$M$2,"0")</f>
        <v>#NAME?</v>
      </c>
      <c r="U68" s="147" t="e">
        <f t="shared" ca="1" si="9"/>
        <v>#NAME?</v>
      </c>
      <c r="V68" s="4"/>
      <c r="W68" s="4" t="e">
        <f>_xlfn.XLOOKUP(M70,'00_SKU_Master'!$B$2:$B$378,'00_SKU_Master'!D:D)</f>
        <v>#VALUE!</v>
      </c>
      <c r="X68" s="14">
        <f>'05_Daily_Orders'!B69</f>
        <v>2124</v>
      </c>
      <c r="Y68" s="554"/>
      <c r="Z68" s="555"/>
      <c r="AA68" s="555"/>
      <c r="AB68" s="555"/>
      <c r="AC68" s="555">
        <v>0</v>
      </c>
      <c r="AD68" s="555">
        <v>0</v>
      </c>
      <c r="AE68" s="555">
        <v>0</v>
      </c>
      <c r="AF68" s="553">
        <f t="shared" si="10"/>
        <v>0</v>
      </c>
      <c r="AQ68" s="23">
        <v>0</v>
      </c>
      <c r="AR68" s="23">
        <v>0</v>
      </c>
      <c r="AS68" s="23">
        <f t="shared" si="11"/>
        <v>0</v>
      </c>
    </row>
    <row r="69" spans="1:45">
      <c r="A69" s="138" t="str">
        <f>_xlfn.XLOOKUP(C71,'00_SKU_Master'!$B$2:$B$378,'00_SKU_Master'!$C$2:$C$378)</f>
        <v>61077F</v>
      </c>
      <c r="B69" s="138"/>
      <c r="C69" s="138">
        <f t="shared" si="6"/>
        <v>2500</v>
      </c>
      <c r="D69" s="552" t="e">
        <f ca="1">_xludf.IFNA(_xlfn.XLOOKUP(C71,'00_SKU_Master'!$B$2:$B$378,'00_SKU_Master'!$F$2:$F$378,0)*Y71,"")</f>
        <v>#NAME?</v>
      </c>
      <c r="E69" s="552" t="e">
        <f ca="1">_xludf.IFNA(_xlfn.XLOOKUP(C71,'00_SKU_Master'!$B$2:$B$378,'00_SKU_Master'!$F$2:$F$378,0)*Z71,"")</f>
        <v>#NAME?</v>
      </c>
      <c r="F69" s="552" t="e">
        <f ca="1">_xludf.IFNA(_xlfn.XLOOKUP(C71,'00_SKU_Master'!$B$2:$B$378,'00_SKU_Master'!$F$2:$F$378,0)*AA71,"")</f>
        <v>#NAME?</v>
      </c>
      <c r="G69" s="552" t="e">
        <f ca="1">_xludf.IFNA(_xlfn.XLOOKUP(C71,'00_SKU_Master'!$B$2:$B$378,'00_SKU_Master'!$F$2:$F$378,0)*AB71,"")</f>
        <v>#NAME?</v>
      </c>
      <c r="H69" s="552" t="e">
        <f ca="1">_xludf.IFNA(_xlfn.XLOOKUP(C71,'00_SKU_Master'!$B$2:$B$378,'00_SKU_Master'!$F$2:$F$378,0)*AC71,"")</f>
        <v>#NAME?</v>
      </c>
      <c r="I69" s="552" t="e">
        <f ca="1">_xludf.IFNA(_xlfn.XLOOKUP(C71,'00_SKU_Master'!$B$2:$B$378,'00_SKU_Master'!$F$2:$F$378,0)*AD71,"")</f>
        <v>#NAME?</v>
      </c>
      <c r="J69" s="552" t="e">
        <f ca="1">_xludf.IFNA(_xlfn.XLOOKUP(C71,'00_SKU_Master'!$B$2:$B$378,'00_SKU_Master'!$F$2:$F$378,0)*AE71,"")</f>
        <v>#NAME?</v>
      </c>
      <c r="K69" s="553" t="e">
        <f t="shared" ca="1" si="7"/>
        <v>#NAME?</v>
      </c>
      <c r="L69" s="187" t="e">
        <f>_xlfn.XLOOKUP(C71,'00_SKU_Master'!$B$2:$B$378,'00_SKU_Master'!K:K)</f>
        <v>#VALUE!</v>
      </c>
      <c r="M69" s="14">
        <f t="shared" si="8"/>
        <v>2500</v>
      </c>
      <c r="N69" s="147" t="e">
        <f ca="1">_xludf.IFNA(D71/_xlfn.XLOOKUP($M71,'00_SKU_Master'!$B$2:$B$378,'00_SKU_Master'!$M$2:$M$378,0)/$M$2,"0")</f>
        <v>#NAME?</v>
      </c>
      <c r="O69" s="147" t="e">
        <f ca="1">_xludf.IFNA(E71/_xlfn.XLOOKUP($M71,'00_SKU_Master'!$B$2:$B$378,'00_SKU_Master'!$M$2:$M$378,0)/$M$2,"0")</f>
        <v>#NAME?</v>
      </c>
      <c r="P69" s="147" t="e">
        <f ca="1">_xludf.IFNA(F71/_xlfn.XLOOKUP($M71,'00_SKU_Master'!$B$2:$B$378,'00_SKU_Master'!$M$2:$M$378,0)/$M$2,"0")</f>
        <v>#NAME?</v>
      </c>
      <c r="Q69" s="147" t="e">
        <f ca="1">_xludf.IFNA(G71/_xlfn.XLOOKUP($M71,'00_SKU_Master'!$B$2:$B$378,'00_SKU_Master'!$M$2:$M$378,0)/$M$2,"0")</f>
        <v>#NAME?</v>
      </c>
      <c r="R69" s="147" t="e">
        <f ca="1">_xludf.IFNA(H71/_xlfn.XLOOKUP($M71,'00_SKU_Master'!$B$2:$B$378,'00_SKU_Master'!$M$2:$M$378,0)/$M$2,"0")</f>
        <v>#NAME?</v>
      </c>
      <c r="S69" s="147" t="e">
        <f ca="1">_xludf.IFNA(I71/_xlfn.XLOOKUP($M71,'00_SKU_Master'!$B$2:$B$378,'00_SKU_Master'!$M$2:$M$378,0)/$M$2,"0")</f>
        <v>#NAME?</v>
      </c>
      <c r="T69" s="147" t="e">
        <f ca="1">_xludf.IFNA(J71/_xlfn.XLOOKUP($M71,'00_SKU_Master'!$B$2:$B$378,'00_SKU_Master'!$M$2:$M$378,0)/$M$2,"0")</f>
        <v>#NAME?</v>
      </c>
      <c r="U69" s="147" t="e">
        <f t="shared" ca="1" si="9"/>
        <v>#NAME?</v>
      </c>
      <c r="V69" s="4"/>
      <c r="W69" s="4" t="e">
        <f>_xlfn.XLOOKUP(M71,'00_SKU_Master'!$B$2:$B$378,'00_SKU_Master'!D:D)</f>
        <v>#VALUE!</v>
      </c>
      <c r="X69" s="14">
        <f>'05_Daily_Orders'!B70</f>
        <v>2125</v>
      </c>
      <c r="Y69" s="554"/>
      <c r="Z69" s="555"/>
      <c r="AA69" s="555"/>
      <c r="AB69" s="555"/>
      <c r="AC69" s="555">
        <v>0</v>
      </c>
      <c r="AD69" s="555">
        <v>0</v>
      </c>
      <c r="AE69" s="555">
        <v>0</v>
      </c>
      <c r="AF69" s="553">
        <f t="shared" si="10"/>
        <v>0</v>
      </c>
      <c r="AQ69" s="23">
        <v>0</v>
      </c>
      <c r="AR69" s="23">
        <v>0</v>
      </c>
      <c r="AS69" s="23">
        <f t="shared" si="11"/>
        <v>0</v>
      </c>
    </row>
    <row r="70" spans="1:45">
      <c r="A70" s="138" t="str">
        <f>_xlfn.XLOOKUP(C72,'00_SKU_Master'!$B$2:$B$378,'00_SKU_Master'!$C$2:$C$378)</f>
        <v>61077F</v>
      </c>
      <c r="B70" s="138"/>
      <c r="C70" s="138">
        <f t="shared" si="6"/>
        <v>2501</v>
      </c>
      <c r="D70" s="552" t="e">
        <f ca="1">_xludf.IFNA(_xlfn.XLOOKUP(C72,'00_SKU_Master'!$B$2:$B$378,'00_SKU_Master'!$F$2:$F$378,0)*Y72,"")</f>
        <v>#NAME?</v>
      </c>
      <c r="E70" s="552" t="e">
        <f ca="1">_xludf.IFNA(_xlfn.XLOOKUP(C72,'00_SKU_Master'!$B$2:$B$378,'00_SKU_Master'!$F$2:$F$378,0)*Z72,"")</f>
        <v>#NAME?</v>
      </c>
      <c r="F70" s="552" t="e">
        <f ca="1">_xludf.IFNA(_xlfn.XLOOKUP(C72,'00_SKU_Master'!$B$2:$B$378,'00_SKU_Master'!$F$2:$F$378,0)*AA72,"")</f>
        <v>#NAME?</v>
      </c>
      <c r="G70" s="552" t="e">
        <f ca="1">_xludf.IFNA(_xlfn.XLOOKUP(C72,'00_SKU_Master'!$B$2:$B$378,'00_SKU_Master'!$F$2:$F$378,0)*AB72,"")</f>
        <v>#NAME?</v>
      </c>
      <c r="H70" s="552" t="e">
        <f ca="1">_xludf.IFNA(_xlfn.XLOOKUP(C72,'00_SKU_Master'!$B$2:$B$378,'00_SKU_Master'!$F$2:$F$378,0)*AC72,"")</f>
        <v>#NAME?</v>
      </c>
      <c r="I70" s="552" t="e">
        <f ca="1">_xludf.IFNA(_xlfn.XLOOKUP(C72,'00_SKU_Master'!$B$2:$B$378,'00_SKU_Master'!$F$2:$F$378,0)*AD72,"")</f>
        <v>#NAME?</v>
      </c>
      <c r="J70" s="552" t="e">
        <f ca="1">_xludf.IFNA(_xlfn.XLOOKUP(C72,'00_SKU_Master'!$B$2:$B$378,'00_SKU_Master'!$F$2:$F$378,0)*AE72,"")</f>
        <v>#NAME?</v>
      </c>
      <c r="K70" s="553" t="e">
        <f t="shared" ca="1" si="7"/>
        <v>#NAME?</v>
      </c>
      <c r="L70" s="187" t="e">
        <f>_xlfn.XLOOKUP(C72,'00_SKU_Master'!$B$2:$B$378,'00_SKU_Master'!K:K)</f>
        <v>#VALUE!</v>
      </c>
      <c r="M70" s="14">
        <f t="shared" si="8"/>
        <v>2501</v>
      </c>
      <c r="N70" s="147" t="e">
        <f ca="1">_xludf.IFNA(D72/_xlfn.XLOOKUP($M72,'00_SKU_Master'!$B$2:$B$378,'00_SKU_Master'!$M$2:$M$378,0)/$M$2,"0")</f>
        <v>#NAME?</v>
      </c>
      <c r="O70" s="147" t="e">
        <f ca="1">_xludf.IFNA(E72/_xlfn.XLOOKUP($M72,'00_SKU_Master'!$B$2:$B$378,'00_SKU_Master'!$M$2:$M$378,0)/$M$2,"0")</f>
        <v>#NAME?</v>
      </c>
      <c r="P70" s="147" t="e">
        <f ca="1">_xludf.IFNA(F72/_xlfn.XLOOKUP($M72,'00_SKU_Master'!$B$2:$B$378,'00_SKU_Master'!$M$2:$M$378,0)/$M$2,"0")</f>
        <v>#NAME?</v>
      </c>
      <c r="Q70" s="147" t="e">
        <f ca="1">_xludf.IFNA(G72/_xlfn.XLOOKUP($M72,'00_SKU_Master'!$B$2:$B$378,'00_SKU_Master'!$M$2:$M$378,0)/$M$2,"0")</f>
        <v>#NAME?</v>
      </c>
      <c r="R70" s="147" t="e">
        <f ca="1">_xludf.IFNA(H72/_xlfn.XLOOKUP($M72,'00_SKU_Master'!$B$2:$B$378,'00_SKU_Master'!$M$2:$M$378,0)/$M$2,"0")</f>
        <v>#NAME?</v>
      </c>
      <c r="S70" s="147" t="e">
        <f ca="1">_xludf.IFNA(I72/_xlfn.XLOOKUP($M72,'00_SKU_Master'!$B$2:$B$378,'00_SKU_Master'!$M$2:$M$378,0)/$M$2,"0")</f>
        <v>#NAME?</v>
      </c>
      <c r="T70" s="147" t="e">
        <f ca="1">_xludf.IFNA(J72/_xlfn.XLOOKUP($M72,'00_SKU_Master'!$B$2:$B$378,'00_SKU_Master'!$M$2:$M$378,0)/$M$2,"0")</f>
        <v>#NAME?</v>
      </c>
      <c r="U70" s="147" t="e">
        <f t="shared" ca="1" si="9"/>
        <v>#NAME?</v>
      </c>
      <c r="V70" s="4"/>
      <c r="W70" s="4" t="e">
        <f>_xlfn.XLOOKUP(M72,'00_SKU_Master'!$B$2:$B$378,'00_SKU_Master'!D:D)</f>
        <v>#VALUE!</v>
      </c>
      <c r="X70" s="14">
        <f>'05_Daily_Orders'!B71</f>
        <v>2237</v>
      </c>
      <c r="Y70" s="554"/>
      <c r="Z70" s="555"/>
      <c r="AA70" s="555"/>
      <c r="AB70" s="555"/>
      <c r="AC70" s="555">
        <v>0</v>
      </c>
      <c r="AD70" s="555">
        <v>0</v>
      </c>
      <c r="AE70" s="555">
        <v>0</v>
      </c>
      <c r="AF70" s="553">
        <f t="shared" si="10"/>
        <v>119</v>
      </c>
      <c r="AQ70" s="23">
        <v>0</v>
      </c>
      <c r="AR70" s="23">
        <v>0</v>
      </c>
      <c r="AS70" s="23">
        <f t="shared" si="11"/>
        <v>-56</v>
      </c>
    </row>
    <row r="71" spans="1:45">
      <c r="A71" s="138" t="str">
        <f>_xlfn.XLOOKUP(C73,'00_SKU_Master'!$B$2:$B$378,'00_SKU_Master'!$C$2:$C$378)</f>
        <v>61072F</v>
      </c>
      <c r="B71" s="138"/>
      <c r="C71" s="138">
        <f t="shared" si="6"/>
        <v>2502</v>
      </c>
      <c r="D71" s="552" t="e">
        <f ca="1">_xludf.IFNA(_xlfn.XLOOKUP(C73,'00_SKU_Master'!$B$2:$B$378,'00_SKU_Master'!$F$2:$F$378,0)*Y73,"")</f>
        <v>#NAME?</v>
      </c>
      <c r="E71" s="552" t="e">
        <f ca="1">_xludf.IFNA(_xlfn.XLOOKUP(C73,'00_SKU_Master'!$B$2:$B$378,'00_SKU_Master'!$F$2:$F$378,0)*Z73,"")</f>
        <v>#NAME?</v>
      </c>
      <c r="F71" s="552" t="e">
        <f ca="1">_xludf.IFNA(_xlfn.XLOOKUP(C73,'00_SKU_Master'!$B$2:$B$378,'00_SKU_Master'!$F$2:$F$378,0)*AA73,"")</f>
        <v>#NAME?</v>
      </c>
      <c r="G71" s="552" t="e">
        <f ca="1">_xludf.IFNA(_xlfn.XLOOKUP(C73,'00_SKU_Master'!$B$2:$B$378,'00_SKU_Master'!$F$2:$F$378,0)*AB73,"")</f>
        <v>#NAME?</v>
      </c>
      <c r="H71" s="552" t="e">
        <f ca="1">_xludf.IFNA(_xlfn.XLOOKUP(C73,'00_SKU_Master'!$B$2:$B$378,'00_SKU_Master'!$F$2:$F$378,0)*AC73,"")</f>
        <v>#NAME?</v>
      </c>
      <c r="I71" s="552" t="e">
        <f ca="1">_xludf.IFNA(_xlfn.XLOOKUP(C73,'00_SKU_Master'!$B$2:$B$378,'00_SKU_Master'!$F$2:$F$378,0)*AD73,"")</f>
        <v>#NAME?</v>
      </c>
      <c r="J71" s="552" t="e">
        <f ca="1">_xludf.IFNA(_xlfn.XLOOKUP(C73,'00_SKU_Master'!$B$2:$B$378,'00_SKU_Master'!$F$2:$F$378,0)*AE73,"")</f>
        <v>#NAME?</v>
      </c>
      <c r="K71" s="553" t="e">
        <f t="shared" ca="1" si="7"/>
        <v>#NAME?</v>
      </c>
      <c r="L71" s="187" t="e">
        <f>_xlfn.XLOOKUP(C73,'00_SKU_Master'!$B$2:$B$378,'00_SKU_Master'!K:K)</f>
        <v>#VALUE!</v>
      </c>
      <c r="M71" s="14">
        <f t="shared" si="8"/>
        <v>2502</v>
      </c>
      <c r="N71" s="147" t="e">
        <f ca="1">_xludf.IFNA(D73/_xlfn.XLOOKUP($M73,'00_SKU_Master'!$B$2:$B$378,'00_SKU_Master'!$M$2:$M$378,0)/$M$2,"0")</f>
        <v>#NAME?</v>
      </c>
      <c r="O71" s="147" t="e">
        <f ca="1">_xludf.IFNA(E73/_xlfn.XLOOKUP($M73,'00_SKU_Master'!$B$2:$B$378,'00_SKU_Master'!$M$2:$M$378,0)/$M$2,"0")</f>
        <v>#NAME?</v>
      </c>
      <c r="P71" s="147" t="e">
        <f ca="1">_xludf.IFNA(F73/_xlfn.XLOOKUP($M73,'00_SKU_Master'!$B$2:$B$378,'00_SKU_Master'!$M$2:$M$378,0)/$M$2,"0")</f>
        <v>#NAME?</v>
      </c>
      <c r="Q71" s="147" t="e">
        <f ca="1">_xludf.IFNA(G73/_xlfn.XLOOKUP($M73,'00_SKU_Master'!$B$2:$B$378,'00_SKU_Master'!$M$2:$M$378,0)/$M$2,"0")</f>
        <v>#NAME?</v>
      </c>
      <c r="R71" s="147" t="e">
        <f ca="1">_xludf.IFNA(H73/_xlfn.XLOOKUP($M73,'00_SKU_Master'!$B$2:$B$378,'00_SKU_Master'!$M$2:$M$378,0)/$M$2,"0")</f>
        <v>#NAME?</v>
      </c>
      <c r="S71" s="147" t="e">
        <f ca="1">_xludf.IFNA(I73/_xlfn.XLOOKUP($M73,'00_SKU_Master'!$B$2:$B$378,'00_SKU_Master'!$M$2:$M$378,0)/$M$2,"0")</f>
        <v>#NAME?</v>
      </c>
      <c r="T71" s="147" t="e">
        <f ca="1">_xludf.IFNA(J73/_xlfn.XLOOKUP($M73,'00_SKU_Master'!$B$2:$B$378,'00_SKU_Master'!$M$2:$M$378,0)/$M$2,"0")</f>
        <v>#NAME?</v>
      </c>
      <c r="U71" s="147" t="e">
        <f t="shared" ca="1" si="9"/>
        <v>#NAME?</v>
      </c>
      <c r="V71" s="4"/>
      <c r="W71" s="4" t="e">
        <f>_xlfn.XLOOKUP(M73,'00_SKU_Master'!$B$2:$B$378,'00_SKU_Master'!D:D)</f>
        <v>#VALUE!</v>
      </c>
      <c r="X71" s="14">
        <f>'05_Daily_Orders'!B72</f>
        <v>2500</v>
      </c>
      <c r="Y71" s="554"/>
      <c r="Z71" s="555"/>
      <c r="AA71" s="555"/>
      <c r="AB71" s="555"/>
      <c r="AC71" s="555">
        <v>0</v>
      </c>
      <c r="AD71" s="555">
        <v>0</v>
      </c>
      <c r="AE71" s="555">
        <v>0</v>
      </c>
      <c r="AF71" s="553">
        <f t="shared" si="10"/>
        <v>0</v>
      </c>
      <c r="AQ71" s="23">
        <v>0</v>
      </c>
      <c r="AR71" s="23">
        <v>0</v>
      </c>
      <c r="AS71" s="23">
        <f t="shared" si="11"/>
        <v>0</v>
      </c>
    </row>
    <row r="72" spans="1:45">
      <c r="A72" s="138" t="str">
        <f>_xlfn.XLOOKUP(C74,'00_SKU_Master'!$B$2:$B$378,'00_SKU_Master'!$C$2:$C$378)</f>
        <v>61072F</v>
      </c>
      <c r="B72" s="138"/>
      <c r="C72" s="138">
        <f t="shared" si="6"/>
        <v>2503</v>
      </c>
      <c r="D72" s="552" t="e">
        <f ca="1">_xludf.IFNA(_xlfn.XLOOKUP(C74,'00_SKU_Master'!$B$2:$B$378,'00_SKU_Master'!$F$2:$F$378,0)*Y74,"")</f>
        <v>#NAME?</v>
      </c>
      <c r="E72" s="552" t="e">
        <f ca="1">_xludf.IFNA(_xlfn.XLOOKUP(C74,'00_SKU_Master'!$B$2:$B$378,'00_SKU_Master'!$F$2:$F$378,0)*Z74,"")</f>
        <v>#NAME?</v>
      </c>
      <c r="F72" s="552" t="e">
        <f ca="1">_xludf.IFNA(_xlfn.XLOOKUP(C74,'00_SKU_Master'!$B$2:$B$378,'00_SKU_Master'!$F$2:$F$378,0)*AA74,"")</f>
        <v>#NAME?</v>
      </c>
      <c r="G72" s="552" t="e">
        <f ca="1">_xludf.IFNA(_xlfn.XLOOKUP(C74,'00_SKU_Master'!$B$2:$B$378,'00_SKU_Master'!$F$2:$F$378,0)*AB74,"")</f>
        <v>#NAME?</v>
      </c>
      <c r="H72" s="552" t="e">
        <f ca="1">_xludf.IFNA(_xlfn.XLOOKUP(C74,'00_SKU_Master'!$B$2:$B$378,'00_SKU_Master'!$F$2:$F$378,0)*AC74,"")</f>
        <v>#NAME?</v>
      </c>
      <c r="I72" s="552" t="e">
        <f ca="1">_xludf.IFNA(_xlfn.XLOOKUP(C74,'00_SKU_Master'!$B$2:$B$378,'00_SKU_Master'!$F$2:$F$378,0)*AD74,"")</f>
        <v>#NAME?</v>
      </c>
      <c r="J72" s="552" t="e">
        <f ca="1">_xludf.IFNA(_xlfn.XLOOKUP(C74,'00_SKU_Master'!$B$2:$B$378,'00_SKU_Master'!$F$2:$F$378,0)*AE74,"")</f>
        <v>#NAME?</v>
      </c>
      <c r="K72" s="553" t="e">
        <f t="shared" ca="1" si="7"/>
        <v>#NAME?</v>
      </c>
      <c r="L72" s="187" t="e">
        <f>_xlfn.XLOOKUP(C74,'00_SKU_Master'!$B$2:$B$378,'00_SKU_Master'!K:K)</f>
        <v>#VALUE!</v>
      </c>
      <c r="M72" s="14">
        <f t="shared" si="8"/>
        <v>2503</v>
      </c>
      <c r="N72" s="147" t="e">
        <f ca="1">_xludf.IFNA(D74/_xlfn.XLOOKUP($M74,'00_SKU_Master'!$B$2:$B$378,'00_SKU_Master'!$M$2:$M$378,0)/$M$2,"0")</f>
        <v>#NAME?</v>
      </c>
      <c r="O72" s="147" t="e">
        <f ca="1">_xludf.IFNA(E74/_xlfn.XLOOKUP($M74,'00_SKU_Master'!$B$2:$B$378,'00_SKU_Master'!$M$2:$M$378,0)/$M$2,"0")</f>
        <v>#NAME?</v>
      </c>
      <c r="P72" s="147" t="e">
        <f ca="1">_xludf.IFNA(F74/_xlfn.XLOOKUP($M74,'00_SKU_Master'!$B$2:$B$378,'00_SKU_Master'!$M$2:$M$378,0)/$M$2,"0")</f>
        <v>#NAME?</v>
      </c>
      <c r="Q72" s="147" t="e">
        <f ca="1">_xludf.IFNA(G74/_xlfn.XLOOKUP($M74,'00_SKU_Master'!$B$2:$B$378,'00_SKU_Master'!$M$2:$M$378,0)/$M$2,"0")</f>
        <v>#NAME?</v>
      </c>
      <c r="R72" s="147" t="e">
        <f ca="1">_xludf.IFNA(H74/_xlfn.XLOOKUP($M74,'00_SKU_Master'!$B$2:$B$378,'00_SKU_Master'!$M$2:$M$378,0)/$M$2,"0")</f>
        <v>#NAME?</v>
      </c>
      <c r="S72" s="147" t="e">
        <f ca="1">_xludf.IFNA(I74/_xlfn.XLOOKUP($M74,'00_SKU_Master'!$B$2:$B$378,'00_SKU_Master'!$M$2:$M$378,0)/$M$2,"0")</f>
        <v>#NAME?</v>
      </c>
      <c r="T72" s="147" t="e">
        <f ca="1">_xludf.IFNA(J74/_xlfn.XLOOKUP($M74,'00_SKU_Master'!$B$2:$B$378,'00_SKU_Master'!$M$2:$M$378,0)/$M$2,"0")</f>
        <v>#NAME?</v>
      </c>
      <c r="U72" s="147" t="e">
        <f t="shared" ca="1" si="9"/>
        <v>#NAME?</v>
      </c>
      <c r="V72" s="4"/>
      <c r="W72" s="4" t="e">
        <f>_xlfn.XLOOKUP(M74,'00_SKU_Master'!$B$2:$B$378,'00_SKU_Master'!D:D)</f>
        <v>#VALUE!</v>
      </c>
      <c r="X72" s="14">
        <f>'05_Daily_Orders'!B73</f>
        <v>2501</v>
      </c>
      <c r="Y72" s="554"/>
      <c r="Z72" s="555"/>
      <c r="AA72" s="555"/>
      <c r="AB72" s="555"/>
      <c r="AC72" s="555">
        <v>56</v>
      </c>
      <c r="AD72" s="555">
        <v>0</v>
      </c>
      <c r="AE72" s="555">
        <v>63</v>
      </c>
      <c r="AF72" s="553">
        <f t="shared" si="10"/>
        <v>149</v>
      </c>
      <c r="AQ72" s="23">
        <v>56</v>
      </c>
      <c r="AR72" s="23">
        <v>0</v>
      </c>
      <c r="AS72" s="23">
        <f t="shared" si="11"/>
        <v>-67</v>
      </c>
    </row>
    <row r="73" spans="1:45">
      <c r="A73" s="138" t="str">
        <f>_xlfn.XLOOKUP(C75,'00_SKU_Master'!$B$2:$B$378,'00_SKU_Master'!$C$2:$C$378)</f>
        <v>61014F</v>
      </c>
      <c r="B73" s="138"/>
      <c r="C73" s="138">
        <f t="shared" si="6"/>
        <v>2504</v>
      </c>
      <c r="D73" s="552" t="e">
        <f ca="1">_xludf.IFNA(_xlfn.XLOOKUP(C75,'00_SKU_Master'!$B$2:$B$378,'00_SKU_Master'!$F$2:$F$378,0)*Y75,"")</f>
        <v>#NAME?</v>
      </c>
      <c r="E73" s="552" t="e">
        <f ca="1">_xludf.IFNA(_xlfn.XLOOKUP(C75,'00_SKU_Master'!$B$2:$B$378,'00_SKU_Master'!$F$2:$F$378,0)*Z75,"")</f>
        <v>#NAME?</v>
      </c>
      <c r="F73" s="552" t="e">
        <f ca="1">_xludf.IFNA(_xlfn.XLOOKUP(C75,'00_SKU_Master'!$B$2:$B$378,'00_SKU_Master'!$F$2:$F$378,0)*AA75,"")</f>
        <v>#NAME?</v>
      </c>
      <c r="G73" s="552" t="e">
        <f ca="1">_xludf.IFNA(_xlfn.XLOOKUP(C75,'00_SKU_Master'!$B$2:$B$378,'00_SKU_Master'!$F$2:$F$378,0)*AB75,"")</f>
        <v>#NAME?</v>
      </c>
      <c r="H73" s="552" t="e">
        <f ca="1">_xludf.IFNA(_xlfn.XLOOKUP(C75,'00_SKU_Master'!$B$2:$B$378,'00_SKU_Master'!$F$2:$F$378,0)*AC75,"")</f>
        <v>#NAME?</v>
      </c>
      <c r="I73" s="552" t="e">
        <f ca="1">_xludf.IFNA(_xlfn.XLOOKUP(C75,'00_SKU_Master'!$B$2:$B$378,'00_SKU_Master'!$F$2:$F$378,0)*AD75,"")</f>
        <v>#NAME?</v>
      </c>
      <c r="J73" s="552" t="e">
        <f ca="1">_xludf.IFNA(_xlfn.XLOOKUP(C75,'00_SKU_Master'!$B$2:$B$378,'00_SKU_Master'!$F$2:$F$378,0)*AE75,"")</f>
        <v>#NAME?</v>
      </c>
      <c r="K73" s="553" t="e">
        <f t="shared" ca="1" si="7"/>
        <v>#NAME?</v>
      </c>
      <c r="L73" s="187" t="e">
        <f>_xlfn.XLOOKUP(C75,'00_SKU_Master'!$B$2:$B$378,'00_SKU_Master'!K:K)</f>
        <v>#VALUE!</v>
      </c>
      <c r="M73" s="14">
        <f t="shared" si="8"/>
        <v>2504</v>
      </c>
      <c r="N73" s="147" t="e">
        <f ca="1">_xludf.IFNA(D75/_xlfn.XLOOKUP($M75,'00_SKU_Master'!$B$2:$B$378,'00_SKU_Master'!$M$2:$M$378,0)/$M$2,"0")</f>
        <v>#NAME?</v>
      </c>
      <c r="O73" s="147" t="e">
        <f ca="1">_xludf.IFNA(E75/_xlfn.XLOOKUP($M75,'00_SKU_Master'!$B$2:$B$378,'00_SKU_Master'!$M$2:$M$378,0)/$M$2,"0")</f>
        <v>#NAME?</v>
      </c>
      <c r="P73" s="147" t="e">
        <f ca="1">_xludf.IFNA(F75/_xlfn.XLOOKUP($M75,'00_SKU_Master'!$B$2:$B$378,'00_SKU_Master'!$M$2:$M$378,0)/$M$2,"0")</f>
        <v>#NAME?</v>
      </c>
      <c r="Q73" s="147" t="e">
        <f ca="1">_xludf.IFNA(G75/_xlfn.XLOOKUP($M75,'00_SKU_Master'!$B$2:$B$378,'00_SKU_Master'!$M$2:$M$378,0)/$M$2,"0")</f>
        <v>#NAME?</v>
      </c>
      <c r="R73" s="147" t="e">
        <f ca="1">_xludf.IFNA(H75/_xlfn.XLOOKUP($M75,'00_SKU_Master'!$B$2:$B$378,'00_SKU_Master'!$M$2:$M$378,0)/$M$2,"0")</f>
        <v>#NAME?</v>
      </c>
      <c r="S73" s="147" t="e">
        <f ca="1">_xludf.IFNA(I75/_xlfn.XLOOKUP($M75,'00_SKU_Master'!$B$2:$B$378,'00_SKU_Master'!$M$2:$M$378,0)/$M$2,"0")</f>
        <v>#NAME?</v>
      </c>
      <c r="T73" s="147" t="e">
        <f ca="1">_xludf.IFNA(J75/_xlfn.XLOOKUP($M75,'00_SKU_Master'!$B$2:$B$378,'00_SKU_Master'!$M$2:$M$378,0)/$M$2,"0")</f>
        <v>#NAME?</v>
      </c>
      <c r="U73" s="147" t="e">
        <f t="shared" ca="1" si="9"/>
        <v>#NAME?</v>
      </c>
      <c r="V73" s="4"/>
      <c r="W73" s="4" t="e">
        <f>_xlfn.XLOOKUP(M75,'00_SKU_Master'!$B$2:$B$378,'00_SKU_Master'!D:D)</f>
        <v>#VALUE!</v>
      </c>
      <c r="X73" s="14">
        <f>'05_Daily_Orders'!B74</f>
        <v>2502</v>
      </c>
      <c r="Y73" s="554"/>
      <c r="Z73" s="555"/>
      <c r="AA73" s="555"/>
      <c r="AB73" s="555"/>
      <c r="AC73" s="555">
        <v>0</v>
      </c>
      <c r="AD73" s="555">
        <v>0</v>
      </c>
      <c r="AE73" s="555">
        <v>0</v>
      </c>
      <c r="AF73" s="553">
        <f t="shared" si="10"/>
        <v>0</v>
      </c>
      <c r="AQ73" s="23">
        <v>0</v>
      </c>
      <c r="AR73" s="23">
        <v>0</v>
      </c>
      <c r="AS73" s="23">
        <f t="shared" si="11"/>
        <v>0</v>
      </c>
    </row>
    <row r="74" spans="1:45">
      <c r="A74" s="138" t="str">
        <f>_xlfn.XLOOKUP(C76,'00_SKU_Master'!$B$2:$B$378,'00_SKU_Master'!$C$2:$C$378)</f>
        <v>61050F</v>
      </c>
      <c r="B74" s="138"/>
      <c r="C74" s="138">
        <f t="shared" si="6"/>
        <v>2505</v>
      </c>
      <c r="D74" s="552" t="e">
        <f ca="1">_xludf.IFNA(_xlfn.XLOOKUP(C76,'00_SKU_Master'!$B$2:$B$378,'00_SKU_Master'!$F$2:$F$378,0)*Y76,"")</f>
        <v>#NAME?</v>
      </c>
      <c r="E74" s="552" t="e">
        <f ca="1">_xludf.IFNA(_xlfn.XLOOKUP(C76,'00_SKU_Master'!$B$2:$B$378,'00_SKU_Master'!$F$2:$F$378,0)*Z76,"")</f>
        <v>#NAME?</v>
      </c>
      <c r="F74" s="552" t="e">
        <f ca="1">_xludf.IFNA(_xlfn.XLOOKUP(C76,'00_SKU_Master'!$B$2:$B$378,'00_SKU_Master'!$F$2:$F$378,0)*AA76,"")</f>
        <v>#NAME?</v>
      </c>
      <c r="G74" s="552" t="e">
        <f ca="1">_xludf.IFNA(_xlfn.XLOOKUP(C76,'00_SKU_Master'!$B$2:$B$378,'00_SKU_Master'!$F$2:$F$378,0)*AB76,"")</f>
        <v>#NAME?</v>
      </c>
      <c r="H74" s="552" t="e">
        <f ca="1">_xludf.IFNA(_xlfn.XLOOKUP(C76,'00_SKU_Master'!$B$2:$B$378,'00_SKU_Master'!$F$2:$F$378,0)*AC76,"")</f>
        <v>#NAME?</v>
      </c>
      <c r="I74" s="552" t="e">
        <f ca="1">_xludf.IFNA(_xlfn.XLOOKUP(C76,'00_SKU_Master'!$B$2:$B$378,'00_SKU_Master'!$F$2:$F$378,0)*AD76,"")</f>
        <v>#NAME?</v>
      </c>
      <c r="J74" s="552" t="e">
        <f ca="1">_xludf.IFNA(_xlfn.XLOOKUP(C76,'00_SKU_Master'!$B$2:$B$378,'00_SKU_Master'!$F$2:$F$378,0)*AE76,"")</f>
        <v>#NAME?</v>
      </c>
      <c r="K74" s="553" t="e">
        <f t="shared" ca="1" si="7"/>
        <v>#NAME?</v>
      </c>
      <c r="L74" s="187" t="e">
        <f>_xlfn.XLOOKUP(C76,'00_SKU_Master'!$B$2:$B$378,'00_SKU_Master'!K:K)</f>
        <v>#VALUE!</v>
      </c>
      <c r="M74" s="14">
        <f t="shared" si="8"/>
        <v>2505</v>
      </c>
      <c r="N74" s="147" t="e">
        <f ca="1">_xludf.IFNA(D76/_xlfn.XLOOKUP($M76,'00_SKU_Master'!$B$2:$B$378,'00_SKU_Master'!$M$2:$M$378,0)/$M$2,"0")</f>
        <v>#NAME?</v>
      </c>
      <c r="O74" s="147" t="e">
        <f ca="1">_xludf.IFNA(E76/_xlfn.XLOOKUP($M76,'00_SKU_Master'!$B$2:$B$378,'00_SKU_Master'!$M$2:$M$378,0)/$M$2,"0")</f>
        <v>#NAME?</v>
      </c>
      <c r="P74" s="147" t="e">
        <f ca="1">_xludf.IFNA(F76/_xlfn.XLOOKUP($M76,'00_SKU_Master'!$B$2:$B$378,'00_SKU_Master'!$M$2:$M$378,0)/$M$2,"0")</f>
        <v>#NAME?</v>
      </c>
      <c r="Q74" s="147" t="e">
        <f ca="1">_xludf.IFNA(G76/_xlfn.XLOOKUP($M76,'00_SKU_Master'!$B$2:$B$378,'00_SKU_Master'!$M$2:$M$378,0)/$M$2,"0")</f>
        <v>#NAME?</v>
      </c>
      <c r="R74" s="147" t="e">
        <f ca="1">_xludf.IFNA(H76/_xlfn.XLOOKUP($M76,'00_SKU_Master'!$B$2:$B$378,'00_SKU_Master'!$M$2:$M$378,0)/$M$2,"0")</f>
        <v>#NAME?</v>
      </c>
      <c r="S74" s="147" t="e">
        <f ca="1">_xludf.IFNA(I76/_xlfn.XLOOKUP($M76,'00_SKU_Master'!$B$2:$B$378,'00_SKU_Master'!$M$2:$M$378,0)/$M$2,"0")</f>
        <v>#NAME?</v>
      </c>
      <c r="T74" s="147" t="e">
        <f ca="1">_xludf.IFNA(J76/_xlfn.XLOOKUP($M76,'00_SKU_Master'!$B$2:$B$378,'00_SKU_Master'!$M$2:$M$378,0)/$M$2,"0")</f>
        <v>#NAME?</v>
      </c>
      <c r="U74" s="147" t="e">
        <f t="shared" ca="1" si="9"/>
        <v>#NAME?</v>
      </c>
      <c r="V74" s="4"/>
      <c r="W74" s="4" t="e">
        <f>_xlfn.XLOOKUP(M76,'00_SKU_Master'!$B$2:$B$378,'00_SKU_Master'!D:D)</f>
        <v>#VALUE!</v>
      </c>
      <c r="X74" s="14">
        <f>'05_Daily_Orders'!B75</f>
        <v>2503</v>
      </c>
      <c r="Y74" s="554"/>
      <c r="Z74" s="555"/>
      <c r="AA74" s="555"/>
      <c r="AB74" s="555"/>
      <c r="AC74" s="555">
        <v>73</v>
      </c>
      <c r="AD74" s="555">
        <v>0</v>
      </c>
      <c r="AE74" s="555">
        <v>76</v>
      </c>
      <c r="AF74" s="553">
        <f t="shared" si="10"/>
        <v>118</v>
      </c>
      <c r="AQ74" s="23">
        <v>67</v>
      </c>
      <c r="AR74" s="23">
        <v>0</v>
      </c>
      <c r="AS74" s="23">
        <f t="shared" si="11"/>
        <v>-46</v>
      </c>
    </row>
    <row r="75" spans="1:45">
      <c r="A75" s="138">
        <f>_xlfn.XLOOKUP(C77,'00_SKU_Master'!$B$2:$B$378,'00_SKU_Master'!$C$2:$C$378)</f>
        <v>61050</v>
      </c>
      <c r="B75" s="138"/>
      <c r="C75" s="138">
        <f t="shared" si="6"/>
        <v>2506</v>
      </c>
      <c r="D75" s="552" t="e">
        <f ca="1">_xludf.IFNA(_xlfn.XLOOKUP(C77,'00_SKU_Master'!$B$2:$B$378,'00_SKU_Master'!$F$2:$F$378,0)*Y77,"")</f>
        <v>#NAME?</v>
      </c>
      <c r="E75" s="552" t="e">
        <f ca="1">_xludf.IFNA(_xlfn.XLOOKUP(C77,'00_SKU_Master'!$B$2:$B$378,'00_SKU_Master'!$F$2:$F$378,0)*Z77,"")</f>
        <v>#NAME?</v>
      </c>
      <c r="F75" s="552" t="e">
        <f ca="1">_xludf.IFNA(_xlfn.XLOOKUP(C77,'00_SKU_Master'!$B$2:$B$378,'00_SKU_Master'!$F$2:$F$378,0)*AA77,"")</f>
        <v>#NAME?</v>
      </c>
      <c r="G75" s="552" t="e">
        <f ca="1">_xludf.IFNA(_xlfn.XLOOKUP(C77,'00_SKU_Master'!$B$2:$B$378,'00_SKU_Master'!$F$2:$F$378,0)*AB77,"")</f>
        <v>#NAME?</v>
      </c>
      <c r="H75" s="552" t="e">
        <f ca="1">_xludf.IFNA(_xlfn.XLOOKUP(C77,'00_SKU_Master'!$B$2:$B$378,'00_SKU_Master'!$F$2:$F$378,0)*AC77,"")</f>
        <v>#NAME?</v>
      </c>
      <c r="I75" s="552" t="e">
        <f ca="1">_xludf.IFNA(_xlfn.XLOOKUP(C77,'00_SKU_Master'!$B$2:$B$378,'00_SKU_Master'!$F$2:$F$378,0)*AD77,"")</f>
        <v>#NAME?</v>
      </c>
      <c r="J75" s="552" t="e">
        <f ca="1">_xludf.IFNA(_xlfn.XLOOKUP(C77,'00_SKU_Master'!$B$2:$B$378,'00_SKU_Master'!$F$2:$F$378,0)*AE77,"")</f>
        <v>#NAME?</v>
      </c>
      <c r="K75" s="553" t="e">
        <f t="shared" ca="1" si="7"/>
        <v>#NAME?</v>
      </c>
      <c r="L75" s="187" t="e">
        <f>_xlfn.XLOOKUP(C77,'00_SKU_Master'!$B$2:$B$378,'00_SKU_Master'!K:K)</f>
        <v>#VALUE!</v>
      </c>
      <c r="M75" s="14">
        <f t="shared" si="8"/>
        <v>2506</v>
      </c>
      <c r="N75" s="147" t="e">
        <f ca="1">_xludf.IFNA(D77/_xlfn.XLOOKUP($M77,'00_SKU_Master'!$B$2:$B$378,'00_SKU_Master'!$M$2:$M$378,0)/$M$2,"0")</f>
        <v>#NAME?</v>
      </c>
      <c r="O75" s="147" t="e">
        <f ca="1">_xludf.IFNA(E77/_xlfn.XLOOKUP($M77,'00_SKU_Master'!$B$2:$B$378,'00_SKU_Master'!$M$2:$M$378,0)/$M$2,"0")</f>
        <v>#NAME?</v>
      </c>
      <c r="P75" s="147" t="e">
        <f ca="1">_xludf.IFNA(F77/_xlfn.XLOOKUP($M77,'00_SKU_Master'!$B$2:$B$378,'00_SKU_Master'!$M$2:$M$378,0)/$M$2,"0")</f>
        <v>#NAME?</v>
      </c>
      <c r="Q75" s="147" t="e">
        <f ca="1">_xludf.IFNA(G77/_xlfn.XLOOKUP($M77,'00_SKU_Master'!$B$2:$B$378,'00_SKU_Master'!$M$2:$M$378,0)/$M$2,"0")</f>
        <v>#NAME?</v>
      </c>
      <c r="R75" s="147" t="e">
        <f ca="1">_xludf.IFNA(H77/_xlfn.XLOOKUP($M77,'00_SKU_Master'!$B$2:$B$378,'00_SKU_Master'!$M$2:$M$378,0)/$M$2,"0")</f>
        <v>#NAME?</v>
      </c>
      <c r="S75" s="147" t="e">
        <f ca="1">_xludf.IFNA(I77/_xlfn.XLOOKUP($M77,'00_SKU_Master'!$B$2:$B$378,'00_SKU_Master'!$M$2:$M$378,0)/$M$2,"0")</f>
        <v>#NAME?</v>
      </c>
      <c r="T75" s="147" t="e">
        <f ca="1">_xludf.IFNA(J77/_xlfn.XLOOKUP($M77,'00_SKU_Master'!$B$2:$B$378,'00_SKU_Master'!$M$2:$M$378,0)/$M$2,"0")</f>
        <v>#NAME?</v>
      </c>
      <c r="U75" s="147" t="e">
        <f t="shared" ca="1" si="9"/>
        <v>#NAME?</v>
      </c>
      <c r="V75" s="4"/>
      <c r="W75" s="4" t="e">
        <f>_xlfn.XLOOKUP(M77,'00_SKU_Master'!$B$2:$B$378,'00_SKU_Master'!D:D)</f>
        <v>#VALUE!</v>
      </c>
      <c r="X75" s="14">
        <f>'05_Daily_Orders'!B76</f>
        <v>2504</v>
      </c>
      <c r="Y75" s="554"/>
      <c r="Z75" s="555"/>
      <c r="AA75" s="555"/>
      <c r="AB75" s="555"/>
      <c r="AC75" s="555">
        <v>0</v>
      </c>
      <c r="AD75" s="555">
        <v>0</v>
      </c>
      <c r="AE75" s="555">
        <v>0</v>
      </c>
      <c r="AF75" s="553">
        <f t="shared" si="10"/>
        <v>0</v>
      </c>
      <c r="AQ75" s="23">
        <v>0</v>
      </c>
      <c r="AR75" s="23">
        <v>0</v>
      </c>
      <c r="AS75" s="23">
        <f t="shared" si="11"/>
        <v>0</v>
      </c>
    </row>
    <row r="76" spans="1:45">
      <c r="A76" s="138" t="str">
        <f>_xlfn.XLOOKUP(C78,'00_SKU_Master'!$B$2:$B$378,'00_SKU_Master'!$C$2:$C$378)</f>
        <v>61014F</v>
      </c>
      <c r="B76" s="138"/>
      <c r="C76" s="138">
        <f t="shared" si="6"/>
        <v>2508</v>
      </c>
      <c r="D76" s="552" t="e">
        <f ca="1">_xludf.IFNA(_xlfn.XLOOKUP(C78,'00_SKU_Master'!$B$2:$B$378,'00_SKU_Master'!$F$2:$F$378,0)*Y78,"")</f>
        <v>#NAME?</v>
      </c>
      <c r="E76" s="552" t="e">
        <f ca="1">_xludf.IFNA(_xlfn.XLOOKUP(C78,'00_SKU_Master'!$B$2:$B$378,'00_SKU_Master'!$F$2:$F$378,0)*Z78,"")</f>
        <v>#NAME?</v>
      </c>
      <c r="F76" s="552" t="e">
        <f ca="1">_xludf.IFNA(_xlfn.XLOOKUP(C78,'00_SKU_Master'!$B$2:$B$378,'00_SKU_Master'!$F$2:$F$378,0)*AA78,"")</f>
        <v>#NAME?</v>
      </c>
      <c r="G76" s="552" t="e">
        <f ca="1">_xludf.IFNA(_xlfn.XLOOKUP(C78,'00_SKU_Master'!$B$2:$B$378,'00_SKU_Master'!$F$2:$F$378,0)*AB78,"")</f>
        <v>#NAME?</v>
      </c>
      <c r="H76" s="552" t="e">
        <f ca="1">_xludf.IFNA(_xlfn.XLOOKUP(C78,'00_SKU_Master'!$B$2:$B$378,'00_SKU_Master'!$F$2:$F$378,0)*AC78,"")</f>
        <v>#NAME?</v>
      </c>
      <c r="I76" s="552" t="e">
        <f ca="1">_xludf.IFNA(_xlfn.XLOOKUP(C78,'00_SKU_Master'!$B$2:$B$378,'00_SKU_Master'!$F$2:$F$378,0)*AD78,"")</f>
        <v>#NAME?</v>
      </c>
      <c r="J76" s="552" t="e">
        <f ca="1">_xludf.IFNA(_xlfn.XLOOKUP(C78,'00_SKU_Master'!$B$2:$B$378,'00_SKU_Master'!$F$2:$F$378,0)*AE78,"")</f>
        <v>#NAME?</v>
      </c>
      <c r="K76" s="553" t="e">
        <f t="shared" ca="1" si="7"/>
        <v>#NAME?</v>
      </c>
      <c r="L76" s="187" t="e">
        <f>_xlfn.XLOOKUP(C78,'00_SKU_Master'!$B$2:$B$378,'00_SKU_Master'!K:K)</f>
        <v>#VALUE!</v>
      </c>
      <c r="M76" s="14">
        <f t="shared" si="8"/>
        <v>2508</v>
      </c>
      <c r="N76" s="147" t="e">
        <f ca="1">_xludf.IFNA(D78/_xlfn.XLOOKUP($M78,'00_SKU_Master'!$B$2:$B$378,'00_SKU_Master'!$M$2:$M$378,0)/$M$2,"0")</f>
        <v>#NAME?</v>
      </c>
      <c r="O76" s="147" t="e">
        <f ca="1">_xludf.IFNA(E78/_xlfn.XLOOKUP($M78,'00_SKU_Master'!$B$2:$B$378,'00_SKU_Master'!$M$2:$M$378,0)/$M$2,"0")</f>
        <v>#NAME?</v>
      </c>
      <c r="P76" s="147" t="e">
        <f ca="1">_xludf.IFNA(F78/_xlfn.XLOOKUP($M78,'00_SKU_Master'!$B$2:$B$378,'00_SKU_Master'!$M$2:$M$378,0)/$M$2,"0")</f>
        <v>#NAME?</v>
      </c>
      <c r="Q76" s="147" t="e">
        <f ca="1">_xludf.IFNA(G78/_xlfn.XLOOKUP($M78,'00_SKU_Master'!$B$2:$B$378,'00_SKU_Master'!$M$2:$M$378,0)/$M$2,"0")</f>
        <v>#NAME?</v>
      </c>
      <c r="R76" s="147" t="e">
        <f ca="1">_xludf.IFNA(H78/_xlfn.XLOOKUP($M78,'00_SKU_Master'!$B$2:$B$378,'00_SKU_Master'!$M$2:$M$378,0)/$M$2,"0")</f>
        <v>#NAME?</v>
      </c>
      <c r="S76" s="147" t="e">
        <f ca="1">_xludf.IFNA(I78/_xlfn.XLOOKUP($M78,'00_SKU_Master'!$B$2:$B$378,'00_SKU_Master'!$M$2:$M$378,0)/$M$2,"0")</f>
        <v>#NAME?</v>
      </c>
      <c r="T76" s="147" t="e">
        <f ca="1">_xludf.IFNA(J78/_xlfn.XLOOKUP($M78,'00_SKU_Master'!$B$2:$B$378,'00_SKU_Master'!$M$2:$M$378,0)/$M$2,"0")</f>
        <v>#NAME?</v>
      </c>
      <c r="U76" s="147" t="e">
        <f t="shared" ca="1" si="9"/>
        <v>#NAME?</v>
      </c>
      <c r="V76" s="4"/>
      <c r="W76" s="4" t="e">
        <f>_xlfn.XLOOKUP(M78,'00_SKU_Master'!$B$2:$B$378,'00_SKU_Master'!D:D)</f>
        <v>#VALUE!</v>
      </c>
      <c r="X76" s="14">
        <f>'05_Daily_Orders'!B77</f>
        <v>2505</v>
      </c>
      <c r="Y76" s="554"/>
      <c r="Z76" s="555"/>
      <c r="AA76" s="555"/>
      <c r="AB76" s="555"/>
      <c r="AC76" s="555">
        <v>38</v>
      </c>
      <c r="AD76" s="555">
        <v>0</v>
      </c>
      <c r="AE76" s="555">
        <v>80</v>
      </c>
      <c r="AF76" s="553">
        <f t="shared" si="10"/>
        <v>106</v>
      </c>
      <c r="AQ76" s="23">
        <v>46</v>
      </c>
      <c r="AR76" s="23">
        <v>0</v>
      </c>
      <c r="AS76" s="23">
        <f t="shared" si="11"/>
        <v>-44</v>
      </c>
    </row>
    <row r="77" spans="1:45">
      <c r="A77" s="138">
        <f>_xlfn.XLOOKUP(C79,'00_SKU_Master'!$B$2:$B$378,'00_SKU_Master'!$C$2:$C$378)</f>
        <v>61014</v>
      </c>
      <c r="B77" s="138"/>
      <c r="C77" s="138">
        <f t="shared" si="6"/>
        <v>2509</v>
      </c>
      <c r="D77" s="552" t="e">
        <f ca="1">_xludf.IFNA(_xlfn.XLOOKUP(C79,'00_SKU_Master'!$B$2:$B$378,'00_SKU_Master'!$F$2:$F$378,0)*Y79,"")</f>
        <v>#NAME?</v>
      </c>
      <c r="E77" s="552" t="e">
        <f ca="1">_xludf.IFNA(_xlfn.XLOOKUP(C79,'00_SKU_Master'!$B$2:$B$378,'00_SKU_Master'!$F$2:$F$378,0)*Z79,"")</f>
        <v>#NAME?</v>
      </c>
      <c r="F77" s="552" t="e">
        <f ca="1">_xludf.IFNA(_xlfn.XLOOKUP(C79,'00_SKU_Master'!$B$2:$B$378,'00_SKU_Master'!$F$2:$F$378,0)*AA79,"")</f>
        <v>#NAME?</v>
      </c>
      <c r="G77" s="552" t="e">
        <f ca="1">_xludf.IFNA(_xlfn.XLOOKUP(C79,'00_SKU_Master'!$B$2:$B$378,'00_SKU_Master'!$F$2:$F$378,0)*AB79,"")</f>
        <v>#NAME?</v>
      </c>
      <c r="H77" s="552" t="e">
        <f ca="1">_xludf.IFNA(_xlfn.XLOOKUP(C79,'00_SKU_Master'!$B$2:$B$378,'00_SKU_Master'!$F$2:$F$378,0)*AC79,"")</f>
        <v>#NAME?</v>
      </c>
      <c r="I77" s="552" t="e">
        <f ca="1">_xludf.IFNA(_xlfn.XLOOKUP(C79,'00_SKU_Master'!$B$2:$B$378,'00_SKU_Master'!$F$2:$F$378,0)*AD79,"")</f>
        <v>#NAME?</v>
      </c>
      <c r="J77" s="552" t="e">
        <f ca="1">_xludf.IFNA(_xlfn.XLOOKUP(C79,'00_SKU_Master'!$B$2:$B$378,'00_SKU_Master'!$F$2:$F$378,0)*AE79,"")</f>
        <v>#NAME?</v>
      </c>
      <c r="K77" s="553" t="e">
        <f t="shared" ca="1" si="7"/>
        <v>#NAME?</v>
      </c>
      <c r="L77" s="187" t="e">
        <f>_xlfn.XLOOKUP(C79,'00_SKU_Master'!$B$2:$B$378,'00_SKU_Master'!K:K)</f>
        <v>#VALUE!</v>
      </c>
      <c r="M77" s="14">
        <f t="shared" si="8"/>
        <v>2509</v>
      </c>
      <c r="N77" s="147" t="e">
        <f ca="1">_xludf.IFNA(D79/_xlfn.XLOOKUP($M79,'00_SKU_Master'!$B$2:$B$378,'00_SKU_Master'!$M$2:$M$378,0)/$M$2,"0")</f>
        <v>#NAME?</v>
      </c>
      <c r="O77" s="147" t="e">
        <f ca="1">_xludf.IFNA(E79/_xlfn.XLOOKUP($M79,'00_SKU_Master'!$B$2:$B$378,'00_SKU_Master'!$M$2:$M$378,0)/$M$2,"0")</f>
        <v>#NAME?</v>
      </c>
      <c r="P77" s="147" t="e">
        <f ca="1">_xludf.IFNA(F79/_xlfn.XLOOKUP($M79,'00_SKU_Master'!$B$2:$B$378,'00_SKU_Master'!$M$2:$M$378,0)/$M$2,"0")</f>
        <v>#NAME?</v>
      </c>
      <c r="Q77" s="147" t="e">
        <f ca="1">_xludf.IFNA(G79/_xlfn.XLOOKUP($M79,'00_SKU_Master'!$B$2:$B$378,'00_SKU_Master'!$M$2:$M$378,0)/$M$2,"0")</f>
        <v>#NAME?</v>
      </c>
      <c r="R77" s="147" t="e">
        <f ca="1">_xludf.IFNA(H79/_xlfn.XLOOKUP($M79,'00_SKU_Master'!$B$2:$B$378,'00_SKU_Master'!$M$2:$M$378,0)/$M$2,"0")</f>
        <v>#NAME?</v>
      </c>
      <c r="S77" s="147" t="e">
        <f ca="1">_xludf.IFNA(I79/_xlfn.XLOOKUP($M79,'00_SKU_Master'!$B$2:$B$378,'00_SKU_Master'!$M$2:$M$378,0)/$M$2,"0")</f>
        <v>#NAME?</v>
      </c>
      <c r="T77" s="147" t="e">
        <f ca="1">_xludf.IFNA(J79/_xlfn.XLOOKUP($M79,'00_SKU_Master'!$B$2:$B$378,'00_SKU_Master'!$M$2:$M$378,0)/$M$2,"0")</f>
        <v>#NAME?</v>
      </c>
      <c r="U77" s="147" t="e">
        <f t="shared" ca="1" si="9"/>
        <v>#NAME?</v>
      </c>
      <c r="V77" s="4"/>
      <c r="W77" s="4" t="e">
        <f>_xlfn.XLOOKUP(M79,'00_SKU_Master'!$B$2:$B$378,'00_SKU_Master'!D:D)</f>
        <v>#VALUE!</v>
      </c>
      <c r="X77" s="14">
        <f>'05_Daily_Orders'!B78</f>
        <v>2506</v>
      </c>
      <c r="Y77" s="554"/>
      <c r="Z77" s="555"/>
      <c r="AA77" s="555"/>
      <c r="AB77" s="555"/>
      <c r="AC77" s="555">
        <v>0</v>
      </c>
      <c r="AD77" s="555">
        <v>0</v>
      </c>
      <c r="AE77" s="555">
        <v>0</v>
      </c>
      <c r="AF77" s="553">
        <f t="shared" si="10"/>
        <v>124</v>
      </c>
      <c r="AQ77" s="23">
        <v>0</v>
      </c>
      <c r="AR77" s="23">
        <v>0</v>
      </c>
      <c r="AS77" s="23">
        <f t="shared" si="11"/>
        <v>-63</v>
      </c>
    </row>
    <row r="78" spans="1:45">
      <c r="A78" s="138">
        <f>_xlfn.XLOOKUP(C80,'00_SKU_Master'!$B$2:$B$378,'00_SKU_Master'!$C$2:$C$378)</f>
        <v>61010</v>
      </c>
      <c r="B78" s="138"/>
      <c r="C78" s="138">
        <f t="shared" si="6"/>
        <v>2510</v>
      </c>
      <c r="D78" s="552" t="e">
        <f ca="1">_xludf.IFNA(_xlfn.XLOOKUP(C80,'00_SKU_Master'!$B$2:$B$378,'00_SKU_Master'!$F$2:$F$378,0)*Y80,"")</f>
        <v>#NAME?</v>
      </c>
      <c r="E78" s="552" t="e">
        <f ca="1">_xludf.IFNA(_xlfn.XLOOKUP(C80,'00_SKU_Master'!$B$2:$B$378,'00_SKU_Master'!$F$2:$F$378,0)*Z80,"")</f>
        <v>#NAME?</v>
      </c>
      <c r="F78" s="552" t="e">
        <f ca="1">_xludf.IFNA(_xlfn.XLOOKUP(C80,'00_SKU_Master'!$B$2:$B$378,'00_SKU_Master'!$F$2:$F$378,0)*AA80,"")</f>
        <v>#NAME?</v>
      </c>
      <c r="G78" s="552" t="e">
        <f ca="1">_xludf.IFNA(_xlfn.XLOOKUP(C80,'00_SKU_Master'!$B$2:$B$378,'00_SKU_Master'!$F$2:$F$378,0)*AB80,"")</f>
        <v>#NAME?</v>
      </c>
      <c r="H78" s="552" t="e">
        <f ca="1">_xludf.IFNA(_xlfn.XLOOKUP(C80,'00_SKU_Master'!$B$2:$B$378,'00_SKU_Master'!$F$2:$F$378,0)*AC80,"")</f>
        <v>#NAME?</v>
      </c>
      <c r="I78" s="552" t="e">
        <f ca="1">_xludf.IFNA(_xlfn.XLOOKUP(C80,'00_SKU_Master'!$B$2:$B$378,'00_SKU_Master'!$F$2:$F$378,0)*AD80,"")</f>
        <v>#NAME?</v>
      </c>
      <c r="J78" s="552" t="e">
        <f ca="1">_xludf.IFNA(_xlfn.XLOOKUP(C80,'00_SKU_Master'!$B$2:$B$378,'00_SKU_Master'!$F$2:$F$378,0)*AE80,"")</f>
        <v>#NAME?</v>
      </c>
      <c r="K78" s="553" t="e">
        <f t="shared" ca="1" si="7"/>
        <v>#NAME?</v>
      </c>
      <c r="L78" s="187" t="e">
        <f>_xlfn.XLOOKUP(C80,'00_SKU_Master'!$B$2:$B$378,'00_SKU_Master'!K:K)</f>
        <v>#VALUE!</v>
      </c>
      <c r="M78" s="14">
        <f t="shared" si="8"/>
        <v>2510</v>
      </c>
      <c r="N78" s="147" t="e">
        <f ca="1">_xludf.IFNA(D80/_xlfn.XLOOKUP($M80,'00_SKU_Master'!$B$2:$B$378,'00_SKU_Master'!$M$2:$M$378,0)/$M$2,"0")</f>
        <v>#NAME?</v>
      </c>
      <c r="O78" s="147" t="e">
        <f ca="1">_xludf.IFNA(E80/_xlfn.XLOOKUP($M80,'00_SKU_Master'!$B$2:$B$378,'00_SKU_Master'!$M$2:$M$378,0)/$M$2,"0")</f>
        <v>#NAME?</v>
      </c>
      <c r="P78" s="147" t="e">
        <f ca="1">_xludf.IFNA(F80/_xlfn.XLOOKUP($M80,'00_SKU_Master'!$B$2:$B$378,'00_SKU_Master'!$M$2:$M$378,0)/$M$2,"0")</f>
        <v>#NAME?</v>
      </c>
      <c r="Q78" s="147" t="e">
        <f ca="1">_xludf.IFNA(G80/_xlfn.XLOOKUP($M80,'00_SKU_Master'!$B$2:$B$378,'00_SKU_Master'!$M$2:$M$378,0)/$M$2,"0")</f>
        <v>#NAME?</v>
      </c>
      <c r="R78" s="147" t="e">
        <f ca="1">_xludf.IFNA(H80/_xlfn.XLOOKUP($M80,'00_SKU_Master'!$B$2:$B$378,'00_SKU_Master'!$M$2:$M$378,0)/$M$2,"0")</f>
        <v>#NAME?</v>
      </c>
      <c r="S78" s="147" t="e">
        <f ca="1">_xludf.IFNA(I80/_xlfn.XLOOKUP($M80,'00_SKU_Master'!$B$2:$B$378,'00_SKU_Master'!$M$2:$M$378,0)/$M$2,"0")</f>
        <v>#NAME?</v>
      </c>
      <c r="T78" s="147" t="e">
        <f ca="1">_xludf.IFNA(J80/_xlfn.XLOOKUP($M80,'00_SKU_Master'!$B$2:$B$378,'00_SKU_Master'!$M$2:$M$378,0)/$M$2,"0")</f>
        <v>#NAME?</v>
      </c>
      <c r="U78" s="147" t="e">
        <f t="shared" ca="1" si="9"/>
        <v>#NAME?</v>
      </c>
      <c r="V78" s="4"/>
      <c r="W78" s="4" t="e">
        <f>_xlfn.XLOOKUP(M80,'00_SKU_Master'!$B$2:$B$378,'00_SKU_Master'!D:D)</f>
        <v>#VALUE!</v>
      </c>
      <c r="X78" s="14">
        <f>'05_Daily_Orders'!B79</f>
        <v>2508</v>
      </c>
      <c r="Y78" s="554"/>
      <c r="Z78" s="555"/>
      <c r="AA78" s="555"/>
      <c r="AB78" s="555"/>
      <c r="AC78" s="555">
        <v>44</v>
      </c>
      <c r="AD78" s="555">
        <v>0</v>
      </c>
      <c r="AE78" s="555">
        <v>62</v>
      </c>
      <c r="AF78" s="553">
        <f t="shared" si="10"/>
        <v>0</v>
      </c>
      <c r="AQ78" s="23">
        <v>44</v>
      </c>
      <c r="AR78" s="23">
        <v>0</v>
      </c>
      <c r="AS78" s="23">
        <f t="shared" si="11"/>
        <v>0</v>
      </c>
    </row>
    <row r="79" spans="1:45">
      <c r="A79" s="138">
        <f>_xlfn.XLOOKUP(C81,'00_SKU_Master'!$B$2:$B$378,'00_SKU_Master'!$C$2:$C$378)</f>
        <v>61061</v>
      </c>
      <c r="B79" s="138"/>
      <c r="C79" s="138">
        <f t="shared" si="6"/>
        <v>2512</v>
      </c>
      <c r="D79" s="552" t="e">
        <f ca="1">_xludf.IFNA(_xlfn.XLOOKUP(C81,'00_SKU_Master'!$B$2:$B$378,'00_SKU_Master'!$F$2:$F$378,0)*Y81,"")</f>
        <v>#NAME?</v>
      </c>
      <c r="E79" s="552" t="e">
        <f ca="1">_xludf.IFNA(_xlfn.XLOOKUP(C81,'00_SKU_Master'!$B$2:$B$378,'00_SKU_Master'!$F$2:$F$378,0)*Z81,"")</f>
        <v>#NAME?</v>
      </c>
      <c r="F79" s="552" t="e">
        <f ca="1">_xludf.IFNA(_xlfn.XLOOKUP(C81,'00_SKU_Master'!$B$2:$B$378,'00_SKU_Master'!$F$2:$F$378,0)*AA81,"")</f>
        <v>#NAME?</v>
      </c>
      <c r="G79" s="552" t="e">
        <f ca="1">_xludf.IFNA(_xlfn.XLOOKUP(C81,'00_SKU_Master'!$B$2:$B$378,'00_SKU_Master'!$F$2:$F$378,0)*AB81,"")</f>
        <v>#NAME?</v>
      </c>
      <c r="H79" s="552" t="e">
        <f ca="1">_xludf.IFNA(_xlfn.XLOOKUP(C81,'00_SKU_Master'!$B$2:$B$378,'00_SKU_Master'!$F$2:$F$378,0)*AC81,"")</f>
        <v>#NAME?</v>
      </c>
      <c r="I79" s="552" t="e">
        <f ca="1">_xludf.IFNA(_xlfn.XLOOKUP(C81,'00_SKU_Master'!$B$2:$B$378,'00_SKU_Master'!$F$2:$F$378,0)*AD81,"")</f>
        <v>#NAME?</v>
      </c>
      <c r="J79" s="552" t="e">
        <f ca="1">_xludf.IFNA(_xlfn.XLOOKUP(C81,'00_SKU_Master'!$B$2:$B$378,'00_SKU_Master'!$F$2:$F$378,0)*AE81,"")</f>
        <v>#NAME?</v>
      </c>
      <c r="K79" s="553" t="e">
        <f t="shared" ca="1" si="7"/>
        <v>#NAME?</v>
      </c>
      <c r="L79" s="187" t="e">
        <f>_xlfn.XLOOKUP(C81,'00_SKU_Master'!$B$2:$B$378,'00_SKU_Master'!K:K)</f>
        <v>#VALUE!</v>
      </c>
      <c r="M79" s="14">
        <f t="shared" si="8"/>
        <v>2512</v>
      </c>
      <c r="N79" s="147" t="e">
        <f ca="1">_xludf.IFNA(D81/_xlfn.XLOOKUP($M81,'00_SKU_Master'!$B$2:$B$378,'00_SKU_Master'!$M$2:$M$378,0)/$M$2,"0")</f>
        <v>#NAME?</v>
      </c>
      <c r="O79" s="147" t="e">
        <f ca="1">_xludf.IFNA(E81/_xlfn.XLOOKUP($M81,'00_SKU_Master'!$B$2:$B$378,'00_SKU_Master'!$M$2:$M$378,0)/$M$2,"0")</f>
        <v>#NAME?</v>
      </c>
      <c r="P79" s="147" t="e">
        <f ca="1">_xludf.IFNA(F81/_xlfn.XLOOKUP($M81,'00_SKU_Master'!$B$2:$B$378,'00_SKU_Master'!$M$2:$M$378,0)/$M$2,"0")</f>
        <v>#NAME?</v>
      </c>
      <c r="Q79" s="147" t="e">
        <f ca="1">_xludf.IFNA(G81/_xlfn.XLOOKUP($M81,'00_SKU_Master'!$B$2:$B$378,'00_SKU_Master'!$M$2:$M$378,0)/$M$2,"0")</f>
        <v>#NAME?</v>
      </c>
      <c r="R79" s="147" t="e">
        <f ca="1">_xludf.IFNA(H81/_xlfn.XLOOKUP($M81,'00_SKU_Master'!$B$2:$B$378,'00_SKU_Master'!$M$2:$M$378,0)/$M$2,"0")</f>
        <v>#NAME?</v>
      </c>
      <c r="S79" s="147" t="e">
        <f ca="1">_xludf.IFNA(I81/_xlfn.XLOOKUP($M81,'00_SKU_Master'!$B$2:$B$378,'00_SKU_Master'!$M$2:$M$378,0)/$M$2,"0")</f>
        <v>#NAME?</v>
      </c>
      <c r="T79" s="147" t="e">
        <f ca="1">_xludf.IFNA(J81/_xlfn.XLOOKUP($M81,'00_SKU_Master'!$B$2:$B$378,'00_SKU_Master'!$M$2:$M$378,0)/$M$2,"0")</f>
        <v>#NAME?</v>
      </c>
      <c r="U79" s="147" t="e">
        <f t="shared" ca="1" si="9"/>
        <v>#NAME?</v>
      </c>
      <c r="V79" s="4"/>
      <c r="W79" s="4" t="e">
        <f>_xlfn.XLOOKUP(M81,'00_SKU_Master'!$B$2:$B$378,'00_SKU_Master'!D:D)</f>
        <v>#VALUE!</v>
      </c>
      <c r="X79" s="14">
        <f>'05_Daily_Orders'!B80</f>
        <v>2509</v>
      </c>
      <c r="Y79" s="554"/>
      <c r="Z79" s="555"/>
      <c r="AA79" s="555"/>
      <c r="AB79" s="555"/>
      <c r="AC79" s="555">
        <v>26</v>
      </c>
      <c r="AD79" s="555">
        <v>0</v>
      </c>
      <c r="AE79" s="555">
        <v>98</v>
      </c>
      <c r="AF79" s="553">
        <f t="shared" si="10"/>
        <v>371</v>
      </c>
      <c r="AQ79" s="23">
        <v>63</v>
      </c>
      <c r="AR79" s="23">
        <v>0</v>
      </c>
      <c r="AS79" s="23">
        <f t="shared" si="11"/>
        <v>-141</v>
      </c>
    </row>
    <row r="80" spans="1:45">
      <c r="A80" s="138">
        <f>_xlfn.XLOOKUP(C82,'00_SKU_Master'!$B$2:$B$378,'00_SKU_Master'!$C$2:$C$378)</f>
        <v>203891</v>
      </c>
      <c r="B80" s="138"/>
      <c r="C80" s="138">
        <f t="shared" si="6"/>
        <v>7018</v>
      </c>
      <c r="D80" s="552" t="e">
        <f ca="1">_xludf.IFNA(_xlfn.XLOOKUP(C82,'00_SKU_Master'!$B$2:$B$378,'00_SKU_Master'!$F$2:$F$378,0)*Y82,"")</f>
        <v>#NAME?</v>
      </c>
      <c r="E80" s="552" t="e">
        <f ca="1">_xludf.IFNA(_xlfn.XLOOKUP(C82,'00_SKU_Master'!$B$2:$B$378,'00_SKU_Master'!$F$2:$F$378,0)*Z82,"")</f>
        <v>#NAME?</v>
      </c>
      <c r="F80" s="552" t="e">
        <f ca="1">_xludf.IFNA(_xlfn.XLOOKUP(C82,'00_SKU_Master'!$B$2:$B$378,'00_SKU_Master'!$F$2:$F$378,0)*AA82,"")</f>
        <v>#NAME?</v>
      </c>
      <c r="G80" s="552" t="e">
        <f ca="1">_xludf.IFNA(_xlfn.XLOOKUP(C82,'00_SKU_Master'!$B$2:$B$378,'00_SKU_Master'!$F$2:$F$378,0)*AB82,"")</f>
        <v>#NAME?</v>
      </c>
      <c r="H80" s="552" t="e">
        <f ca="1">_xludf.IFNA(_xlfn.XLOOKUP(C82,'00_SKU_Master'!$B$2:$B$378,'00_SKU_Master'!$F$2:$F$378,0)*AC82,"")</f>
        <v>#NAME?</v>
      </c>
      <c r="I80" s="552" t="e">
        <f ca="1">_xludf.IFNA(_xlfn.XLOOKUP(C82,'00_SKU_Master'!$B$2:$B$378,'00_SKU_Master'!$F$2:$F$378,0)*AD82,"")</f>
        <v>#NAME?</v>
      </c>
      <c r="J80" s="552" t="e">
        <f ca="1">_xludf.IFNA(_xlfn.XLOOKUP(C82,'00_SKU_Master'!$B$2:$B$378,'00_SKU_Master'!$F$2:$F$378,0)*AE82,"")</f>
        <v>#NAME?</v>
      </c>
      <c r="K80" s="553" t="e">
        <f t="shared" ca="1" si="7"/>
        <v>#NAME?</v>
      </c>
      <c r="L80" s="187" t="e">
        <f>_xlfn.XLOOKUP(C82,'00_SKU_Master'!$B$2:$B$378,'00_SKU_Master'!K:K)</f>
        <v>#VALUE!</v>
      </c>
      <c r="M80" s="14">
        <f t="shared" si="8"/>
        <v>7018</v>
      </c>
      <c r="N80" s="147" t="e">
        <f ca="1">_xludf.IFNA(D82/_xlfn.XLOOKUP($M82,'00_SKU_Master'!$B$2:$B$378,'00_SKU_Master'!$M$2:$M$378,0)/$M$2,"0")</f>
        <v>#NAME?</v>
      </c>
      <c r="O80" s="147" t="e">
        <f ca="1">_xludf.IFNA(E82/_xlfn.XLOOKUP($M82,'00_SKU_Master'!$B$2:$B$378,'00_SKU_Master'!$M$2:$M$378,0)/$M$2,"0")</f>
        <v>#NAME?</v>
      </c>
      <c r="P80" s="147" t="e">
        <f ca="1">_xludf.IFNA(F82/_xlfn.XLOOKUP($M82,'00_SKU_Master'!$B$2:$B$378,'00_SKU_Master'!$M$2:$M$378,0)/$M$2,"0")</f>
        <v>#NAME?</v>
      </c>
      <c r="Q80" s="147" t="e">
        <f ca="1">_xludf.IFNA(G82/_xlfn.XLOOKUP($M82,'00_SKU_Master'!$B$2:$B$378,'00_SKU_Master'!$M$2:$M$378,0)/$M$2,"0")</f>
        <v>#NAME?</v>
      </c>
      <c r="R80" s="147" t="e">
        <f ca="1">_xludf.IFNA(H82/_xlfn.XLOOKUP($M82,'00_SKU_Master'!$B$2:$B$378,'00_SKU_Master'!$M$2:$M$378,0)/$M$2,"0")</f>
        <v>#NAME?</v>
      </c>
      <c r="S80" s="147" t="e">
        <f ca="1">_xludf.IFNA(I82/_xlfn.XLOOKUP($M82,'00_SKU_Master'!$B$2:$B$378,'00_SKU_Master'!$M$2:$M$378,0)/$M$2,"0")</f>
        <v>#NAME?</v>
      </c>
      <c r="T80" s="147" t="e">
        <f ca="1">_xludf.IFNA(J82/_xlfn.XLOOKUP($M82,'00_SKU_Master'!$B$2:$B$378,'00_SKU_Master'!$M$2:$M$378,0)/$M$2,"0")</f>
        <v>#NAME?</v>
      </c>
      <c r="U80" s="147" t="e">
        <f t="shared" ca="1" si="9"/>
        <v>#NAME?</v>
      </c>
      <c r="V80" s="4"/>
      <c r="W80" s="4" t="e">
        <f>_xlfn.XLOOKUP(M82,'00_SKU_Master'!$B$2:$B$378,'00_SKU_Master'!D:D)</f>
        <v>#VALUE!</v>
      </c>
      <c r="X80" s="14">
        <f>'05_Daily_Orders'!B81</f>
        <v>2510</v>
      </c>
      <c r="Y80" s="554"/>
      <c r="Z80" s="555"/>
      <c r="AA80" s="555"/>
      <c r="AB80" s="555"/>
      <c r="AC80" s="555">
        <v>0</v>
      </c>
      <c r="AD80" s="555">
        <v>0</v>
      </c>
      <c r="AE80" s="555">
        <v>0</v>
      </c>
      <c r="AF80" s="553">
        <f t="shared" si="10"/>
        <v>80</v>
      </c>
      <c r="AQ80" s="23">
        <v>0</v>
      </c>
      <c r="AR80" s="23">
        <v>0</v>
      </c>
      <c r="AS80" s="23">
        <f t="shared" si="11"/>
        <v>0</v>
      </c>
    </row>
    <row r="81" spans="1:45">
      <c r="A81" s="138">
        <f>_xlfn.XLOOKUP(C83,'00_SKU_Master'!$B$2:$B$378,'00_SKU_Master'!$C$2:$C$378)</f>
        <v>61082</v>
      </c>
      <c r="B81" s="138"/>
      <c r="C81" s="138">
        <f t="shared" si="6"/>
        <v>7091</v>
      </c>
      <c r="D81" s="552" t="e">
        <f ca="1">_xludf.IFNA(_xlfn.XLOOKUP(C83,'00_SKU_Master'!$B$2:$B$378,'00_SKU_Master'!$F$2:$F$378,0)*Y83,"")</f>
        <v>#NAME?</v>
      </c>
      <c r="E81" s="552" t="e">
        <f ca="1">_xludf.IFNA(_xlfn.XLOOKUP(C83,'00_SKU_Master'!$B$2:$B$378,'00_SKU_Master'!$F$2:$F$378,0)*Z83,"")</f>
        <v>#NAME?</v>
      </c>
      <c r="F81" s="552" t="e">
        <f ca="1">_xludf.IFNA(_xlfn.XLOOKUP(C83,'00_SKU_Master'!$B$2:$B$378,'00_SKU_Master'!$F$2:$F$378,0)*AA83,"")</f>
        <v>#NAME?</v>
      </c>
      <c r="G81" s="552" t="e">
        <f ca="1">_xludf.IFNA(_xlfn.XLOOKUP(C83,'00_SKU_Master'!$B$2:$B$378,'00_SKU_Master'!$F$2:$F$378,0)*AB83,"")</f>
        <v>#NAME?</v>
      </c>
      <c r="H81" s="552" t="e">
        <f ca="1">_xludf.IFNA(_xlfn.XLOOKUP(C83,'00_SKU_Master'!$B$2:$B$378,'00_SKU_Master'!$F$2:$F$378,0)*AC83,"")</f>
        <v>#NAME?</v>
      </c>
      <c r="I81" s="552" t="e">
        <f ca="1">_xludf.IFNA(_xlfn.XLOOKUP(C83,'00_SKU_Master'!$B$2:$B$378,'00_SKU_Master'!$F$2:$F$378,0)*AD83,"")</f>
        <v>#NAME?</v>
      </c>
      <c r="J81" s="552" t="e">
        <f ca="1">_xludf.IFNA(_xlfn.XLOOKUP(C83,'00_SKU_Master'!$B$2:$B$378,'00_SKU_Master'!$F$2:$F$378,0)*AE83,"")</f>
        <v>#NAME?</v>
      </c>
      <c r="K81" s="553" t="e">
        <f t="shared" ca="1" si="7"/>
        <v>#NAME?</v>
      </c>
      <c r="L81" s="187" t="e">
        <f>_xlfn.XLOOKUP(C83,'00_SKU_Master'!$B$2:$B$378,'00_SKU_Master'!K:K)</f>
        <v>#VALUE!</v>
      </c>
      <c r="M81" s="14">
        <f t="shared" si="8"/>
        <v>7091</v>
      </c>
      <c r="N81" s="147" t="e">
        <f ca="1">_xludf.IFNA(D83/_xlfn.XLOOKUP($M83,'00_SKU_Master'!$B$2:$B$378,'00_SKU_Master'!$M$2:$M$378,0)/$M$2,"0")</f>
        <v>#NAME?</v>
      </c>
      <c r="O81" s="147" t="e">
        <f ca="1">_xludf.IFNA(E83/_xlfn.XLOOKUP($M83,'00_SKU_Master'!$B$2:$B$378,'00_SKU_Master'!$M$2:$M$378,0)/$M$2,"0")</f>
        <v>#NAME?</v>
      </c>
      <c r="P81" s="147" t="e">
        <f ca="1">_xludf.IFNA(F83/_xlfn.XLOOKUP($M83,'00_SKU_Master'!$B$2:$B$378,'00_SKU_Master'!$M$2:$M$378,0)/$M$2,"0")</f>
        <v>#NAME?</v>
      </c>
      <c r="Q81" s="147" t="e">
        <f ca="1">_xludf.IFNA(G83/_xlfn.XLOOKUP($M83,'00_SKU_Master'!$B$2:$B$378,'00_SKU_Master'!$M$2:$M$378,0)/$M$2,"0")</f>
        <v>#NAME?</v>
      </c>
      <c r="R81" s="147" t="e">
        <f ca="1">_xludf.IFNA(H83/_xlfn.XLOOKUP($M83,'00_SKU_Master'!$B$2:$B$378,'00_SKU_Master'!$M$2:$M$378,0)/$M$2,"0")</f>
        <v>#NAME?</v>
      </c>
      <c r="S81" s="147" t="e">
        <f ca="1">_xludf.IFNA(I83/_xlfn.XLOOKUP($M83,'00_SKU_Master'!$B$2:$B$378,'00_SKU_Master'!$M$2:$M$378,0)/$M$2,"0")</f>
        <v>#NAME?</v>
      </c>
      <c r="T81" s="147" t="e">
        <f ca="1">_xludf.IFNA(J83/_xlfn.XLOOKUP($M83,'00_SKU_Master'!$B$2:$B$378,'00_SKU_Master'!$M$2:$M$378,0)/$M$2,"0")</f>
        <v>#NAME?</v>
      </c>
      <c r="U81" s="147" t="e">
        <f t="shared" ca="1" si="9"/>
        <v>#NAME?</v>
      </c>
      <c r="V81" s="4"/>
      <c r="W81" s="4" t="e">
        <f>_xlfn.XLOOKUP(M83,'00_SKU_Master'!$B$2:$B$378,'00_SKU_Master'!D:D)</f>
        <v>#VALUE!</v>
      </c>
      <c r="X81" s="14">
        <f>'05_Daily_Orders'!B82</f>
        <v>2512</v>
      </c>
      <c r="Y81" s="554"/>
      <c r="Z81" s="555"/>
      <c r="AA81" s="555"/>
      <c r="AB81" s="555"/>
      <c r="AC81" s="555">
        <v>209</v>
      </c>
      <c r="AD81" s="555">
        <v>0</v>
      </c>
      <c r="AE81" s="555">
        <v>162</v>
      </c>
      <c r="AF81" s="553">
        <f t="shared" si="10"/>
        <v>0</v>
      </c>
      <c r="AQ81" s="23">
        <v>141</v>
      </c>
      <c r="AR81" s="23">
        <v>0</v>
      </c>
      <c r="AS81" s="23">
        <f t="shared" si="11"/>
        <v>0</v>
      </c>
    </row>
    <row r="82" spans="1:45">
      <c r="A82" s="138" t="str">
        <f>_xlfn.XLOOKUP(C84,'00_SKU_Master'!$B$2:$B$378,'00_SKU_Master'!$C$2:$C$378)</f>
        <v>61050#2</v>
      </c>
      <c r="B82" s="138"/>
      <c r="C82" s="138">
        <f t="shared" si="6"/>
        <v>7103</v>
      </c>
      <c r="D82" s="552" t="e">
        <f ca="1">_xludf.IFNA(_xlfn.XLOOKUP(C84,'00_SKU_Master'!$B$2:$B$378,'00_SKU_Master'!$F$2:$F$378,0)*Y84,"")</f>
        <v>#NAME?</v>
      </c>
      <c r="E82" s="552" t="e">
        <f ca="1">_xludf.IFNA(_xlfn.XLOOKUP(C84,'00_SKU_Master'!$B$2:$B$378,'00_SKU_Master'!$F$2:$F$378,0)*Z84,"")</f>
        <v>#NAME?</v>
      </c>
      <c r="F82" s="552" t="e">
        <f ca="1">_xludf.IFNA(_xlfn.XLOOKUP(C84,'00_SKU_Master'!$B$2:$B$378,'00_SKU_Master'!$F$2:$F$378,0)*AA84,"")</f>
        <v>#NAME?</v>
      </c>
      <c r="G82" s="552" t="e">
        <f ca="1">_xludf.IFNA(_xlfn.XLOOKUP(C84,'00_SKU_Master'!$B$2:$B$378,'00_SKU_Master'!$F$2:$F$378,0)*AB84,"")</f>
        <v>#NAME?</v>
      </c>
      <c r="H82" s="552" t="e">
        <f ca="1">_xludf.IFNA(_xlfn.XLOOKUP(C84,'00_SKU_Master'!$B$2:$B$378,'00_SKU_Master'!$F$2:$F$378,0)*AC84,"")</f>
        <v>#NAME?</v>
      </c>
      <c r="I82" s="552" t="e">
        <f ca="1">_xludf.IFNA(_xlfn.XLOOKUP(C84,'00_SKU_Master'!$B$2:$B$378,'00_SKU_Master'!$F$2:$F$378,0)*AD84,"")</f>
        <v>#NAME?</v>
      </c>
      <c r="J82" s="552" t="e">
        <f ca="1">_xludf.IFNA(_xlfn.XLOOKUP(C84,'00_SKU_Master'!$B$2:$B$378,'00_SKU_Master'!$F$2:$F$378,0)*AE84,"")</f>
        <v>#NAME?</v>
      </c>
      <c r="K82" s="553" t="e">
        <f t="shared" ca="1" si="7"/>
        <v>#NAME?</v>
      </c>
      <c r="L82" s="187" t="e">
        <f>_xlfn.XLOOKUP(C84,'00_SKU_Master'!$B$2:$B$378,'00_SKU_Master'!K:K)</f>
        <v>#VALUE!</v>
      </c>
      <c r="M82" s="14">
        <f t="shared" si="8"/>
        <v>7103</v>
      </c>
      <c r="N82" s="147" t="e">
        <f ca="1">_xludf.IFNA(D84/_xlfn.XLOOKUP($M84,'00_SKU_Master'!$B$2:$B$378,'00_SKU_Master'!$M$2:$M$378,0)/$M$2,"0")</f>
        <v>#NAME?</v>
      </c>
      <c r="O82" s="147" t="e">
        <f ca="1">_xludf.IFNA(E84/_xlfn.XLOOKUP($M84,'00_SKU_Master'!$B$2:$B$378,'00_SKU_Master'!$M$2:$M$378,0)/$M$2,"0")</f>
        <v>#NAME?</v>
      </c>
      <c r="P82" s="147" t="e">
        <f ca="1">_xludf.IFNA(F84/_xlfn.XLOOKUP($M84,'00_SKU_Master'!$B$2:$B$378,'00_SKU_Master'!$M$2:$M$378,0)/$M$2,"0")</f>
        <v>#NAME?</v>
      </c>
      <c r="Q82" s="147" t="e">
        <f ca="1">_xludf.IFNA(G84/_xlfn.XLOOKUP($M84,'00_SKU_Master'!$B$2:$B$378,'00_SKU_Master'!$M$2:$M$378,0)/$M$2,"0")</f>
        <v>#NAME?</v>
      </c>
      <c r="R82" s="147" t="e">
        <f ca="1">_xludf.IFNA(H84/_xlfn.XLOOKUP($M84,'00_SKU_Master'!$B$2:$B$378,'00_SKU_Master'!$M$2:$M$378,0)/$M$2,"0")</f>
        <v>#NAME?</v>
      </c>
      <c r="S82" s="147" t="e">
        <f ca="1">_xludf.IFNA(I84/_xlfn.XLOOKUP($M84,'00_SKU_Master'!$B$2:$B$378,'00_SKU_Master'!$M$2:$M$378,0)/$M$2,"0")</f>
        <v>#NAME?</v>
      </c>
      <c r="T82" s="147" t="e">
        <f ca="1">_xludf.IFNA(J84/_xlfn.XLOOKUP($M84,'00_SKU_Master'!$B$2:$B$378,'00_SKU_Master'!$M$2:$M$378,0)/$M$2,"0")</f>
        <v>#NAME?</v>
      </c>
      <c r="U82" s="147" t="e">
        <f t="shared" ca="1" si="9"/>
        <v>#NAME?</v>
      </c>
      <c r="V82" s="4"/>
      <c r="W82" s="4" t="e">
        <f>_xlfn.XLOOKUP(M84,'00_SKU_Master'!$B$2:$B$378,'00_SKU_Master'!D:D)</f>
        <v>#VALUE!</v>
      </c>
      <c r="X82" s="14">
        <f>'05_Daily_Orders'!B83</f>
        <v>7018</v>
      </c>
      <c r="Y82" s="554"/>
      <c r="Z82" s="555"/>
      <c r="AA82" s="555"/>
      <c r="AB82" s="555"/>
      <c r="AC82" s="555">
        <v>80</v>
      </c>
      <c r="AD82" s="555">
        <v>0</v>
      </c>
      <c r="AE82" s="555">
        <v>0</v>
      </c>
      <c r="AF82" s="553">
        <f t="shared" si="10"/>
        <v>0</v>
      </c>
      <c r="AQ82" s="23">
        <v>0</v>
      </c>
      <c r="AR82" s="23">
        <v>0</v>
      </c>
      <c r="AS82" s="23">
        <f t="shared" si="11"/>
        <v>0</v>
      </c>
    </row>
    <row r="83" spans="1:45">
      <c r="A83" s="138" t="str">
        <f>_xlfn.XLOOKUP(C85,'00_SKU_Master'!$B$2:$B$378,'00_SKU_Master'!$C$2:$C$378)</f>
        <v>61048#2</v>
      </c>
      <c r="B83" s="138"/>
      <c r="C83" s="138">
        <f t="shared" si="6"/>
        <v>7104</v>
      </c>
      <c r="D83" s="552" t="e">
        <f ca="1">_xludf.IFNA(_xlfn.XLOOKUP(C85,'00_SKU_Master'!$B$2:$B$378,'00_SKU_Master'!$F$2:$F$378,0)*Y85,"")</f>
        <v>#NAME?</v>
      </c>
      <c r="E83" s="552" t="e">
        <f ca="1">_xludf.IFNA(_xlfn.XLOOKUP(C85,'00_SKU_Master'!$B$2:$B$378,'00_SKU_Master'!$F$2:$F$378,0)*Z85,"")</f>
        <v>#NAME?</v>
      </c>
      <c r="F83" s="552" t="e">
        <f ca="1">_xludf.IFNA(_xlfn.XLOOKUP(C85,'00_SKU_Master'!$B$2:$B$378,'00_SKU_Master'!$F$2:$F$378,0)*AA85,"")</f>
        <v>#NAME?</v>
      </c>
      <c r="G83" s="552" t="e">
        <f ca="1">_xludf.IFNA(_xlfn.XLOOKUP(C85,'00_SKU_Master'!$B$2:$B$378,'00_SKU_Master'!$F$2:$F$378,0)*AB85,"")</f>
        <v>#NAME?</v>
      </c>
      <c r="H83" s="552" t="e">
        <f ca="1">_xludf.IFNA(_xlfn.XLOOKUP(C85,'00_SKU_Master'!$B$2:$B$378,'00_SKU_Master'!$F$2:$F$378,0)*AC85,"")</f>
        <v>#NAME?</v>
      </c>
      <c r="I83" s="552" t="e">
        <f ca="1">_xludf.IFNA(_xlfn.XLOOKUP(C85,'00_SKU_Master'!$B$2:$B$378,'00_SKU_Master'!$F$2:$F$378,0)*AD85,"")</f>
        <v>#NAME?</v>
      </c>
      <c r="J83" s="552" t="e">
        <f ca="1">_xludf.IFNA(_xlfn.XLOOKUP(C85,'00_SKU_Master'!$B$2:$B$378,'00_SKU_Master'!$F$2:$F$378,0)*AE85,"")</f>
        <v>#NAME?</v>
      </c>
      <c r="K83" s="553" t="e">
        <f t="shared" ca="1" si="7"/>
        <v>#NAME?</v>
      </c>
      <c r="L83" s="187" t="e">
        <f>_xlfn.XLOOKUP(C85,'00_SKU_Master'!$B$2:$B$378,'00_SKU_Master'!K:K)</f>
        <v>#VALUE!</v>
      </c>
      <c r="M83" s="14">
        <f t="shared" si="8"/>
        <v>7104</v>
      </c>
      <c r="N83" s="147" t="e">
        <f ca="1">_xludf.IFNA(D85/_xlfn.XLOOKUP($M85,'00_SKU_Master'!$B$2:$B$378,'00_SKU_Master'!$M$2:$M$378,0)/$M$2,"0")</f>
        <v>#NAME?</v>
      </c>
      <c r="O83" s="147" t="e">
        <f ca="1">_xludf.IFNA(E85/_xlfn.XLOOKUP($M85,'00_SKU_Master'!$B$2:$B$378,'00_SKU_Master'!$M$2:$M$378,0)/$M$2,"0")</f>
        <v>#NAME?</v>
      </c>
      <c r="P83" s="147" t="e">
        <f ca="1">_xludf.IFNA(F85/_xlfn.XLOOKUP($M85,'00_SKU_Master'!$B$2:$B$378,'00_SKU_Master'!$M$2:$M$378,0)/$M$2,"0")</f>
        <v>#NAME?</v>
      </c>
      <c r="Q83" s="147" t="e">
        <f ca="1">_xludf.IFNA(G85/_xlfn.XLOOKUP($M85,'00_SKU_Master'!$B$2:$B$378,'00_SKU_Master'!$M$2:$M$378,0)/$M$2,"0")</f>
        <v>#NAME?</v>
      </c>
      <c r="R83" s="147" t="e">
        <f ca="1">_xludf.IFNA(H85/_xlfn.XLOOKUP($M85,'00_SKU_Master'!$B$2:$B$378,'00_SKU_Master'!$M$2:$M$378,0)/$M$2,"0")</f>
        <v>#NAME?</v>
      </c>
      <c r="S83" s="147" t="e">
        <f ca="1">_xludf.IFNA(I85/_xlfn.XLOOKUP($M85,'00_SKU_Master'!$B$2:$B$378,'00_SKU_Master'!$M$2:$M$378,0)/$M$2,"0")</f>
        <v>#NAME?</v>
      </c>
      <c r="T83" s="147" t="e">
        <f ca="1">_xludf.IFNA(J85/_xlfn.XLOOKUP($M85,'00_SKU_Master'!$B$2:$B$378,'00_SKU_Master'!$M$2:$M$378,0)/$M$2,"0")</f>
        <v>#NAME?</v>
      </c>
      <c r="U83" s="147" t="e">
        <f t="shared" ca="1" si="9"/>
        <v>#NAME?</v>
      </c>
      <c r="V83" s="4"/>
      <c r="W83" s="4" t="e">
        <f>_xlfn.XLOOKUP(M85,'00_SKU_Master'!$B$2:$B$378,'00_SKU_Master'!D:D)</f>
        <v>#VALUE!</v>
      </c>
      <c r="X83" s="14">
        <f>'05_Daily_Orders'!B84</f>
        <v>7091</v>
      </c>
      <c r="Y83" s="554"/>
      <c r="Z83" s="555"/>
      <c r="AA83" s="555"/>
      <c r="AB83" s="555"/>
      <c r="AC83" s="555">
        <v>0</v>
      </c>
      <c r="AD83" s="555">
        <v>0</v>
      </c>
      <c r="AE83" s="555">
        <v>0</v>
      </c>
      <c r="AF83" s="553">
        <f t="shared" si="10"/>
        <v>0</v>
      </c>
      <c r="AQ83" s="23">
        <v>0</v>
      </c>
      <c r="AR83" s="23">
        <v>0</v>
      </c>
      <c r="AS83" s="23">
        <f t="shared" si="11"/>
        <v>0</v>
      </c>
    </row>
    <row r="84" spans="1:45">
      <c r="A84" s="138" t="str">
        <f>_xlfn.XLOOKUP(C86,'00_SKU_Master'!$B$2:$B$378,'00_SKU_Master'!$C$2:$C$378)</f>
        <v>61072#2</v>
      </c>
      <c r="B84" s="138"/>
      <c r="C84" s="138">
        <f t="shared" si="6"/>
        <v>7105</v>
      </c>
      <c r="D84" s="552" t="e">
        <f ca="1">_xludf.IFNA(_xlfn.XLOOKUP(C86,'00_SKU_Master'!$B$2:$B$378,'00_SKU_Master'!$F$2:$F$378,0)*Y86,"")</f>
        <v>#NAME?</v>
      </c>
      <c r="E84" s="552" t="e">
        <f ca="1">_xludf.IFNA(_xlfn.XLOOKUP(C86,'00_SKU_Master'!$B$2:$B$378,'00_SKU_Master'!$F$2:$F$378,0)*Z86,"")</f>
        <v>#NAME?</v>
      </c>
      <c r="F84" s="552" t="e">
        <f ca="1">_xludf.IFNA(_xlfn.XLOOKUP(C86,'00_SKU_Master'!$B$2:$B$378,'00_SKU_Master'!$F$2:$F$378,0)*AA86,"")</f>
        <v>#NAME?</v>
      </c>
      <c r="G84" s="552" t="e">
        <f ca="1">_xludf.IFNA(_xlfn.XLOOKUP(C86,'00_SKU_Master'!$B$2:$B$378,'00_SKU_Master'!$F$2:$F$378,0)*AB86,"")</f>
        <v>#NAME?</v>
      </c>
      <c r="H84" s="552" t="e">
        <f ca="1">_xludf.IFNA(_xlfn.XLOOKUP(C86,'00_SKU_Master'!$B$2:$B$378,'00_SKU_Master'!$F$2:$F$378,0)*AC86,"")</f>
        <v>#NAME?</v>
      </c>
      <c r="I84" s="552" t="e">
        <f ca="1">_xludf.IFNA(_xlfn.XLOOKUP(C86,'00_SKU_Master'!$B$2:$B$378,'00_SKU_Master'!$F$2:$F$378,0)*AD86,"")</f>
        <v>#NAME?</v>
      </c>
      <c r="J84" s="552" t="e">
        <f ca="1">_xludf.IFNA(_xlfn.XLOOKUP(C86,'00_SKU_Master'!$B$2:$B$378,'00_SKU_Master'!$F$2:$F$378,0)*AE86,"")</f>
        <v>#NAME?</v>
      </c>
      <c r="K84" s="553" t="e">
        <f t="shared" ca="1" si="7"/>
        <v>#NAME?</v>
      </c>
      <c r="L84" s="187" t="e">
        <f>_xlfn.XLOOKUP(C86,'00_SKU_Master'!$B$2:$B$378,'00_SKU_Master'!K:K)</f>
        <v>#VALUE!</v>
      </c>
      <c r="M84" s="14">
        <f t="shared" si="8"/>
        <v>7105</v>
      </c>
      <c r="N84" s="147" t="e">
        <f ca="1">_xludf.IFNA(D86/_xlfn.XLOOKUP($M86,'00_SKU_Master'!$B$2:$B$378,'00_SKU_Master'!$M$2:$M$378,0)/$M$2,"0")</f>
        <v>#NAME?</v>
      </c>
      <c r="O84" s="147" t="e">
        <f ca="1">_xludf.IFNA(E86/_xlfn.XLOOKUP($M86,'00_SKU_Master'!$B$2:$B$378,'00_SKU_Master'!$M$2:$M$378,0)/$M$2,"0")</f>
        <v>#NAME?</v>
      </c>
      <c r="P84" s="147" t="e">
        <f ca="1">_xludf.IFNA(F86/_xlfn.XLOOKUP($M86,'00_SKU_Master'!$B$2:$B$378,'00_SKU_Master'!$M$2:$M$378,0)/$M$2,"0")</f>
        <v>#NAME?</v>
      </c>
      <c r="Q84" s="147" t="e">
        <f ca="1">_xludf.IFNA(G86/_xlfn.XLOOKUP($M86,'00_SKU_Master'!$B$2:$B$378,'00_SKU_Master'!$M$2:$M$378,0)/$M$2,"0")</f>
        <v>#NAME?</v>
      </c>
      <c r="R84" s="147" t="e">
        <f ca="1">_xludf.IFNA(H86/_xlfn.XLOOKUP($M86,'00_SKU_Master'!$B$2:$B$378,'00_SKU_Master'!$M$2:$M$378,0)/$M$2,"0")</f>
        <v>#NAME?</v>
      </c>
      <c r="S84" s="147" t="e">
        <f ca="1">_xludf.IFNA(I86/_xlfn.XLOOKUP($M86,'00_SKU_Master'!$B$2:$B$378,'00_SKU_Master'!$M$2:$M$378,0)/$M$2,"0")</f>
        <v>#NAME?</v>
      </c>
      <c r="T84" s="147" t="e">
        <f ca="1">_xludf.IFNA(J86/_xlfn.XLOOKUP($M86,'00_SKU_Master'!$B$2:$B$378,'00_SKU_Master'!$M$2:$M$378,0)/$M$2,"0")</f>
        <v>#NAME?</v>
      </c>
      <c r="U84" s="147" t="e">
        <f t="shared" ca="1" si="9"/>
        <v>#NAME?</v>
      </c>
      <c r="V84" s="4"/>
      <c r="W84" s="4" t="e">
        <f>_xlfn.XLOOKUP(M86,'00_SKU_Master'!$B$2:$B$378,'00_SKU_Master'!D:D)</f>
        <v>#VALUE!</v>
      </c>
      <c r="X84" s="14">
        <f>'05_Daily_Orders'!B85</f>
        <v>7103</v>
      </c>
      <c r="Y84" s="554"/>
      <c r="Z84" s="555"/>
      <c r="AA84" s="555"/>
      <c r="AB84" s="555"/>
      <c r="AC84" s="555">
        <v>0</v>
      </c>
      <c r="AD84" s="555">
        <v>0</v>
      </c>
      <c r="AE84" s="555">
        <v>0</v>
      </c>
      <c r="AF84" s="553">
        <f t="shared" si="10"/>
        <v>0</v>
      </c>
      <c r="AQ84" s="23">
        <v>0</v>
      </c>
      <c r="AR84" s="23">
        <v>0</v>
      </c>
      <c r="AS84" s="23">
        <f t="shared" si="11"/>
        <v>0</v>
      </c>
    </row>
    <row r="85" spans="1:45">
      <c r="A85" s="138" t="str">
        <f>_xlfn.XLOOKUP(C87,'00_SKU_Master'!$B$2:$B$378,'00_SKU_Master'!$C$2:$C$378)</f>
        <v>61040#2</v>
      </c>
      <c r="B85" s="138"/>
      <c r="C85" s="138">
        <f t="shared" si="6"/>
        <v>7107</v>
      </c>
      <c r="D85" s="552" t="e">
        <f ca="1">_xludf.IFNA(_xlfn.XLOOKUP(C87,'00_SKU_Master'!$B$2:$B$378,'00_SKU_Master'!$F$2:$F$378,0)*Y87,"")</f>
        <v>#NAME?</v>
      </c>
      <c r="E85" s="552" t="e">
        <f ca="1">_xludf.IFNA(_xlfn.XLOOKUP(C87,'00_SKU_Master'!$B$2:$B$378,'00_SKU_Master'!$F$2:$F$378,0)*Z87,"")</f>
        <v>#NAME?</v>
      </c>
      <c r="F85" s="552" t="e">
        <f ca="1">_xludf.IFNA(_xlfn.XLOOKUP(C87,'00_SKU_Master'!$B$2:$B$378,'00_SKU_Master'!$F$2:$F$378,0)*AA87,"")</f>
        <v>#NAME?</v>
      </c>
      <c r="G85" s="552" t="e">
        <f ca="1">_xludf.IFNA(_xlfn.XLOOKUP(C87,'00_SKU_Master'!$B$2:$B$378,'00_SKU_Master'!$F$2:$F$378,0)*AB87,"")</f>
        <v>#NAME?</v>
      </c>
      <c r="H85" s="552" t="e">
        <f ca="1">_xludf.IFNA(_xlfn.XLOOKUP(C87,'00_SKU_Master'!$B$2:$B$378,'00_SKU_Master'!$F$2:$F$378,0)*AC87,"")</f>
        <v>#NAME?</v>
      </c>
      <c r="I85" s="552" t="e">
        <f ca="1">_xludf.IFNA(_xlfn.XLOOKUP(C87,'00_SKU_Master'!$B$2:$B$378,'00_SKU_Master'!$F$2:$F$378,0)*AD87,"")</f>
        <v>#NAME?</v>
      </c>
      <c r="J85" s="552" t="e">
        <f ca="1">_xludf.IFNA(_xlfn.XLOOKUP(C87,'00_SKU_Master'!$B$2:$B$378,'00_SKU_Master'!$F$2:$F$378,0)*AE87,"")</f>
        <v>#NAME?</v>
      </c>
      <c r="K85" s="553" t="e">
        <f t="shared" ca="1" si="7"/>
        <v>#NAME?</v>
      </c>
      <c r="L85" s="187" t="e">
        <f>_xlfn.XLOOKUP(C87,'00_SKU_Master'!$B$2:$B$378,'00_SKU_Master'!K:K)</f>
        <v>#VALUE!</v>
      </c>
      <c r="M85" s="14">
        <f t="shared" si="8"/>
        <v>7107</v>
      </c>
      <c r="N85" s="147" t="e">
        <f ca="1">_xludf.IFNA(D87/_xlfn.XLOOKUP($M87,'00_SKU_Master'!$B$2:$B$378,'00_SKU_Master'!$M$2:$M$378,0)/$M$2,"0")</f>
        <v>#NAME?</v>
      </c>
      <c r="O85" s="147" t="e">
        <f ca="1">_xludf.IFNA(E87/_xlfn.XLOOKUP($M87,'00_SKU_Master'!$B$2:$B$378,'00_SKU_Master'!$M$2:$M$378,0)/$M$2,"0")</f>
        <v>#NAME?</v>
      </c>
      <c r="P85" s="147" t="e">
        <f ca="1">_xludf.IFNA(F87/_xlfn.XLOOKUP($M87,'00_SKU_Master'!$B$2:$B$378,'00_SKU_Master'!$M$2:$M$378,0)/$M$2,"0")</f>
        <v>#NAME?</v>
      </c>
      <c r="Q85" s="147" t="e">
        <f ca="1">_xludf.IFNA(G87/_xlfn.XLOOKUP($M87,'00_SKU_Master'!$B$2:$B$378,'00_SKU_Master'!$M$2:$M$378,0)/$M$2,"0")</f>
        <v>#NAME?</v>
      </c>
      <c r="R85" s="147" t="e">
        <f ca="1">_xludf.IFNA(H87/_xlfn.XLOOKUP($M87,'00_SKU_Master'!$B$2:$B$378,'00_SKU_Master'!$M$2:$M$378,0)/$M$2,"0")</f>
        <v>#NAME?</v>
      </c>
      <c r="S85" s="147" t="e">
        <f ca="1">_xludf.IFNA(I87/_xlfn.XLOOKUP($M87,'00_SKU_Master'!$B$2:$B$378,'00_SKU_Master'!$M$2:$M$378,0)/$M$2,"0")</f>
        <v>#NAME?</v>
      </c>
      <c r="T85" s="147" t="e">
        <f ca="1">_xludf.IFNA(J87/_xlfn.XLOOKUP($M87,'00_SKU_Master'!$B$2:$B$378,'00_SKU_Master'!$M$2:$M$378,0)/$M$2,"0")</f>
        <v>#NAME?</v>
      </c>
      <c r="U85" s="147" t="e">
        <f t="shared" ca="1" si="9"/>
        <v>#NAME?</v>
      </c>
      <c r="V85" s="4"/>
      <c r="W85" s="4" t="e">
        <f>_xlfn.XLOOKUP(M87,'00_SKU_Master'!$B$2:$B$378,'00_SKU_Master'!D:D)</f>
        <v>#VALUE!</v>
      </c>
      <c r="X85" s="14">
        <f>'05_Daily_Orders'!B86</f>
        <v>7104</v>
      </c>
      <c r="Y85" s="554"/>
      <c r="Z85" s="555"/>
      <c r="AA85" s="555"/>
      <c r="AB85" s="555"/>
      <c r="AC85" s="555">
        <v>0</v>
      </c>
      <c r="AD85" s="555">
        <v>0</v>
      </c>
      <c r="AE85" s="555">
        <v>0</v>
      </c>
      <c r="AF85" s="553">
        <f t="shared" si="10"/>
        <v>0</v>
      </c>
      <c r="AQ85" s="23">
        <v>0</v>
      </c>
      <c r="AR85" s="23">
        <v>0</v>
      </c>
      <c r="AS85" s="23">
        <f t="shared" si="11"/>
        <v>0</v>
      </c>
    </row>
    <row r="86" spans="1:45">
      <c r="A86" s="138" t="str">
        <f>_xlfn.XLOOKUP(C88,'00_SKU_Master'!$B$2:$B$378,'00_SKU_Master'!$C$2:$C$378)</f>
        <v>61072#2</v>
      </c>
      <c r="B86" s="138"/>
      <c r="C86" s="138">
        <f t="shared" si="6"/>
        <v>7108</v>
      </c>
      <c r="D86" s="552" t="e">
        <f ca="1">_xludf.IFNA(_xlfn.XLOOKUP(C88,'00_SKU_Master'!$B$2:$B$378,'00_SKU_Master'!$F$2:$F$378,0)*Y88,"")</f>
        <v>#NAME?</v>
      </c>
      <c r="E86" s="552" t="e">
        <f ca="1">_xludf.IFNA(_xlfn.XLOOKUP(C88,'00_SKU_Master'!$B$2:$B$378,'00_SKU_Master'!$F$2:$F$378,0)*Z88,"")</f>
        <v>#NAME?</v>
      </c>
      <c r="F86" s="552" t="e">
        <f ca="1">_xludf.IFNA(_xlfn.XLOOKUP(C88,'00_SKU_Master'!$B$2:$B$378,'00_SKU_Master'!$F$2:$F$378,0)*AA88,"")</f>
        <v>#NAME?</v>
      </c>
      <c r="G86" s="552" t="e">
        <f ca="1">_xludf.IFNA(_xlfn.XLOOKUP(C88,'00_SKU_Master'!$B$2:$B$378,'00_SKU_Master'!$F$2:$F$378,0)*AB88,"")</f>
        <v>#NAME?</v>
      </c>
      <c r="H86" s="552" t="e">
        <f ca="1">_xludf.IFNA(_xlfn.XLOOKUP(C88,'00_SKU_Master'!$B$2:$B$378,'00_SKU_Master'!$F$2:$F$378,0)*AC88,"")</f>
        <v>#NAME?</v>
      </c>
      <c r="I86" s="552" t="e">
        <f ca="1">_xludf.IFNA(_xlfn.XLOOKUP(C88,'00_SKU_Master'!$B$2:$B$378,'00_SKU_Master'!$F$2:$F$378,0)*AD88,"")</f>
        <v>#NAME?</v>
      </c>
      <c r="J86" s="552" t="e">
        <f ca="1">_xludf.IFNA(_xlfn.XLOOKUP(C88,'00_SKU_Master'!$B$2:$B$378,'00_SKU_Master'!$F$2:$F$378,0)*AE88,"")</f>
        <v>#NAME?</v>
      </c>
      <c r="K86" s="553" t="e">
        <f t="shared" ca="1" si="7"/>
        <v>#NAME?</v>
      </c>
      <c r="L86" s="187" t="e">
        <f>_xlfn.XLOOKUP(C88,'00_SKU_Master'!$B$2:$B$378,'00_SKU_Master'!K:K)</f>
        <v>#VALUE!</v>
      </c>
      <c r="M86" s="14">
        <f t="shared" si="8"/>
        <v>7108</v>
      </c>
      <c r="N86" s="147" t="e">
        <f ca="1">_xludf.IFNA(D88/_xlfn.XLOOKUP($M88,'00_SKU_Master'!$B$2:$B$378,'00_SKU_Master'!$M$2:$M$378,0)/$M$2,"0")</f>
        <v>#NAME?</v>
      </c>
      <c r="O86" s="147" t="e">
        <f ca="1">_xludf.IFNA(E88/_xlfn.XLOOKUP($M88,'00_SKU_Master'!$B$2:$B$378,'00_SKU_Master'!$M$2:$M$378,0)/$M$2,"0")</f>
        <v>#NAME?</v>
      </c>
      <c r="P86" s="147" t="e">
        <f ca="1">_xludf.IFNA(F88/_xlfn.XLOOKUP($M88,'00_SKU_Master'!$B$2:$B$378,'00_SKU_Master'!$M$2:$M$378,0)/$M$2,"0")</f>
        <v>#NAME?</v>
      </c>
      <c r="Q86" s="147" t="e">
        <f ca="1">_xludf.IFNA(G88/_xlfn.XLOOKUP($M88,'00_SKU_Master'!$B$2:$B$378,'00_SKU_Master'!$M$2:$M$378,0)/$M$2,"0")</f>
        <v>#NAME?</v>
      </c>
      <c r="R86" s="147" t="e">
        <f ca="1">_xludf.IFNA(H88/_xlfn.XLOOKUP($M88,'00_SKU_Master'!$B$2:$B$378,'00_SKU_Master'!$M$2:$M$378,0)/$M$2,"0")</f>
        <v>#NAME?</v>
      </c>
      <c r="S86" s="147" t="e">
        <f ca="1">_xludf.IFNA(I88/_xlfn.XLOOKUP($M88,'00_SKU_Master'!$B$2:$B$378,'00_SKU_Master'!$M$2:$M$378,0)/$M$2,"0")</f>
        <v>#NAME?</v>
      </c>
      <c r="T86" s="147" t="e">
        <f ca="1">_xludf.IFNA(J88/_xlfn.XLOOKUP($M88,'00_SKU_Master'!$B$2:$B$378,'00_SKU_Master'!$M$2:$M$378,0)/$M$2,"0")</f>
        <v>#NAME?</v>
      </c>
      <c r="U86" s="147" t="e">
        <f t="shared" ca="1" si="9"/>
        <v>#NAME?</v>
      </c>
      <c r="V86" s="4"/>
      <c r="W86" s="4" t="e">
        <f>_xlfn.XLOOKUP(M88,'00_SKU_Master'!$B$2:$B$378,'00_SKU_Master'!D:D)</f>
        <v>#VALUE!</v>
      </c>
      <c r="X86" s="14">
        <f>'05_Daily_Orders'!B87</f>
        <v>7105</v>
      </c>
      <c r="Y86" s="554"/>
      <c r="Z86" s="555"/>
      <c r="AA86" s="555"/>
      <c r="AB86" s="555"/>
      <c r="AC86" s="555">
        <v>0</v>
      </c>
      <c r="AD86" s="555">
        <v>0</v>
      </c>
      <c r="AE86" s="555">
        <v>0</v>
      </c>
      <c r="AF86" s="553">
        <f t="shared" si="10"/>
        <v>0</v>
      </c>
      <c r="AQ86" s="23">
        <v>0</v>
      </c>
      <c r="AR86" s="23">
        <v>0</v>
      </c>
      <c r="AS86" s="23">
        <f t="shared" si="11"/>
        <v>0</v>
      </c>
    </row>
    <row r="87" spans="1:45">
      <c r="A87" s="138">
        <f>_xlfn.XLOOKUP(C89,'00_SKU_Master'!$B$2:$B$378,'00_SKU_Master'!$C$2:$C$378)</f>
        <v>61082</v>
      </c>
      <c r="B87" s="138"/>
      <c r="C87" s="138">
        <f t="shared" si="6"/>
        <v>7109</v>
      </c>
      <c r="D87" s="552" t="e">
        <f ca="1">_xludf.IFNA(_xlfn.XLOOKUP(C89,'00_SKU_Master'!$B$2:$B$378,'00_SKU_Master'!$F$2:$F$378,0)*Y89,"")</f>
        <v>#NAME?</v>
      </c>
      <c r="E87" s="552" t="e">
        <f ca="1">_xludf.IFNA(_xlfn.XLOOKUP(C89,'00_SKU_Master'!$B$2:$B$378,'00_SKU_Master'!$F$2:$F$378,0)*Z89,"")</f>
        <v>#NAME?</v>
      </c>
      <c r="F87" s="552" t="e">
        <f ca="1">_xludf.IFNA(_xlfn.XLOOKUP(C89,'00_SKU_Master'!$B$2:$B$378,'00_SKU_Master'!$F$2:$F$378,0)*AA89,"")</f>
        <v>#NAME?</v>
      </c>
      <c r="G87" s="552" t="e">
        <f ca="1">_xludf.IFNA(_xlfn.XLOOKUP(C89,'00_SKU_Master'!$B$2:$B$378,'00_SKU_Master'!$F$2:$F$378,0)*AB89,"")</f>
        <v>#NAME?</v>
      </c>
      <c r="H87" s="552" t="e">
        <f ca="1">_xludf.IFNA(_xlfn.XLOOKUP(C89,'00_SKU_Master'!$B$2:$B$378,'00_SKU_Master'!$F$2:$F$378,0)*AC89,"")</f>
        <v>#NAME?</v>
      </c>
      <c r="I87" s="552" t="e">
        <f ca="1">_xludf.IFNA(_xlfn.XLOOKUP(C89,'00_SKU_Master'!$B$2:$B$378,'00_SKU_Master'!$F$2:$F$378,0)*AD89,"")</f>
        <v>#NAME?</v>
      </c>
      <c r="J87" s="552" t="e">
        <f ca="1">_xludf.IFNA(_xlfn.XLOOKUP(C89,'00_SKU_Master'!$B$2:$B$378,'00_SKU_Master'!$F$2:$F$378,0)*AE89,"")</f>
        <v>#NAME?</v>
      </c>
      <c r="K87" s="553" t="e">
        <f t="shared" ca="1" si="7"/>
        <v>#NAME?</v>
      </c>
      <c r="L87" s="187" t="e">
        <f>_xlfn.XLOOKUP(C89,'00_SKU_Master'!$B$2:$B$378,'00_SKU_Master'!K:K)</f>
        <v>#VALUE!</v>
      </c>
      <c r="M87" s="14">
        <f t="shared" si="8"/>
        <v>7109</v>
      </c>
      <c r="N87" s="147" t="e">
        <f ca="1">_xludf.IFNA(D89/_xlfn.XLOOKUP($M89,'00_SKU_Master'!$B$2:$B$378,'00_SKU_Master'!$M$2:$M$378,0)/$M$2,"0")</f>
        <v>#NAME?</v>
      </c>
      <c r="O87" s="147" t="e">
        <f ca="1">_xludf.IFNA(E89/_xlfn.XLOOKUP($M89,'00_SKU_Master'!$B$2:$B$378,'00_SKU_Master'!$M$2:$M$378,0)/$M$2,"0")</f>
        <v>#NAME?</v>
      </c>
      <c r="P87" s="147" t="e">
        <f ca="1">_xludf.IFNA(F89/_xlfn.XLOOKUP($M89,'00_SKU_Master'!$B$2:$B$378,'00_SKU_Master'!$M$2:$M$378,0)/$M$2,"0")</f>
        <v>#NAME?</v>
      </c>
      <c r="Q87" s="147" t="e">
        <f ca="1">_xludf.IFNA(G89/_xlfn.XLOOKUP($M89,'00_SKU_Master'!$B$2:$B$378,'00_SKU_Master'!$M$2:$M$378,0)/$M$2,"0")</f>
        <v>#NAME?</v>
      </c>
      <c r="R87" s="147" t="e">
        <f ca="1">_xludf.IFNA(H89/_xlfn.XLOOKUP($M89,'00_SKU_Master'!$B$2:$B$378,'00_SKU_Master'!$M$2:$M$378,0)/$M$2,"0")</f>
        <v>#NAME?</v>
      </c>
      <c r="S87" s="147" t="e">
        <f ca="1">_xludf.IFNA(I89/_xlfn.XLOOKUP($M89,'00_SKU_Master'!$B$2:$B$378,'00_SKU_Master'!$M$2:$M$378,0)/$M$2,"0")</f>
        <v>#NAME?</v>
      </c>
      <c r="T87" s="147" t="e">
        <f ca="1">_xludf.IFNA(J89/_xlfn.XLOOKUP($M89,'00_SKU_Master'!$B$2:$B$378,'00_SKU_Master'!$M$2:$M$378,0)/$M$2,"0")</f>
        <v>#NAME?</v>
      </c>
      <c r="U87" s="147" t="e">
        <f t="shared" ca="1" si="9"/>
        <v>#NAME?</v>
      </c>
      <c r="V87" s="4"/>
      <c r="W87" s="4" t="e">
        <f>_xlfn.XLOOKUP(M89,'00_SKU_Master'!$B$2:$B$378,'00_SKU_Master'!D:D)</f>
        <v>#VALUE!</v>
      </c>
      <c r="X87" s="14">
        <f>'05_Daily_Orders'!B88</f>
        <v>7107</v>
      </c>
      <c r="Y87" s="554"/>
      <c r="Z87" s="555"/>
      <c r="AA87" s="555"/>
      <c r="AB87" s="555"/>
      <c r="AC87" s="555">
        <v>0</v>
      </c>
      <c r="AD87" s="555">
        <v>0</v>
      </c>
      <c r="AE87" s="555">
        <v>0</v>
      </c>
      <c r="AF87" s="553">
        <f t="shared" si="10"/>
        <v>0</v>
      </c>
      <c r="AQ87" s="23">
        <v>0</v>
      </c>
      <c r="AR87" s="23">
        <v>0</v>
      </c>
      <c r="AS87" s="23">
        <f t="shared" si="11"/>
        <v>0</v>
      </c>
    </row>
    <row r="88" spans="1:45">
      <c r="A88" s="138" t="str">
        <f>_xlfn.XLOOKUP(C90,'00_SKU_Master'!$B$2:$B$378,'00_SKU_Master'!$C$2:$C$378)</f>
        <v>61040#2</v>
      </c>
      <c r="B88" s="138"/>
      <c r="C88" s="138">
        <f t="shared" si="6"/>
        <v>7115</v>
      </c>
      <c r="D88" s="552" t="e">
        <f ca="1">_xludf.IFNA(_xlfn.XLOOKUP(C90,'00_SKU_Master'!$B$2:$B$378,'00_SKU_Master'!$F$2:$F$378,0)*Y90,"")</f>
        <v>#NAME?</v>
      </c>
      <c r="E88" s="552" t="e">
        <f ca="1">_xludf.IFNA(_xlfn.XLOOKUP(C90,'00_SKU_Master'!$B$2:$B$378,'00_SKU_Master'!$F$2:$F$378,0)*Z90,"")</f>
        <v>#NAME?</v>
      </c>
      <c r="F88" s="552" t="e">
        <f ca="1">_xludf.IFNA(_xlfn.XLOOKUP(C90,'00_SKU_Master'!$B$2:$B$378,'00_SKU_Master'!$F$2:$F$378,0)*AA90,"")</f>
        <v>#NAME?</v>
      </c>
      <c r="G88" s="552" t="e">
        <f ca="1">_xludf.IFNA(_xlfn.XLOOKUP(C90,'00_SKU_Master'!$B$2:$B$378,'00_SKU_Master'!$F$2:$F$378,0)*AB90,"")</f>
        <v>#NAME?</v>
      </c>
      <c r="H88" s="552" t="e">
        <f ca="1">_xludf.IFNA(_xlfn.XLOOKUP(C90,'00_SKU_Master'!$B$2:$B$378,'00_SKU_Master'!$F$2:$F$378,0)*AC90,"")</f>
        <v>#NAME?</v>
      </c>
      <c r="I88" s="552" t="e">
        <f ca="1">_xludf.IFNA(_xlfn.XLOOKUP(C90,'00_SKU_Master'!$B$2:$B$378,'00_SKU_Master'!$F$2:$F$378,0)*AD90,"")</f>
        <v>#NAME?</v>
      </c>
      <c r="J88" s="552" t="e">
        <f ca="1">_xludf.IFNA(_xlfn.XLOOKUP(C90,'00_SKU_Master'!$B$2:$B$378,'00_SKU_Master'!$F$2:$F$378,0)*AE90,"")</f>
        <v>#NAME?</v>
      </c>
      <c r="K88" s="553" t="e">
        <f t="shared" ca="1" si="7"/>
        <v>#NAME?</v>
      </c>
      <c r="L88" s="187" t="e">
        <f>_xlfn.XLOOKUP(C90,'00_SKU_Master'!$B$2:$B$378,'00_SKU_Master'!K:K)</f>
        <v>#VALUE!</v>
      </c>
      <c r="M88" s="14">
        <f t="shared" si="8"/>
        <v>7115</v>
      </c>
      <c r="N88" s="147" t="e">
        <f ca="1">_xludf.IFNA(D90/_xlfn.XLOOKUP($M90,'00_SKU_Master'!$B$2:$B$378,'00_SKU_Master'!$M$2:$M$378,0)/$M$2,"0")</f>
        <v>#NAME?</v>
      </c>
      <c r="O88" s="147" t="e">
        <f ca="1">_xludf.IFNA(E90/_xlfn.XLOOKUP($M90,'00_SKU_Master'!$B$2:$B$378,'00_SKU_Master'!$M$2:$M$378,0)/$M$2,"0")</f>
        <v>#NAME?</v>
      </c>
      <c r="P88" s="147" t="e">
        <f ca="1">_xludf.IFNA(F90/_xlfn.XLOOKUP($M90,'00_SKU_Master'!$B$2:$B$378,'00_SKU_Master'!$M$2:$M$378,0)/$M$2,"0")</f>
        <v>#NAME?</v>
      </c>
      <c r="Q88" s="147" t="e">
        <f ca="1">_xludf.IFNA(G90/_xlfn.XLOOKUP($M90,'00_SKU_Master'!$B$2:$B$378,'00_SKU_Master'!$M$2:$M$378,0)/$M$2,"0")</f>
        <v>#NAME?</v>
      </c>
      <c r="R88" s="147" t="e">
        <f ca="1">_xludf.IFNA(H90/_xlfn.XLOOKUP($M90,'00_SKU_Master'!$B$2:$B$378,'00_SKU_Master'!$M$2:$M$378,0)/$M$2,"0")</f>
        <v>#NAME?</v>
      </c>
      <c r="S88" s="147" t="e">
        <f ca="1">_xludf.IFNA(I90/_xlfn.XLOOKUP($M90,'00_SKU_Master'!$B$2:$B$378,'00_SKU_Master'!$M$2:$M$378,0)/$M$2,"0")</f>
        <v>#NAME?</v>
      </c>
      <c r="T88" s="147" t="e">
        <f ca="1">_xludf.IFNA(J90/_xlfn.XLOOKUP($M90,'00_SKU_Master'!$B$2:$B$378,'00_SKU_Master'!$M$2:$M$378,0)/$M$2,"0")</f>
        <v>#NAME?</v>
      </c>
      <c r="U88" s="147" t="e">
        <f t="shared" ca="1" si="9"/>
        <v>#NAME?</v>
      </c>
      <c r="V88" s="4"/>
      <c r="W88" s="4" t="e">
        <f>_xlfn.XLOOKUP(M90,'00_SKU_Master'!$B$2:$B$378,'00_SKU_Master'!D:D)</f>
        <v>#VALUE!</v>
      </c>
      <c r="X88" s="14">
        <f>'05_Daily_Orders'!B89</f>
        <v>7108</v>
      </c>
      <c r="Y88" s="554"/>
      <c r="Z88" s="555"/>
      <c r="AA88" s="555"/>
      <c r="AB88" s="555"/>
      <c r="AC88" s="555">
        <v>0</v>
      </c>
      <c r="AD88" s="555">
        <v>0</v>
      </c>
      <c r="AE88" s="555">
        <v>0</v>
      </c>
      <c r="AF88" s="553">
        <f t="shared" si="10"/>
        <v>0</v>
      </c>
      <c r="AQ88" s="23">
        <v>0</v>
      </c>
      <c r="AR88" s="23">
        <v>0</v>
      </c>
      <c r="AS88" s="23">
        <f t="shared" si="11"/>
        <v>0</v>
      </c>
    </row>
    <row r="89" spans="1:45">
      <c r="A89" s="138" t="str">
        <f>_xlfn.XLOOKUP(C91,'00_SKU_Master'!$B$2:$B$378,'00_SKU_Master'!$C$2:$C$378)</f>
        <v>61048#2</v>
      </c>
      <c r="B89" s="138"/>
      <c r="C89" s="138">
        <f t="shared" si="6"/>
        <v>7116</v>
      </c>
      <c r="D89" s="552" t="e">
        <f ca="1">_xludf.IFNA(_xlfn.XLOOKUP(C91,'00_SKU_Master'!$B$2:$B$378,'00_SKU_Master'!$F$2:$F$378,0)*Y91,"")</f>
        <v>#NAME?</v>
      </c>
      <c r="E89" s="552" t="e">
        <f ca="1">_xludf.IFNA(_xlfn.XLOOKUP(C91,'00_SKU_Master'!$B$2:$B$378,'00_SKU_Master'!$F$2:$F$378,0)*Z91,"")</f>
        <v>#NAME?</v>
      </c>
      <c r="F89" s="552" t="e">
        <f ca="1">_xludf.IFNA(_xlfn.XLOOKUP(C91,'00_SKU_Master'!$B$2:$B$378,'00_SKU_Master'!$F$2:$F$378,0)*AA91,"")</f>
        <v>#NAME?</v>
      </c>
      <c r="G89" s="552" t="e">
        <f ca="1">_xludf.IFNA(_xlfn.XLOOKUP(C91,'00_SKU_Master'!$B$2:$B$378,'00_SKU_Master'!$F$2:$F$378,0)*AB91,"")</f>
        <v>#NAME?</v>
      </c>
      <c r="H89" s="552" t="e">
        <f ca="1">_xludf.IFNA(_xlfn.XLOOKUP(C91,'00_SKU_Master'!$B$2:$B$378,'00_SKU_Master'!$F$2:$F$378,0)*AC91,"")</f>
        <v>#NAME?</v>
      </c>
      <c r="I89" s="552" t="e">
        <f ca="1">_xludf.IFNA(_xlfn.XLOOKUP(C91,'00_SKU_Master'!$B$2:$B$378,'00_SKU_Master'!$F$2:$F$378,0)*AD91,"")</f>
        <v>#NAME?</v>
      </c>
      <c r="J89" s="552" t="e">
        <f ca="1">_xludf.IFNA(_xlfn.XLOOKUP(C91,'00_SKU_Master'!$B$2:$B$378,'00_SKU_Master'!$F$2:$F$378,0)*AE91,"")</f>
        <v>#NAME?</v>
      </c>
      <c r="K89" s="553" t="e">
        <f t="shared" ca="1" si="7"/>
        <v>#NAME?</v>
      </c>
      <c r="L89" s="187" t="e">
        <f>_xlfn.XLOOKUP(C91,'00_SKU_Master'!$B$2:$B$378,'00_SKU_Master'!K:K)</f>
        <v>#VALUE!</v>
      </c>
      <c r="M89" s="14">
        <f t="shared" si="8"/>
        <v>7116</v>
      </c>
      <c r="N89" s="147" t="e">
        <f ca="1">_xludf.IFNA(D91/_xlfn.XLOOKUP($M91,'00_SKU_Master'!$B$2:$B$378,'00_SKU_Master'!$M$2:$M$378,0)/$M$2,"0")</f>
        <v>#NAME?</v>
      </c>
      <c r="O89" s="147" t="e">
        <f ca="1">_xludf.IFNA(E91/_xlfn.XLOOKUP($M91,'00_SKU_Master'!$B$2:$B$378,'00_SKU_Master'!$M$2:$M$378,0)/$M$2,"0")</f>
        <v>#NAME?</v>
      </c>
      <c r="P89" s="147" t="e">
        <f ca="1">_xludf.IFNA(F91/_xlfn.XLOOKUP($M91,'00_SKU_Master'!$B$2:$B$378,'00_SKU_Master'!$M$2:$M$378,0)/$M$2,"0")</f>
        <v>#NAME?</v>
      </c>
      <c r="Q89" s="147" t="e">
        <f ca="1">_xludf.IFNA(G91/_xlfn.XLOOKUP($M91,'00_SKU_Master'!$B$2:$B$378,'00_SKU_Master'!$M$2:$M$378,0)/$M$2,"0")</f>
        <v>#NAME?</v>
      </c>
      <c r="R89" s="147" t="e">
        <f ca="1">_xludf.IFNA(H91/_xlfn.XLOOKUP($M91,'00_SKU_Master'!$B$2:$B$378,'00_SKU_Master'!$M$2:$M$378,0)/$M$2,"0")</f>
        <v>#NAME?</v>
      </c>
      <c r="S89" s="147" t="e">
        <f ca="1">_xludf.IFNA(I91/_xlfn.XLOOKUP($M91,'00_SKU_Master'!$B$2:$B$378,'00_SKU_Master'!$M$2:$M$378,0)/$M$2,"0")</f>
        <v>#NAME?</v>
      </c>
      <c r="T89" s="147" t="e">
        <f ca="1">_xludf.IFNA(J91/_xlfn.XLOOKUP($M91,'00_SKU_Master'!$B$2:$B$378,'00_SKU_Master'!$M$2:$M$378,0)/$M$2,"0")</f>
        <v>#NAME?</v>
      </c>
      <c r="U89" s="147" t="e">
        <f t="shared" ca="1" si="9"/>
        <v>#NAME?</v>
      </c>
      <c r="V89" s="4"/>
      <c r="W89" s="4" t="e">
        <f>_xlfn.XLOOKUP(M91,'00_SKU_Master'!$B$2:$B$378,'00_SKU_Master'!D:D)</f>
        <v>#VALUE!</v>
      </c>
      <c r="X89" s="14">
        <f>'05_Daily_Orders'!B90</f>
        <v>7109</v>
      </c>
      <c r="Y89" s="554"/>
      <c r="Z89" s="555"/>
      <c r="AA89" s="555"/>
      <c r="AB89" s="555"/>
      <c r="AC89" s="555">
        <v>0</v>
      </c>
      <c r="AD89" s="555">
        <v>0</v>
      </c>
      <c r="AE89" s="555">
        <v>0</v>
      </c>
      <c r="AF89" s="553">
        <f t="shared" si="10"/>
        <v>0</v>
      </c>
      <c r="AQ89" s="23">
        <v>0</v>
      </c>
      <c r="AR89" s="23">
        <v>0</v>
      </c>
      <c r="AS89" s="23">
        <f t="shared" si="11"/>
        <v>160</v>
      </c>
    </row>
    <row r="90" spans="1:45">
      <c r="A90" s="138" t="str">
        <f>_xlfn.XLOOKUP(C92,'00_SKU_Master'!$B$2:$B$378,'00_SKU_Master'!$C$2:$C$378)</f>
        <v>61048#2</v>
      </c>
      <c r="B90" s="138"/>
      <c r="C90" s="138">
        <f t="shared" si="6"/>
        <v>7117</v>
      </c>
      <c r="D90" s="552" t="e">
        <f ca="1">_xludf.IFNA(_xlfn.XLOOKUP(C92,'00_SKU_Master'!$B$2:$B$378,'00_SKU_Master'!$F$2:$F$378,0)*Y92,"")</f>
        <v>#NAME?</v>
      </c>
      <c r="E90" s="552" t="e">
        <f ca="1">_xludf.IFNA(_xlfn.XLOOKUP(C92,'00_SKU_Master'!$B$2:$B$378,'00_SKU_Master'!$F$2:$F$378,0)*Z92,"")</f>
        <v>#NAME?</v>
      </c>
      <c r="F90" s="552" t="e">
        <f ca="1">_xludf.IFNA(_xlfn.XLOOKUP(C92,'00_SKU_Master'!$B$2:$B$378,'00_SKU_Master'!$F$2:$F$378,0)*AA92,"")</f>
        <v>#NAME?</v>
      </c>
      <c r="G90" s="552" t="e">
        <f ca="1">_xludf.IFNA(_xlfn.XLOOKUP(C92,'00_SKU_Master'!$B$2:$B$378,'00_SKU_Master'!$F$2:$F$378,0)*AB92,"")</f>
        <v>#NAME?</v>
      </c>
      <c r="H90" s="552" t="e">
        <f ca="1">_xludf.IFNA(_xlfn.XLOOKUP(C92,'00_SKU_Master'!$B$2:$B$378,'00_SKU_Master'!$F$2:$F$378,0)*AC92,"")</f>
        <v>#NAME?</v>
      </c>
      <c r="I90" s="552" t="e">
        <f ca="1">_xludf.IFNA(_xlfn.XLOOKUP(C92,'00_SKU_Master'!$B$2:$B$378,'00_SKU_Master'!$F$2:$F$378,0)*AD92,"")</f>
        <v>#NAME?</v>
      </c>
      <c r="J90" s="552" t="e">
        <f ca="1">_xludf.IFNA(_xlfn.XLOOKUP(C92,'00_SKU_Master'!$B$2:$B$378,'00_SKU_Master'!$F$2:$F$378,0)*AE92,"")</f>
        <v>#NAME?</v>
      </c>
      <c r="K90" s="553" t="e">
        <f t="shared" ca="1" si="7"/>
        <v>#NAME?</v>
      </c>
      <c r="L90" s="187" t="e">
        <f>_xlfn.XLOOKUP(C92,'00_SKU_Master'!$B$2:$B$378,'00_SKU_Master'!K:K)</f>
        <v>#VALUE!</v>
      </c>
      <c r="M90" s="14">
        <f t="shared" si="8"/>
        <v>7117</v>
      </c>
      <c r="N90" s="147" t="e">
        <f ca="1">_xludf.IFNA(D92/_xlfn.XLOOKUP($M92,'00_SKU_Master'!$B$2:$B$378,'00_SKU_Master'!$M$2:$M$378,0)/$M$2,"0")</f>
        <v>#NAME?</v>
      </c>
      <c r="O90" s="147" t="e">
        <f ca="1">_xludf.IFNA(E92/_xlfn.XLOOKUP($M92,'00_SKU_Master'!$B$2:$B$378,'00_SKU_Master'!$M$2:$M$378,0)/$M$2,"0")</f>
        <v>#NAME?</v>
      </c>
      <c r="P90" s="147" t="e">
        <f ca="1">_xludf.IFNA(F92/_xlfn.XLOOKUP($M92,'00_SKU_Master'!$B$2:$B$378,'00_SKU_Master'!$M$2:$M$378,0)/$M$2,"0")</f>
        <v>#NAME?</v>
      </c>
      <c r="Q90" s="147" t="e">
        <f ca="1">_xludf.IFNA(G92/_xlfn.XLOOKUP($M92,'00_SKU_Master'!$B$2:$B$378,'00_SKU_Master'!$M$2:$M$378,0)/$M$2,"0")</f>
        <v>#NAME?</v>
      </c>
      <c r="R90" s="147" t="e">
        <f ca="1">_xludf.IFNA(H92/_xlfn.XLOOKUP($M92,'00_SKU_Master'!$B$2:$B$378,'00_SKU_Master'!$M$2:$M$378,0)/$M$2,"0")</f>
        <v>#NAME?</v>
      </c>
      <c r="S90" s="147" t="e">
        <f ca="1">_xludf.IFNA(I92/_xlfn.XLOOKUP($M92,'00_SKU_Master'!$B$2:$B$378,'00_SKU_Master'!$M$2:$M$378,0)/$M$2,"0")</f>
        <v>#NAME?</v>
      </c>
      <c r="T90" s="147" t="e">
        <f ca="1">_xludf.IFNA(J92/_xlfn.XLOOKUP($M92,'00_SKU_Master'!$B$2:$B$378,'00_SKU_Master'!$M$2:$M$378,0)/$M$2,"0")</f>
        <v>#NAME?</v>
      </c>
      <c r="U90" s="147" t="e">
        <f t="shared" ca="1" si="9"/>
        <v>#NAME?</v>
      </c>
      <c r="V90" s="4"/>
      <c r="W90" s="4" t="e">
        <f>_xlfn.XLOOKUP(M92,'00_SKU_Master'!$B$2:$B$378,'00_SKU_Master'!D:D)</f>
        <v>#VALUE!</v>
      </c>
      <c r="X90" s="14">
        <f>'05_Daily_Orders'!B91</f>
        <v>7115</v>
      </c>
      <c r="Y90" s="554"/>
      <c r="Z90" s="555"/>
      <c r="AA90" s="555"/>
      <c r="AB90" s="555"/>
      <c r="AC90" s="555">
        <v>0</v>
      </c>
      <c r="AD90" s="555">
        <v>0</v>
      </c>
      <c r="AE90" s="555">
        <v>0</v>
      </c>
      <c r="AF90" s="553">
        <f t="shared" si="10"/>
        <v>0</v>
      </c>
      <c r="AQ90" s="23">
        <v>0</v>
      </c>
      <c r="AR90" s="23">
        <v>0</v>
      </c>
      <c r="AS90" s="23">
        <f t="shared" si="11"/>
        <v>0</v>
      </c>
    </row>
    <row r="91" spans="1:45">
      <c r="A91" s="138" t="str">
        <f>_xlfn.XLOOKUP(C93,'00_SKU_Master'!$B$2:$B$378,'00_SKU_Master'!$C$2:$C$378)</f>
        <v>61086#2</v>
      </c>
      <c r="B91" s="138"/>
      <c r="C91" s="138">
        <f t="shared" si="6"/>
        <v>7118</v>
      </c>
      <c r="D91" s="552" t="e">
        <f ca="1">_xludf.IFNA(_xlfn.XLOOKUP(C93,'00_SKU_Master'!$B$2:$B$378,'00_SKU_Master'!$F$2:$F$378,0)*Y93,"")</f>
        <v>#NAME?</v>
      </c>
      <c r="E91" s="552" t="e">
        <f ca="1">_xludf.IFNA(_xlfn.XLOOKUP(C93,'00_SKU_Master'!$B$2:$B$378,'00_SKU_Master'!$F$2:$F$378,0)*Z93,"")</f>
        <v>#NAME?</v>
      </c>
      <c r="F91" s="552" t="e">
        <f ca="1">_xludf.IFNA(_xlfn.XLOOKUP(C93,'00_SKU_Master'!$B$2:$B$378,'00_SKU_Master'!$F$2:$F$378,0)*AA93,"")</f>
        <v>#NAME?</v>
      </c>
      <c r="G91" s="552" t="e">
        <f ca="1">_xludf.IFNA(_xlfn.XLOOKUP(C93,'00_SKU_Master'!$B$2:$B$378,'00_SKU_Master'!$F$2:$F$378,0)*AB93,"")</f>
        <v>#NAME?</v>
      </c>
      <c r="H91" s="552" t="e">
        <f ca="1">_xludf.IFNA(_xlfn.XLOOKUP(C93,'00_SKU_Master'!$B$2:$B$378,'00_SKU_Master'!$F$2:$F$378,0)*AC93,"")</f>
        <v>#NAME?</v>
      </c>
      <c r="I91" s="552" t="e">
        <f ca="1">_xludf.IFNA(_xlfn.XLOOKUP(C93,'00_SKU_Master'!$B$2:$B$378,'00_SKU_Master'!$F$2:$F$378,0)*AD93,"")</f>
        <v>#NAME?</v>
      </c>
      <c r="J91" s="552" t="e">
        <f ca="1">_xludf.IFNA(_xlfn.XLOOKUP(C93,'00_SKU_Master'!$B$2:$B$378,'00_SKU_Master'!$F$2:$F$378,0)*AE93,"")</f>
        <v>#NAME?</v>
      </c>
      <c r="K91" s="553" t="e">
        <f t="shared" ca="1" si="7"/>
        <v>#NAME?</v>
      </c>
      <c r="L91" s="187" t="e">
        <f>_xlfn.XLOOKUP(C93,'00_SKU_Master'!$B$2:$B$378,'00_SKU_Master'!K:K)</f>
        <v>#VALUE!</v>
      </c>
      <c r="M91" s="14">
        <f t="shared" si="8"/>
        <v>7118</v>
      </c>
      <c r="N91" s="147" t="e">
        <f ca="1">_xludf.IFNA(D93/_xlfn.XLOOKUP($M93,'00_SKU_Master'!$B$2:$B$378,'00_SKU_Master'!$M$2:$M$378,0)/$M$2,"0")</f>
        <v>#NAME?</v>
      </c>
      <c r="O91" s="147" t="e">
        <f ca="1">_xludf.IFNA(E93/_xlfn.XLOOKUP($M93,'00_SKU_Master'!$B$2:$B$378,'00_SKU_Master'!$M$2:$M$378,0)/$M$2,"0")</f>
        <v>#NAME?</v>
      </c>
      <c r="P91" s="147" t="e">
        <f ca="1">_xludf.IFNA(F93/_xlfn.XLOOKUP($M93,'00_SKU_Master'!$B$2:$B$378,'00_SKU_Master'!$M$2:$M$378,0)/$M$2,"0")</f>
        <v>#NAME?</v>
      </c>
      <c r="Q91" s="147" t="e">
        <f ca="1">_xludf.IFNA(G93/_xlfn.XLOOKUP($M93,'00_SKU_Master'!$B$2:$B$378,'00_SKU_Master'!$M$2:$M$378,0)/$M$2,"0")</f>
        <v>#NAME?</v>
      </c>
      <c r="R91" s="147" t="e">
        <f ca="1">_xludf.IFNA(H93/_xlfn.XLOOKUP($M93,'00_SKU_Master'!$B$2:$B$378,'00_SKU_Master'!$M$2:$M$378,0)/$M$2,"0")</f>
        <v>#NAME?</v>
      </c>
      <c r="S91" s="147" t="e">
        <f ca="1">_xludf.IFNA(I93/_xlfn.XLOOKUP($M93,'00_SKU_Master'!$B$2:$B$378,'00_SKU_Master'!$M$2:$M$378,0)/$M$2,"0")</f>
        <v>#NAME?</v>
      </c>
      <c r="T91" s="147" t="e">
        <f ca="1">_xludf.IFNA(J93/_xlfn.XLOOKUP($M93,'00_SKU_Master'!$B$2:$B$378,'00_SKU_Master'!$M$2:$M$378,0)/$M$2,"0")</f>
        <v>#NAME?</v>
      </c>
      <c r="U91" s="147" t="e">
        <f t="shared" ca="1" si="9"/>
        <v>#NAME?</v>
      </c>
      <c r="V91" s="4"/>
      <c r="W91" s="4" t="e">
        <f>_xlfn.XLOOKUP(M93,'00_SKU_Master'!$B$2:$B$378,'00_SKU_Master'!D:D)</f>
        <v>#VALUE!</v>
      </c>
      <c r="X91" s="14">
        <f>'05_Daily_Orders'!B92</f>
        <v>7116</v>
      </c>
      <c r="Y91" s="554"/>
      <c r="Z91" s="555"/>
      <c r="AA91" s="555"/>
      <c r="AB91" s="555"/>
      <c r="AC91" s="555">
        <v>0</v>
      </c>
      <c r="AD91" s="555">
        <v>0</v>
      </c>
      <c r="AE91" s="555">
        <v>0</v>
      </c>
      <c r="AF91" s="553">
        <f t="shared" si="10"/>
        <v>0</v>
      </c>
      <c r="AQ91" s="23">
        <v>0</v>
      </c>
      <c r="AR91" s="23">
        <v>160</v>
      </c>
      <c r="AS91" s="23">
        <f t="shared" si="11"/>
        <v>0</v>
      </c>
    </row>
    <row r="92" spans="1:45">
      <c r="A92" s="138">
        <f>_xlfn.XLOOKUP(C94,'00_SKU_Master'!$B$2:$B$378,'00_SKU_Master'!$C$2:$C$378)</f>
        <v>203041</v>
      </c>
      <c r="B92" s="138"/>
      <c r="C92" s="138">
        <f t="shared" si="6"/>
        <v>7119</v>
      </c>
      <c r="D92" s="552" t="e">
        <f ca="1">_xludf.IFNA(_xlfn.XLOOKUP(C94,'00_SKU_Master'!$B$2:$B$378,'00_SKU_Master'!$F$2:$F$378,0)*Y94,"")</f>
        <v>#NAME?</v>
      </c>
      <c r="E92" s="552" t="e">
        <f ca="1">_xludf.IFNA(_xlfn.XLOOKUP(C94,'00_SKU_Master'!$B$2:$B$378,'00_SKU_Master'!$F$2:$F$378,0)*Z94,"")</f>
        <v>#NAME?</v>
      </c>
      <c r="F92" s="552" t="e">
        <f ca="1">_xludf.IFNA(_xlfn.XLOOKUP(C94,'00_SKU_Master'!$B$2:$B$378,'00_SKU_Master'!$F$2:$F$378,0)*AA94,"")</f>
        <v>#NAME?</v>
      </c>
      <c r="G92" s="552" t="e">
        <f ca="1">_xludf.IFNA(_xlfn.XLOOKUP(C94,'00_SKU_Master'!$B$2:$B$378,'00_SKU_Master'!$F$2:$F$378,0)*AB94,"")</f>
        <v>#NAME?</v>
      </c>
      <c r="H92" s="552" t="e">
        <f ca="1">_xludf.IFNA(_xlfn.XLOOKUP(C94,'00_SKU_Master'!$B$2:$B$378,'00_SKU_Master'!$F$2:$F$378,0)*AC94,"")</f>
        <v>#NAME?</v>
      </c>
      <c r="I92" s="552" t="e">
        <f ca="1">_xludf.IFNA(_xlfn.XLOOKUP(C94,'00_SKU_Master'!$B$2:$B$378,'00_SKU_Master'!$F$2:$F$378,0)*AD94,"")</f>
        <v>#NAME?</v>
      </c>
      <c r="J92" s="552" t="e">
        <f ca="1">_xludf.IFNA(_xlfn.XLOOKUP(C94,'00_SKU_Master'!$B$2:$B$378,'00_SKU_Master'!$F$2:$F$378,0)*AE94,"")</f>
        <v>#NAME?</v>
      </c>
      <c r="K92" s="553" t="e">
        <f t="shared" ca="1" si="7"/>
        <v>#NAME?</v>
      </c>
      <c r="L92" s="187" t="e">
        <f>_xlfn.XLOOKUP(C94,'00_SKU_Master'!$B$2:$B$378,'00_SKU_Master'!K:K)</f>
        <v>#VALUE!</v>
      </c>
      <c r="M92" s="14">
        <f t="shared" si="8"/>
        <v>7119</v>
      </c>
      <c r="N92" s="147" t="e">
        <f ca="1">_xludf.IFNA(D94/_xlfn.XLOOKUP($M94,'00_SKU_Master'!$B$2:$B$378,'00_SKU_Master'!$M$2:$M$378,0)/$M$2,"0")</f>
        <v>#NAME?</v>
      </c>
      <c r="O92" s="147" t="e">
        <f ca="1">_xludf.IFNA(E94/_xlfn.XLOOKUP($M94,'00_SKU_Master'!$B$2:$B$378,'00_SKU_Master'!$M$2:$M$378,0)/$M$2,"0")</f>
        <v>#NAME?</v>
      </c>
      <c r="P92" s="147" t="e">
        <f ca="1">_xludf.IFNA(F94/_xlfn.XLOOKUP($M94,'00_SKU_Master'!$B$2:$B$378,'00_SKU_Master'!$M$2:$M$378,0)/$M$2,"0")</f>
        <v>#NAME?</v>
      </c>
      <c r="Q92" s="147" t="e">
        <f ca="1">_xludf.IFNA(G94/_xlfn.XLOOKUP($M94,'00_SKU_Master'!$B$2:$B$378,'00_SKU_Master'!$M$2:$M$378,0)/$M$2,"0")</f>
        <v>#NAME?</v>
      </c>
      <c r="R92" s="147" t="e">
        <f ca="1">_xludf.IFNA(H94/_xlfn.XLOOKUP($M94,'00_SKU_Master'!$B$2:$B$378,'00_SKU_Master'!$M$2:$M$378,0)/$M$2,"0")</f>
        <v>#NAME?</v>
      </c>
      <c r="S92" s="147" t="e">
        <f ca="1">_xludf.IFNA(I94/_xlfn.XLOOKUP($M94,'00_SKU_Master'!$B$2:$B$378,'00_SKU_Master'!$M$2:$M$378,0)/$M$2,"0")</f>
        <v>#NAME?</v>
      </c>
      <c r="T92" s="147" t="e">
        <f ca="1">_xludf.IFNA(J94/_xlfn.XLOOKUP($M94,'00_SKU_Master'!$B$2:$B$378,'00_SKU_Master'!$M$2:$M$378,0)/$M$2,"0")</f>
        <v>#NAME?</v>
      </c>
      <c r="U92" s="147" t="e">
        <f t="shared" ca="1" si="9"/>
        <v>#NAME?</v>
      </c>
      <c r="V92" s="4"/>
      <c r="W92" s="4" t="e">
        <f>_xlfn.XLOOKUP(M94,'00_SKU_Master'!$B$2:$B$378,'00_SKU_Master'!D:D)</f>
        <v>#VALUE!</v>
      </c>
      <c r="X92" s="14">
        <f>'05_Daily_Orders'!B93</f>
        <v>7117</v>
      </c>
      <c r="Y92" s="554"/>
      <c r="Z92" s="555"/>
      <c r="AA92" s="555"/>
      <c r="AB92" s="555"/>
      <c r="AC92" s="555">
        <v>0</v>
      </c>
      <c r="AD92" s="555">
        <v>0</v>
      </c>
      <c r="AE92" s="555">
        <v>0</v>
      </c>
      <c r="AF92" s="553">
        <f t="shared" si="10"/>
        <v>0</v>
      </c>
      <c r="AQ92" s="23">
        <v>0</v>
      </c>
      <c r="AR92" s="23">
        <v>0</v>
      </c>
      <c r="AS92" s="23">
        <f t="shared" si="11"/>
        <v>0</v>
      </c>
    </row>
    <row r="93" spans="1:45">
      <c r="A93" s="138" t="str">
        <f>_xlfn.XLOOKUP(C95,'00_SKU_Master'!$B$2:$B$378,'00_SKU_Master'!$C$2:$C$378)</f>
        <v>61072#2</v>
      </c>
      <c r="B93" s="138"/>
      <c r="C93" s="138">
        <f t="shared" si="6"/>
        <v>7120</v>
      </c>
      <c r="D93" s="552" t="e">
        <f ca="1">_xludf.IFNA(_xlfn.XLOOKUP(C95,'00_SKU_Master'!$B$2:$B$378,'00_SKU_Master'!$F$2:$F$378,0)*Y95,"")</f>
        <v>#NAME?</v>
      </c>
      <c r="E93" s="552" t="e">
        <f ca="1">_xludf.IFNA(_xlfn.XLOOKUP(C95,'00_SKU_Master'!$B$2:$B$378,'00_SKU_Master'!$F$2:$F$378,0)*Z95,"")</f>
        <v>#NAME?</v>
      </c>
      <c r="F93" s="552" t="e">
        <f ca="1">_xludf.IFNA(_xlfn.XLOOKUP(C95,'00_SKU_Master'!$B$2:$B$378,'00_SKU_Master'!$F$2:$F$378,0)*AA95,"")</f>
        <v>#NAME?</v>
      </c>
      <c r="G93" s="552" t="e">
        <f ca="1">_xludf.IFNA(_xlfn.XLOOKUP(C95,'00_SKU_Master'!$B$2:$B$378,'00_SKU_Master'!$F$2:$F$378,0)*AB95,"")</f>
        <v>#NAME?</v>
      </c>
      <c r="H93" s="552" t="e">
        <f ca="1">_xludf.IFNA(_xlfn.XLOOKUP(C95,'00_SKU_Master'!$B$2:$B$378,'00_SKU_Master'!$F$2:$F$378,0)*AC95,"")</f>
        <v>#NAME?</v>
      </c>
      <c r="I93" s="552" t="e">
        <f ca="1">_xludf.IFNA(_xlfn.XLOOKUP(C95,'00_SKU_Master'!$B$2:$B$378,'00_SKU_Master'!$F$2:$F$378,0)*AD95,"")</f>
        <v>#NAME?</v>
      </c>
      <c r="J93" s="552" t="e">
        <f ca="1">_xludf.IFNA(_xlfn.XLOOKUP(C95,'00_SKU_Master'!$B$2:$B$378,'00_SKU_Master'!$F$2:$F$378,0)*AE95,"")</f>
        <v>#NAME?</v>
      </c>
      <c r="K93" s="553" t="e">
        <f t="shared" ca="1" si="7"/>
        <v>#NAME?</v>
      </c>
      <c r="L93" s="187" t="e">
        <f>_xlfn.XLOOKUP(C95,'00_SKU_Master'!$B$2:$B$378,'00_SKU_Master'!K:K)</f>
        <v>#VALUE!</v>
      </c>
      <c r="M93" s="14">
        <f t="shared" si="8"/>
        <v>7120</v>
      </c>
      <c r="N93" s="147" t="e">
        <f ca="1">_xludf.IFNA(D95/_xlfn.XLOOKUP($M95,'00_SKU_Master'!$B$2:$B$378,'00_SKU_Master'!$M$2:$M$378,0)/$M$2,"0")</f>
        <v>#NAME?</v>
      </c>
      <c r="O93" s="147" t="e">
        <f ca="1">_xludf.IFNA(E95/_xlfn.XLOOKUP($M95,'00_SKU_Master'!$B$2:$B$378,'00_SKU_Master'!$M$2:$M$378,0)/$M$2,"0")</f>
        <v>#NAME?</v>
      </c>
      <c r="P93" s="147" t="e">
        <f ca="1">_xludf.IFNA(F95/_xlfn.XLOOKUP($M95,'00_SKU_Master'!$B$2:$B$378,'00_SKU_Master'!$M$2:$M$378,0)/$M$2,"0")</f>
        <v>#NAME?</v>
      </c>
      <c r="Q93" s="147" t="e">
        <f ca="1">_xludf.IFNA(G95/_xlfn.XLOOKUP($M95,'00_SKU_Master'!$B$2:$B$378,'00_SKU_Master'!$M$2:$M$378,0)/$M$2,"0")</f>
        <v>#NAME?</v>
      </c>
      <c r="R93" s="147" t="e">
        <f ca="1">_xludf.IFNA(H95/_xlfn.XLOOKUP($M95,'00_SKU_Master'!$B$2:$B$378,'00_SKU_Master'!$M$2:$M$378,0)/$M$2,"0")</f>
        <v>#NAME?</v>
      </c>
      <c r="S93" s="147" t="e">
        <f ca="1">_xludf.IFNA(I95/_xlfn.XLOOKUP($M95,'00_SKU_Master'!$B$2:$B$378,'00_SKU_Master'!$M$2:$M$378,0)/$M$2,"0")</f>
        <v>#NAME?</v>
      </c>
      <c r="T93" s="147" t="e">
        <f ca="1">_xludf.IFNA(J95/_xlfn.XLOOKUP($M95,'00_SKU_Master'!$B$2:$B$378,'00_SKU_Master'!$M$2:$M$378,0)/$M$2,"0")</f>
        <v>#NAME?</v>
      </c>
      <c r="U93" s="147" t="e">
        <f t="shared" ca="1" si="9"/>
        <v>#NAME?</v>
      </c>
      <c r="V93" s="4"/>
      <c r="W93" s="4" t="e">
        <f>_xlfn.XLOOKUP(M95,'00_SKU_Master'!$B$2:$B$378,'00_SKU_Master'!D:D)</f>
        <v>#VALUE!</v>
      </c>
      <c r="X93" s="14">
        <f>'05_Daily_Orders'!B94</f>
        <v>7118</v>
      </c>
      <c r="Y93" s="554"/>
      <c r="Z93" s="555"/>
      <c r="AA93" s="555"/>
      <c r="AB93" s="555"/>
      <c r="AC93" s="555">
        <v>0</v>
      </c>
      <c r="AD93" s="555">
        <v>0</v>
      </c>
      <c r="AE93" s="555">
        <v>0</v>
      </c>
      <c r="AF93" s="553">
        <f t="shared" si="10"/>
        <v>0</v>
      </c>
      <c r="AQ93" s="23">
        <v>0</v>
      </c>
      <c r="AR93" s="23">
        <v>0</v>
      </c>
      <c r="AS93" s="23">
        <f t="shared" si="11"/>
        <v>0</v>
      </c>
    </row>
    <row r="94" spans="1:45">
      <c r="A94" s="138">
        <f>_xlfn.XLOOKUP(C96,'00_SKU_Master'!$B$2:$B$378,'00_SKU_Master'!$C$2:$C$378)</f>
        <v>61082</v>
      </c>
      <c r="B94" s="138"/>
      <c r="C94" s="138">
        <f t="shared" si="6"/>
        <v>7121</v>
      </c>
      <c r="D94" s="552" t="e">
        <f ca="1">_xludf.IFNA(_xlfn.XLOOKUP(C96,'00_SKU_Master'!$B$2:$B$378,'00_SKU_Master'!$F$2:$F$378,0)*Y96,"")</f>
        <v>#NAME?</v>
      </c>
      <c r="E94" s="552" t="e">
        <f ca="1">_xludf.IFNA(_xlfn.XLOOKUP(C96,'00_SKU_Master'!$B$2:$B$378,'00_SKU_Master'!$F$2:$F$378,0)*Z96,"")</f>
        <v>#NAME?</v>
      </c>
      <c r="F94" s="552" t="e">
        <f ca="1">_xludf.IFNA(_xlfn.XLOOKUP(C96,'00_SKU_Master'!$B$2:$B$378,'00_SKU_Master'!$F$2:$F$378,0)*AA96,"")</f>
        <v>#NAME?</v>
      </c>
      <c r="G94" s="552" t="e">
        <f ca="1">_xludf.IFNA(_xlfn.XLOOKUP(C96,'00_SKU_Master'!$B$2:$B$378,'00_SKU_Master'!$F$2:$F$378,0)*AB96,"")</f>
        <v>#NAME?</v>
      </c>
      <c r="H94" s="552" t="e">
        <f ca="1">_xludf.IFNA(_xlfn.XLOOKUP(C96,'00_SKU_Master'!$B$2:$B$378,'00_SKU_Master'!$F$2:$F$378,0)*AC96,"")</f>
        <v>#NAME?</v>
      </c>
      <c r="I94" s="552" t="e">
        <f ca="1">_xludf.IFNA(_xlfn.XLOOKUP(C96,'00_SKU_Master'!$B$2:$B$378,'00_SKU_Master'!$F$2:$F$378,0)*AD96,"")</f>
        <v>#NAME?</v>
      </c>
      <c r="J94" s="552" t="e">
        <f ca="1">_xludf.IFNA(_xlfn.XLOOKUP(C96,'00_SKU_Master'!$B$2:$B$378,'00_SKU_Master'!$F$2:$F$378,0)*AE96,"")</f>
        <v>#NAME?</v>
      </c>
      <c r="K94" s="553" t="e">
        <f t="shared" ca="1" si="7"/>
        <v>#NAME?</v>
      </c>
      <c r="L94" s="187" t="e">
        <f>_xlfn.XLOOKUP(C96,'00_SKU_Master'!$B$2:$B$378,'00_SKU_Master'!K:K)</f>
        <v>#VALUE!</v>
      </c>
      <c r="M94" s="14">
        <f t="shared" si="8"/>
        <v>7121</v>
      </c>
      <c r="N94" s="147" t="e">
        <f ca="1">_xludf.IFNA(D96/_xlfn.XLOOKUP($M96,'00_SKU_Master'!$B$2:$B$378,'00_SKU_Master'!$M$2:$M$378,0)/$M$2,"0")</f>
        <v>#NAME?</v>
      </c>
      <c r="O94" s="147" t="e">
        <f ca="1">_xludf.IFNA(E96/_xlfn.XLOOKUP($M96,'00_SKU_Master'!$B$2:$B$378,'00_SKU_Master'!$M$2:$M$378,0)/$M$2,"0")</f>
        <v>#NAME?</v>
      </c>
      <c r="P94" s="147" t="e">
        <f ca="1">_xludf.IFNA(F96/_xlfn.XLOOKUP($M96,'00_SKU_Master'!$B$2:$B$378,'00_SKU_Master'!$M$2:$M$378,0)/$M$2,"0")</f>
        <v>#NAME?</v>
      </c>
      <c r="Q94" s="147" t="e">
        <f ca="1">_xludf.IFNA(G96/_xlfn.XLOOKUP($M96,'00_SKU_Master'!$B$2:$B$378,'00_SKU_Master'!$M$2:$M$378,0)/$M$2,"0")</f>
        <v>#NAME?</v>
      </c>
      <c r="R94" s="147" t="e">
        <f ca="1">_xludf.IFNA(H96/_xlfn.XLOOKUP($M96,'00_SKU_Master'!$B$2:$B$378,'00_SKU_Master'!$M$2:$M$378,0)/$M$2,"0")</f>
        <v>#NAME?</v>
      </c>
      <c r="S94" s="147" t="e">
        <f ca="1">_xludf.IFNA(I96/_xlfn.XLOOKUP($M96,'00_SKU_Master'!$B$2:$B$378,'00_SKU_Master'!$M$2:$M$378,0)/$M$2,"0")</f>
        <v>#NAME?</v>
      </c>
      <c r="T94" s="147" t="e">
        <f ca="1">_xludf.IFNA(J96/_xlfn.XLOOKUP($M96,'00_SKU_Master'!$B$2:$B$378,'00_SKU_Master'!$M$2:$M$378,0)/$M$2,"0")</f>
        <v>#NAME?</v>
      </c>
      <c r="U94" s="147" t="e">
        <f t="shared" ca="1" si="9"/>
        <v>#NAME?</v>
      </c>
      <c r="V94" s="4"/>
      <c r="W94" s="4" t="e">
        <f>_xlfn.XLOOKUP(M96,'00_SKU_Master'!$B$2:$B$378,'00_SKU_Master'!D:D)</f>
        <v>#VALUE!</v>
      </c>
      <c r="X94" s="14">
        <f>'05_Daily_Orders'!B95</f>
        <v>7119</v>
      </c>
      <c r="Y94" s="554"/>
      <c r="Z94" s="555"/>
      <c r="AA94" s="555"/>
      <c r="AB94" s="555"/>
      <c r="AC94" s="555">
        <v>0</v>
      </c>
      <c r="AD94" s="555">
        <v>0</v>
      </c>
      <c r="AE94" s="555">
        <v>0</v>
      </c>
      <c r="AF94" s="553">
        <f t="shared" si="10"/>
        <v>0</v>
      </c>
      <c r="AQ94" s="23">
        <v>0</v>
      </c>
      <c r="AR94" s="23">
        <v>0</v>
      </c>
      <c r="AS94" s="23">
        <f t="shared" si="11"/>
        <v>0</v>
      </c>
    </row>
    <row r="95" spans="1:45">
      <c r="A95" s="138" t="str">
        <f>_xlfn.XLOOKUP(C97,'00_SKU_Master'!$B$2:$B$378,'00_SKU_Master'!$C$2:$C$378)</f>
        <v>61048#2</v>
      </c>
      <c r="B95" s="138"/>
      <c r="C95" s="138">
        <f t="shared" si="6"/>
        <v>7136</v>
      </c>
      <c r="D95" s="552" t="e">
        <f ca="1">_xludf.IFNA(_xlfn.XLOOKUP(C97,'00_SKU_Master'!$B$2:$B$378,'00_SKU_Master'!$F$2:$F$378,0)*Y97,"")</f>
        <v>#NAME?</v>
      </c>
      <c r="E95" s="552" t="e">
        <f ca="1">_xludf.IFNA(_xlfn.XLOOKUP(C97,'00_SKU_Master'!$B$2:$B$378,'00_SKU_Master'!$F$2:$F$378,0)*Z97,"")</f>
        <v>#NAME?</v>
      </c>
      <c r="F95" s="552" t="e">
        <f ca="1">_xludf.IFNA(_xlfn.XLOOKUP(C97,'00_SKU_Master'!$B$2:$B$378,'00_SKU_Master'!$F$2:$F$378,0)*AA97,"")</f>
        <v>#NAME?</v>
      </c>
      <c r="G95" s="552" t="e">
        <f ca="1">_xludf.IFNA(_xlfn.XLOOKUP(C97,'00_SKU_Master'!$B$2:$B$378,'00_SKU_Master'!$F$2:$F$378,0)*AB97,"")</f>
        <v>#NAME?</v>
      </c>
      <c r="H95" s="552" t="e">
        <f ca="1">_xludf.IFNA(_xlfn.XLOOKUP(C97,'00_SKU_Master'!$B$2:$B$378,'00_SKU_Master'!$F$2:$F$378,0)*AC97,"")</f>
        <v>#NAME?</v>
      </c>
      <c r="I95" s="552" t="e">
        <f ca="1">_xludf.IFNA(_xlfn.XLOOKUP(C97,'00_SKU_Master'!$B$2:$B$378,'00_SKU_Master'!$F$2:$F$378,0)*AD97,"")</f>
        <v>#NAME?</v>
      </c>
      <c r="J95" s="552" t="e">
        <f ca="1">_xludf.IFNA(_xlfn.XLOOKUP(C97,'00_SKU_Master'!$B$2:$B$378,'00_SKU_Master'!$F$2:$F$378,0)*AE97,"")</f>
        <v>#NAME?</v>
      </c>
      <c r="K95" s="553" t="e">
        <f t="shared" ca="1" si="7"/>
        <v>#NAME?</v>
      </c>
      <c r="L95" s="187" t="e">
        <f>_xlfn.XLOOKUP(C97,'00_SKU_Master'!$B$2:$B$378,'00_SKU_Master'!K:K)</f>
        <v>#VALUE!</v>
      </c>
      <c r="M95" s="14">
        <f t="shared" si="8"/>
        <v>7136</v>
      </c>
      <c r="N95" s="147" t="e">
        <f ca="1">_xludf.IFNA(D97/_xlfn.XLOOKUP($M97,'00_SKU_Master'!$B$2:$B$378,'00_SKU_Master'!$M$2:$M$378,0)/$M$2,"0")</f>
        <v>#NAME?</v>
      </c>
      <c r="O95" s="147" t="e">
        <f ca="1">_xludf.IFNA(E97/_xlfn.XLOOKUP($M97,'00_SKU_Master'!$B$2:$B$378,'00_SKU_Master'!$M$2:$M$378,0)/$M$2,"0")</f>
        <v>#NAME?</v>
      </c>
      <c r="P95" s="147" t="e">
        <f ca="1">_xludf.IFNA(F97/_xlfn.XLOOKUP($M97,'00_SKU_Master'!$B$2:$B$378,'00_SKU_Master'!$M$2:$M$378,0)/$M$2,"0")</f>
        <v>#NAME?</v>
      </c>
      <c r="Q95" s="147" t="e">
        <f ca="1">_xludf.IFNA(G97/_xlfn.XLOOKUP($M97,'00_SKU_Master'!$B$2:$B$378,'00_SKU_Master'!$M$2:$M$378,0)/$M$2,"0")</f>
        <v>#NAME?</v>
      </c>
      <c r="R95" s="147" t="e">
        <f ca="1">_xludf.IFNA(H97/_xlfn.XLOOKUP($M97,'00_SKU_Master'!$B$2:$B$378,'00_SKU_Master'!$M$2:$M$378,0)/$M$2,"0")</f>
        <v>#NAME?</v>
      </c>
      <c r="S95" s="147" t="e">
        <f ca="1">_xludf.IFNA(I97/_xlfn.XLOOKUP($M97,'00_SKU_Master'!$B$2:$B$378,'00_SKU_Master'!$M$2:$M$378,0)/$M$2,"0")</f>
        <v>#NAME?</v>
      </c>
      <c r="T95" s="147" t="e">
        <f ca="1">_xludf.IFNA(J97/_xlfn.XLOOKUP($M97,'00_SKU_Master'!$B$2:$B$378,'00_SKU_Master'!$M$2:$M$378,0)/$M$2,"0")</f>
        <v>#NAME?</v>
      </c>
      <c r="U95" s="147" t="e">
        <f t="shared" ca="1" si="9"/>
        <v>#NAME?</v>
      </c>
      <c r="V95" s="4"/>
      <c r="W95" s="4" t="e">
        <f>_xlfn.XLOOKUP(M97,'00_SKU_Master'!$B$2:$B$378,'00_SKU_Master'!D:D)</f>
        <v>#VALUE!</v>
      </c>
      <c r="X95" s="14">
        <f>'05_Daily_Orders'!B96</f>
        <v>7120</v>
      </c>
      <c r="Y95" s="554"/>
      <c r="Z95" s="555"/>
      <c r="AA95" s="555"/>
      <c r="AB95" s="555"/>
      <c r="AC95" s="555">
        <v>0</v>
      </c>
      <c r="AD95" s="555">
        <v>0</v>
      </c>
      <c r="AE95" s="555">
        <v>0</v>
      </c>
      <c r="AF95" s="553">
        <f t="shared" si="10"/>
        <v>0</v>
      </c>
      <c r="AQ95" s="23">
        <v>0</v>
      </c>
      <c r="AR95" s="23">
        <v>0</v>
      </c>
      <c r="AS95" s="23">
        <f t="shared" si="11"/>
        <v>0</v>
      </c>
    </row>
    <row r="96" spans="1:45">
      <c r="A96" s="138" t="str">
        <f>_xlfn.XLOOKUP(C98,'00_SKU_Master'!$B$2:$B$378,'00_SKU_Master'!$C$2:$C$378)</f>
        <v>61050#2</v>
      </c>
      <c r="B96" s="138"/>
      <c r="C96" s="138">
        <f t="shared" si="6"/>
        <v>7137</v>
      </c>
      <c r="D96" s="552" t="e">
        <f ca="1">_xludf.IFNA(_xlfn.XLOOKUP(C98,'00_SKU_Master'!$B$2:$B$378,'00_SKU_Master'!$F$2:$F$378,0)*Y98,"")</f>
        <v>#NAME?</v>
      </c>
      <c r="E96" s="552" t="e">
        <f ca="1">_xludf.IFNA(_xlfn.XLOOKUP(C98,'00_SKU_Master'!$B$2:$B$378,'00_SKU_Master'!$F$2:$F$378,0)*Z98,"")</f>
        <v>#NAME?</v>
      </c>
      <c r="F96" s="552" t="e">
        <f ca="1">_xludf.IFNA(_xlfn.XLOOKUP(C98,'00_SKU_Master'!$B$2:$B$378,'00_SKU_Master'!$F$2:$F$378,0)*AA98,"")</f>
        <v>#NAME?</v>
      </c>
      <c r="G96" s="552" t="e">
        <f ca="1">_xludf.IFNA(_xlfn.XLOOKUP(C98,'00_SKU_Master'!$B$2:$B$378,'00_SKU_Master'!$F$2:$F$378,0)*AB98,"")</f>
        <v>#NAME?</v>
      </c>
      <c r="H96" s="552" t="e">
        <f ca="1">_xludf.IFNA(_xlfn.XLOOKUP(C98,'00_SKU_Master'!$B$2:$B$378,'00_SKU_Master'!$F$2:$F$378,0)*AC98,"")</f>
        <v>#NAME?</v>
      </c>
      <c r="I96" s="552" t="e">
        <f ca="1">_xludf.IFNA(_xlfn.XLOOKUP(C98,'00_SKU_Master'!$B$2:$B$378,'00_SKU_Master'!$F$2:$F$378,0)*AD98,"")</f>
        <v>#NAME?</v>
      </c>
      <c r="J96" s="552" t="e">
        <f ca="1">_xludf.IFNA(_xlfn.XLOOKUP(C98,'00_SKU_Master'!$B$2:$B$378,'00_SKU_Master'!$F$2:$F$378,0)*AE98,"")</f>
        <v>#NAME?</v>
      </c>
      <c r="K96" s="553" t="e">
        <f t="shared" ca="1" si="7"/>
        <v>#NAME?</v>
      </c>
      <c r="L96" s="187" t="e">
        <f>_xlfn.XLOOKUP(C98,'00_SKU_Master'!$B$2:$B$378,'00_SKU_Master'!K:K)</f>
        <v>#VALUE!</v>
      </c>
      <c r="M96" s="14">
        <f t="shared" si="8"/>
        <v>7137</v>
      </c>
      <c r="N96" s="147" t="e">
        <f ca="1">_xludf.IFNA(D98/_xlfn.XLOOKUP($M98,'00_SKU_Master'!$B$2:$B$378,'00_SKU_Master'!$M$2:$M$378,0)/$M$2,"0")</f>
        <v>#NAME?</v>
      </c>
      <c r="O96" s="147" t="e">
        <f ca="1">_xludf.IFNA(E98/_xlfn.XLOOKUP($M98,'00_SKU_Master'!$B$2:$B$378,'00_SKU_Master'!$M$2:$M$378,0)/$M$2,"0")</f>
        <v>#NAME?</v>
      </c>
      <c r="P96" s="147" t="e">
        <f ca="1">_xludf.IFNA(F98/_xlfn.XLOOKUP($M98,'00_SKU_Master'!$B$2:$B$378,'00_SKU_Master'!$M$2:$M$378,0)/$M$2,"0")</f>
        <v>#NAME?</v>
      </c>
      <c r="Q96" s="147" t="e">
        <f ca="1">_xludf.IFNA(G98/_xlfn.XLOOKUP($M98,'00_SKU_Master'!$B$2:$B$378,'00_SKU_Master'!$M$2:$M$378,0)/$M$2,"0")</f>
        <v>#NAME?</v>
      </c>
      <c r="R96" s="147" t="e">
        <f ca="1">_xludf.IFNA(H98/_xlfn.XLOOKUP($M98,'00_SKU_Master'!$B$2:$B$378,'00_SKU_Master'!$M$2:$M$378,0)/$M$2,"0")</f>
        <v>#NAME?</v>
      </c>
      <c r="S96" s="147" t="e">
        <f ca="1">_xludf.IFNA(I98/_xlfn.XLOOKUP($M98,'00_SKU_Master'!$B$2:$B$378,'00_SKU_Master'!$M$2:$M$378,0)/$M$2,"0")</f>
        <v>#NAME?</v>
      </c>
      <c r="T96" s="147" t="e">
        <f ca="1">_xludf.IFNA(J98/_xlfn.XLOOKUP($M98,'00_SKU_Master'!$B$2:$B$378,'00_SKU_Master'!$M$2:$M$378,0)/$M$2,"0")</f>
        <v>#NAME?</v>
      </c>
      <c r="U96" s="147" t="e">
        <f t="shared" ca="1" si="9"/>
        <v>#NAME?</v>
      </c>
      <c r="V96" s="4"/>
      <c r="W96" s="4" t="e">
        <f>_xlfn.XLOOKUP(M98,'00_SKU_Master'!$B$2:$B$378,'00_SKU_Master'!D:D)</f>
        <v>#VALUE!</v>
      </c>
      <c r="X96" s="14">
        <f>'05_Daily_Orders'!B97</f>
        <v>7121</v>
      </c>
      <c r="Y96" s="554"/>
      <c r="Z96" s="555"/>
      <c r="AA96" s="555"/>
      <c r="AB96" s="555"/>
      <c r="AC96" s="555">
        <v>0</v>
      </c>
      <c r="AD96" s="555">
        <v>0</v>
      </c>
      <c r="AE96" s="555">
        <v>0</v>
      </c>
      <c r="AF96" s="553">
        <f t="shared" si="10"/>
        <v>0</v>
      </c>
      <c r="AQ96" s="23">
        <v>0</v>
      </c>
      <c r="AR96" s="23">
        <v>0</v>
      </c>
      <c r="AS96" s="23">
        <f t="shared" si="11"/>
        <v>0</v>
      </c>
    </row>
    <row r="97" spans="1:45">
      <c r="A97" s="138" t="str">
        <f>_xlfn.XLOOKUP(C99,'00_SKU_Master'!$B$2:$B$378,'00_SKU_Master'!$C$2:$C$378)</f>
        <v>61050#2</v>
      </c>
      <c r="B97" s="138"/>
      <c r="C97" s="138">
        <f t="shared" si="6"/>
        <v>7145</v>
      </c>
      <c r="D97" s="552" t="e">
        <f ca="1">_xludf.IFNA(_xlfn.XLOOKUP(C99,'00_SKU_Master'!$B$2:$B$378,'00_SKU_Master'!$F$2:$F$378,0)*Y99,"")</f>
        <v>#NAME?</v>
      </c>
      <c r="E97" s="552" t="e">
        <f ca="1">_xludf.IFNA(_xlfn.XLOOKUP(C99,'00_SKU_Master'!$B$2:$B$378,'00_SKU_Master'!$F$2:$F$378,0)*Z99,"")</f>
        <v>#NAME?</v>
      </c>
      <c r="F97" s="552" t="e">
        <f ca="1">_xludf.IFNA(_xlfn.XLOOKUP(C99,'00_SKU_Master'!$B$2:$B$378,'00_SKU_Master'!$F$2:$F$378,0)*AA99,"")</f>
        <v>#NAME?</v>
      </c>
      <c r="G97" s="552" t="e">
        <f ca="1">_xludf.IFNA(_xlfn.XLOOKUP(C99,'00_SKU_Master'!$B$2:$B$378,'00_SKU_Master'!$F$2:$F$378,0)*AB99,"")</f>
        <v>#NAME?</v>
      </c>
      <c r="H97" s="552" t="e">
        <f ca="1">_xludf.IFNA(_xlfn.XLOOKUP(C99,'00_SKU_Master'!$B$2:$B$378,'00_SKU_Master'!$F$2:$F$378,0)*AC99,"")</f>
        <v>#NAME?</v>
      </c>
      <c r="I97" s="552" t="e">
        <f ca="1">_xludf.IFNA(_xlfn.XLOOKUP(C99,'00_SKU_Master'!$B$2:$B$378,'00_SKU_Master'!$F$2:$F$378,0)*AD99,"")</f>
        <v>#NAME?</v>
      </c>
      <c r="J97" s="552" t="e">
        <f ca="1">_xludf.IFNA(_xlfn.XLOOKUP(C99,'00_SKU_Master'!$B$2:$B$378,'00_SKU_Master'!$F$2:$F$378,0)*AE99,"")</f>
        <v>#NAME?</v>
      </c>
      <c r="K97" s="553" t="e">
        <f t="shared" ca="1" si="7"/>
        <v>#NAME?</v>
      </c>
      <c r="L97" s="187" t="e">
        <f>_xlfn.XLOOKUP(C99,'00_SKU_Master'!$B$2:$B$378,'00_SKU_Master'!K:K)</f>
        <v>#VALUE!</v>
      </c>
      <c r="M97" s="14">
        <f t="shared" si="8"/>
        <v>7145</v>
      </c>
      <c r="N97" s="147" t="e">
        <f ca="1">_xludf.IFNA(D99/_xlfn.XLOOKUP($M99,'00_SKU_Master'!$B$2:$B$378,'00_SKU_Master'!$M$2:$M$378,0)/$M$2,"0")</f>
        <v>#NAME?</v>
      </c>
      <c r="O97" s="147" t="e">
        <f ca="1">_xludf.IFNA(E99/_xlfn.XLOOKUP($M99,'00_SKU_Master'!$B$2:$B$378,'00_SKU_Master'!$M$2:$M$378,0)/$M$2,"0")</f>
        <v>#NAME?</v>
      </c>
      <c r="P97" s="147" t="e">
        <f ca="1">_xludf.IFNA(F99/_xlfn.XLOOKUP($M99,'00_SKU_Master'!$B$2:$B$378,'00_SKU_Master'!$M$2:$M$378,0)/$M$2,"0")</f>
        <v>#NAME?</v>
      </c>
      <c r="Q97" s="147" t="e">
        <f ca="1">_xludf.IFNA(G99/_xlfn.XLOOKUP($M99,'00_SKU_Master'!$B$2:$B$378,'00_SKU_Master'!$M$2:$M$378,0)/$M$2,"0")</f>
        <v>#NAME?</v>
      </c>
      <c r="R97" s="147" t="e">
        <f ca="1">_xludf.IFNA(H99/_xlfn.XLOOKUP($M99,'00_SKU_Master'!$B$2:$B$378,'00_SKU_Master'!$M$2:$M$378,0)/$M$2,"0")</f>
        <v>#NAME?</v>
      </c>
      <c r="S97" s="147" t="e">
        <f ca="1">_xludf.IFNA(I99/_xlfn.XLOOKUP($M99,'00_SKU_Master'!$B$2:$B$378,'00_SKU_Master'!$M$2:$M$378,0)/$M$2,"0")</f>
        <v>#NAME?</v>
      </c>
      <c r="T97" s="147" t="e">
        <f ca="1">_xludf.IFNA(J99/_xlfn.XLOOKUP($M99,'00_SKU_Master'!$B$2:$B$378,'00_SKU_Master'!$M$2:$M$378,0)/$M$2,"0")</f>
        <v>#NAME?</v>
      </c>
      <c r="U97" s="147" t="e">
        <f t="shared" ca="1" si="9"/>
        <v>#NAME?</v>
      </c>
      <c r="V97" s="4"/>
      <c r="W97" s="4" t="e">
        <f>_xlfn.XLOOKUP(M99,'00_SKU_Master'!$B$2:$B$378,'00_SKU_Master'!D:D)</f>
        <v>#VALUE!</v>
      </c>
      <c r="X97" s="14">
        <f>'05_Daily_Orders'!B98</f>
        <v>7136</v>
      </c>
      <c r="Y97" s="554"/>
      <c r="Z97" s="555"/>
      <c r="AA97" s="555"/>
      <c r="AB97" s="555"/>
      <c r="AC97" s="555">
        <v>0</v>
      </c>
      <c r="AD97" s="555">
        <v>0</v>
      </c>
      <c r="AE97" s="555">
        <v>0</v>
      </c>
      <c r="AF97" s="553">
        <f t="shared" si="10"/>
        <v>0</v>
      </c>
      <c r="AQ97" s="23">
        <v>0</v>
      </c>
      <c r="AR97" s="23">
        <v>0</v>
      </c>
      <c r="AS97" s="23">
        <f t="shared" si="11"/>
        <v>0</v>
      </c>
    </row>
    <row r="98" spans="1:45">
      <c r="A98" s="138" t="str">
        <f>_xlfn.XLOOKUP(C100,'00_SKU_Master'!$B$2:$B$378,'00_SKU_Master'!$C$2:$C$378)</f>
        <v>61050#2</v>
      </c>
      <c r="B98" s="138"/>
      <c r="C98" s="138">
        <f t="shared" si="6"/>
        <v>7146</v>
      </c>
      <c r="D98" s="552" t="e">
        <f ca="1">_xludf.IFNA(_xlfn.XLOOKUP(C100,'00_SKU_Master'!$B$2:$B$378,'00_SKU_Master'!$F$2:$F$378,0)*Y100,"")</f>
        <v>#NAME?</v>
      </c>
      <c r="E98" s="552" t="e">
        <f ca="1">_xludf.IFNA(_xlfn.XLOOKUP(C100,'00_SKU_Master'!$B$2:$B$378,'00_SKU_Master'!$F$2:$F$378,0)*Z100,"")</f>
        <v>#NAME?</v>
      </c>
      <c r="F98" s="552" t="e">
        <f ca="1">_xludf.IFNA(_xlfn.XLOOKUP(C100,'00_SKU_Master'!$B$2:$B$378,'00_SKU_Master'!$F$2:$F$378,0)*AA100,"")</f>
        <v>#NAME?</v>
      </c>
      <c r="G98" s="552" t="e">
        <f ca="1">_xludf.IFNA(_xlfn.XLOOKUP(C100,'00_SKU_Master'!$B$2:$B$378,'00_SKU_Master'!$F$2:$F$378,0)*AB100,"")</f>
        <v>#NAME?</v>
      </c>
      <c r="H98" s="552" t="e">
        <f ca="1">_xludf.IFNA(_xlfn.XLOOKUP(C100,'00_SKU_Master'!$B$2:$B$378,'00_SKU_Master'!$F$2:$F$378,0)*AC100,"")</f>
        <v>#NAME?</v>
      </c>
      <c r="I98" s="552" t="e">
        <f ca="1">_xludf.IFNA(_xlfn.XLOOKUP(C100,'00_SKU_Master'!$B$2:$B$378,'00_SKU_Master'!$F$2:$F$378,0)*AD100,"")</f>
        <v>#NAME?</v>
      </c>
      <c r="J98" s="552" t="e">
        <f ca="1">_xludf.IFNA(_xlfn.XLOOKUP(C100,'00_SKU_Master'!$B$2:$B$378,'00_SKU_Master'!$F$2:$F$378,0)*AE100,"")</f>
        <v>#NAME?</v>
      </c>
      <c r="K98" s="553" t="e">
        <f t="shared" ca="1" si="7"/>
        <v>#NAME?</v>
      </c>
      <c r="L98" s="187" t="e">
        <f>_xlfn.XLOOKUP(C100,'00_SKU_Master'!$B$2:$B$378,'00_SKU_Master'!K:K)</f>
        <v>#VALUE!</v>
      </c>
      <c r="M98" s="14">
        <f t="shared" si="8"/>
        <v>7146</v>
      </c>
      <c r="N98" s="147" t="e">
        <f ca="1">_xludf.IFNA(D100/_xlfn.XLOOKUP($M100,'00_SKU_Master'!$B$2:$B$378,'00_SKU_Master'!$M$2:$M$378,0)/$M$2,"0")</f>
        <v>#NAME?</v>
      </c>
      <c r="O98" s="147" t="e">
        <f ca="1">_xludf.IFNA(E100/_xlfn.XLOOKUP($M100,'00_SKU_Master'!$B$2:$B$378,'00_SKU_Master'!$M$2:$M$378,0)/$M$2,"0")</f>
        <v>#NAME?</v>
      </c>
      <c r="P98" s="147" t="e">
        <f ca="1">_xludf.IFNA(F100/_xlfn.XLOOKUP($M100,'00_SKU_Master'!$B$2:$B$378,'00_SKU_Master'!$M$2:$M$378,0)/$M$2,"0")</f>
        <v>#NAME?</v>
      </c>
      <c r="Q98" s="147" t="e">
        <f ca="1">_xludf.IFNA(G100/_xlfn.XLOOKUP($M100,'00_SKU_Master'!$B$2:$B$378,'00_SKU_Master'!$M$2:$M$378,0)/$M$2,"0")</f>
        <v>#NAME?</v>
      </c>
      <c r="R98" s="147" t="e">
        <f ca="1">_xludf.IFNA(H100/_xlfn.XLOOKUP($M100,'00_SKU_Master'!$B$2:$B$378,'00_SKU_Master'!$M$2:$M$378,0)/$M$2,"0")</f>
        <v>#NAME?</v>
      </c>
      <c r="S98" s="147" t="e">
        <f ca="1">_xludf.IFNA(I100/_xlfn.XLOOKUP($M100,'00_SKU_Master'!$B$2:$B$378,'00_SKU_Master'!$M$2:$M$378,0)/$M$2,"0")</f>
        <v>#NAME?</v>
      </c>
      <c r="T98" s="147" t="e">
        <f ca="1">_xludf.IFNA(J100/_xlfn.XLOOKUP($M100,'00_SKU_Master'!$B$2:$B$378,'00_SKU_Master'!$M$2:$M$378,0)/$M$2,"0")</f>
        <v>#NAME?</v>
      </c>
      <c r="U98" s="147" t="e">
        <f t="shared" ca="1" si="9"/>
        <v>#NAME?</v>
      </c>
      <c r="V98" s="4"/>
      <c r="W98" s="4" t="e">
        <f>_xlfn.XLOOKUP(M100,'00_SKU_Master'!$B$2:$B$378,'00_SKU_Master'!D:D)</f>
        <v>#VALUE!</v>
      </c>
      <c r="X98" s="14">
        <f>'05_Daily_Orders'!B99</f>
        <v>7137</v>
      </c>
      <c r="Y98" s="554"/>
      <c r="Z98" s="555"/>
      <c r="AA98" s="555"/>
      <c r="AB98" s="555"/>
      <c r="AC98" s="555">
        <v>0</v>
      </c>
      <c r="AD98" s="555">
        <v>0</v>
      </c>
      <c r="AE98" s="555">
        <v>0</v>
      </c>
      <c r="AF98" s="553">
        <f t="shared" si="10"/>
        <v>0</v>
      </c>
      <c r="AQ98" s="23">
        <v>0</v>
      </c>
      <c r="AR98" s="23">
        <v>0</v>
      </c>
      <c r="AS98" s="23">
        <f t="shared" si="11"/>
        <v>0</v>
      </c>
    </row>
    <row r="99" spans="1:45">
      <c r="A99" s="138" t="str">
        <f>_xlfn.XLOOKUP(C101,'00_SKU_Master'!$B$2:$B$378,'00_SKU_Master'!$C$2:$C$378)</f>
        <v>61048#2</v>
      </c>
      <c r="B99" s="138"/>
      <c r="C99" s="138">
        <f t="shared" si="6"/>
        <v>7149</v>
      </c>
      <c r="D99" s="552" t="e">
        <f ca="1">_xludf.IFNA(_xlfn.XLOOKUP(C101,'00_SKU_Master'!$B$2:$B$378,'00_SKU_Master'!$F$2:$F$378,0)*Y101,"")</f>
        <v>#NAME?</v>
      </c>
      <c r="E99" s="552" t="e">
        <f ca="1">_xludf.IFNA(_xlfn.XLOOKUP(C101,'00_SKU_Master'!$B$2:$B$378,'00_SKU_Master'!$F$2:$F$378,0)*Z101,"")</f>
        <v>#NAME?</v>
      </c>
      <c r="F99" s="552" t="e">
        <f ca="1">_xludf.IFNA(_xlfn.XLOOKUP(C101,'00_SKU_Master'!$B$2:$B$378,'00_SKU_Master'!$F$2:$F$378,0)*AA101,"")</f>
        <v>#NAME?</v>
      </c>
      <c r="G99" s="552" t="e">
        <f ca="1">_xludf.IFNA(_xlfn.XLOOKUP(C101,'00_SKU_Master'!$B$2:$B$378,'00_SKU_Master'!$F$2:$F$378,0)*AB101,"")</f>
        <v>#NAME?</v>
      </c>
      <c r="H99" s="552" t="e">
        <f ca="1">_xludf.IFNA(_xlfn.XLOOKUP(C101,'00_SKU_Master'!$B$2:$B$378,'00_SKU_Master'!$F$2:$F$378,0)*AC101,"")</f>
        <v>#NAME?</v>
      </c>
      <c r="I99" s="552" t="e">
        <f ca="1">_xludf.IFNA(_xlfn.XLOOKUP(C101,'00_SKU_Master'!$B$2:$B$378,'00_SKU_Master'!$F$2:$F$378,0)*AD101,"")</f>
        <v>#NAME?</v>
      </c>
      <c r="J99" s="552" t="e">
        <f ca="1">_xludf.IFNA(_xlfn.XLOOKUP(C101,'00_SKU_Master'!$B$2:$B$378,'00_SKU_Master'!$F$2:$F$378,0)*AE101,"")</f>
        <v>#NAME?</v>
      </c>
      <c r="K99" s="553" t="e">
        <f t="shared" ca="1" si="7"/>
        <v>#NAME?</v>
      </c>
      <c r="L99" s="187" t="e">
        <f>_xlfn.XLOOKUP(C101,'00_SKU_Master'!$B$2:$B$378,'00_SKU_Master'!K:K)</f>
        <v>#VALUE!</v>
      </c>
      <c r="M99" s="14">
        <f t="shared" si="8"/>
        <v>7149</v>
      </c>
      <c r="N99" s="147" t="e">
        <f ca="1">_xludf.IFNA(D101/_xlfn.XLOOKUP($M101,'00_SKU_Master'!$B$2:$B$378,'00_SKU_Master'!$M$2:$M$378,0)/$M$2,"0")</f>
        <v>#NAME?</v>
      </c>
      <c r="O99" s="147" t="e">
        <f ca="1">_xludf.IFNA(E101/_xlfn.XLOOKUP($M101,'00_SKU_Master'!$B$2:$B$378,'00_SKU_Master'!$M$2:$M$378,0)/$M$2,"0")</f>
        <v>#NAME?</v>
      </c>
      <c r="P99" s="147" t="e">
        <f ca="1">_xludf.IFNA(F101/_xlfn.XLOOKUP($M101,'00_SKU_Master'!$B$2:$B$378,'00_SKU_Master'!$M$2:$M$378,0)/$M$2,"0")</f>
        <v>#NAME?</v>
      </c>
      <c r="Q99" s="147" t="e">
        <f ca="1">_xludf.IFNA(G101/_xlfn.XLOOKUP($M101,'00_SKU_Master'!$B$2:$B$378,'00_SKU_Master'!$M$2:$M$378,0)/$M$2,"0")</f>
        <v>#NAME?</v>
      </c>
      <c r="R99" s="147" t="e">
        <f ca="1">_xludf.IFNA(H101/_xlfn.XLOOKUP($M101,'00_SKU_Master'!$B$2:$B$378,'00_SKU_Master'!$M$2:$M$378,0)/$M$2,"0")</f>
        <v>#NAME?</v>
      </c>
      <c r="S99" s="147" t="e">
        <f ca="1">_xludf.IFNA(I101/_xlfn.XLOOKUP($M101,'00_SKU_Master'!$B$2:$B$378,'00_SKU_Master'!$M$2:$M$378,0)/$M$2,"0")</f>
        <v>#NAME?</v>
      </c>
      <c r="T99" s="147" t="e">
        <f ca="1">_xludf.IFNA(J101/_xlfn.XLOOKUP($M101,'00_SKU_Master'!$B$2:$B$378,'00_SKU_Master'!$M$2:$M$378,0)/$M$2,"0")</f>
        <v>#NAME?</v>
      </c>
      <c r="U99" s="147" t="e">
        <f t="shared" ca="1" si="9"/>
        <v>#NAME?</v>
      </c>
      <c r="V99" s="4"/>
      <c r="W99" s="4" t="e">
        <f>_xlfn.XLOOKUP(M101,'00_SKU_Master'!$B$2:$B$378,'00_SKU_Master'!D:D)</f>
        <v>#VALUE!</v>
      </c>
      <c r="X99" s="14">
        <f>'05_Daily_Orders'!B100</f>
        <v>7145</v>
      </c>
      <c r="Y99" s="554"/>
      <c r="Z99" s="555"/>
      <c r="AA99" s="555"/>
      <c r="AB99" s="555"/>
      <c r="AC99" s="555">
        <v>0</v>
      </c>
      <c r="AD99" s="555">
        <v>0</v>
      </c>
      <c r="AE99" s="555">
        <v>0</v>
      </c>
      <c r="AF99" s="553">
        <f t="shared" si="10"/>
        <v>0</v>
      </c>
      <c r="AQ99" s="23">
        <v>0</v>
      </c>
      <c r="AR99" s="23">
        <v>0</v>
      </c>
      <c r="AS99" s="23">
        <f t="shared" si="11"/>
        <v>0</v>
      </c>
    </row>
    <row r="100" spans="1:45">
      <c r="A100" s="138" t="str">
        <f>_xlfn.XLOOKUP(C102,'00_SKU_Master'!$B$2:$B$378,'00_SKU_Master'!$C$2:$C$378)</f>
        <v>61050#2</v>
      </c>
      <c r="B100" s="138"/>
      <c r="C100" s="138">
        <f t="shared" si="6"/>
        <v>7150</v>
      </c>
      <c r="D100" s="552" t="e">
        <f ca="1">_xludf.IFNA(_xlfn.XLOOKUP(C102,'00_SKU_Master'!$B$2:$B$378,'00_SKU_Master'!$F$2:$F$378,0)*Y102,"")</f>
        <v>#NAME?</v>
      </c>
      <c r="E100" s="552" t="e">
        <f ca="1">_xludf.IFNA(_xlfn.XLOOKUP(C102,'00_SKU_Master'!$B$2:$B$378,'00_SKU_Master'!$F$2:$F$378,0)*Z102,"")</f>
        <v>#NAME?</v>
      </c>
      <c r="F100" s="552" t="e">
        <f ca="1">_xludf.IFNA(_xlfn.XLOOKUP(C102,'00_SKU_Master'!$B$2:$B$378,'00_SKU_Master'!$F$2:$F$378,0)*AA102,"")</f>
        <v>#NAME?</v>
      </c>
      <c r="G100" s="552" t="e">
        <f ca="1">_xludf.IFNA(_xlfn.XLOOKUP(C102,'00_SKU_Master'!$B$2:$B$378,'00_SKU_Master'!$F$2:$F$378,0)*AB102,"")</f>
        <v>#NAME?</v>
      </c>
      <c r="H100" s="552" t="e">
        <f ca="1">_xludf.IFNA(_xlfn.XLOOKUP(C102,'00_SKU_Master'!$B$2:$B$378,'00_SKU_Master'!$F$2:$F$378,0)*AC102,"")</f>
        <v>#NAME?</v>
      </c>
      <c r="I100" s="552" t="e">
        <f ca="1">_xludf.IFNA(_xlfn.XLOOKUP(C102,'00_SKU_Master'!$B$2:$B$378,'00_SKU_Master'!$F$2:$F$378,0)*AD102,"")</f>
        <v>#NAME?</v>
      </c>
      <c r="J100" s="552" t="e">
        <f ca="1">_xludf.IFNA(_xlfn.XLOOKUP(C102,'00_SKU_Master'!$B$2:$B$378,'00_SKU_Master'!$F$2:$F$378,0)*AE102,"")</f>
        <v>#NAME?</v>
      </c>
      <c r="K100" s="553" t="e">
        <f t="shared" ca="1" si="7"/>
        <v>#NAME?</v>
      </c>
      <c r="L100" s="187" t="e">
        <f>_xlfn.XLOOKUP(C102,'00_SKU_Master'!$B$2:$B$378,'00_SKU_Master'!K:K)</f>
        <v>#VALUE!</v>
      </c>
      <c r="M100" s="14">
        <f t="shared" si="8"/>
        <v>7150</v>
      </c>
      <c r="N100" s="147" t="e">
        <f ca="1">_xludf.IFNA(D102/_xlfn.XLOOKUP($M102,'00_SKU_Master'!$B$2:$B$378,'00_SKU_Master'!$M$2:$M$378,0)/$M$2,"0")</f>
        <v>#NAME?</v>
      </c>
      <c r="O100" s="147" t="e">
        <f ca="1">_xludf.IFNA(E102/_xlfn.XLOOKUP($M102,'00_SKU_Master'!$B$2:$B$378,'00_SKU_Master'!$M$2:$M$378,0)/$M$2,"0")</f>
        <v>#NAME?</v>
      </c>
      <c r="P100" s="147" t="e">
        <f ca="1">_xludf.IFNA(F102/_xlfn.XLOOKUP($M102,'00_SKU_Master'!$B$2:$B$378,'00_SKU_Master'!$M$2:$M$378,0)/$M$2,"0")</f>
        <v>#NAME?</v>
      </c>
      <c r="Q100" s="147" t="e">
        <f ca="1">_xludf.IFNA(G102/_xlfn.XLOOKUP($M102,'00_SKU_Master'!$B$2:$B$378,'00_SKU_Master'!$M$2:$M$378,0)/$M$2,"0")</f>
        <v>#NAME?</v>
      </c>
      <c r="R100" s="147" t="e">
        <f ca="1">_xludf.IFNA(H102/_xlfn.XLOOKUP($M102,'00_SKU_Master'!$B$2:$B$378,'00_SKU_Master'!$M$2:$M$378,0)/$M$2,"0")</f>
        <v>#NAME?</v>
      </c>
      <c r="S100" s="147" t="e">
        <f ca="1">_xludf.IFNA(I102/_xlfn.XLOOKUP($M102,'00_SKU_Master'!$B$2:$B$378,'00_SKU_Master'!$M$2:$M$378,0)/$M$2,"0")</f>
        <v>#NAME?</v>
      </c>
      <c r="T100" s="147" t="e">
        <f ca="1">_xludf.IFNA(J102/_xlfn.XLOOKUP($M102,'00_SKU_Master'!$B$2:$B$378,'00_SKU_Master'!$M$2:$M$378,0)/$M$2,"0")</f>
        <v>#NAME?</v>
      </c>
      <c r="U100" s="147" t="e">
        <f t="shared" ca="1" si="9"/>
        <v>#NAME?</v>
      </c>
      <c r="V100" s="4"/>
      <c r="W100" s="4" t="e">
        <f>_xlfn.XLOOKUP(M102,'00_SKU_Master'!$B$2:$B$378,'00_SKU_Master'!D:D)</f>
        <v>#VALUE!</v>
      </c>
      <c r="X100" s="14">
        <f>'05_Daily_Orders'!B101</f>
        <v>7146</v>
      </c>
      <c r="Y100" s="554"/>
      <c r="Z100" s="555"/>
      <c r="AA100" s="555"/>
      <c r="AB100" s="555"/>
      <c r="AC100" s="555">
        <v>0</v>
      </c>
      <c r="AD100" s="555">
        <v>0</v>
      </c>
      <c r="AE100" s="555">
        <v>0</v>
      </c>
      <c r="AF100" s="553">
        <f t="shared" si="10"/>
        <v>0</v>
      </c>
      <c r="AQ100" s="23">
        <v>0</v>
      </c>
      <c r="AR100" s="23">
        <v>0</v>
      </c>
      <c r="AS100" s="23">
        <f t="shared" si="11"/>
        <v>0</v>
      </c>
    </row>
    <row r="101" spans="1:45">
      <c r="A101" s="138" t="str">
        <f>_xlfn.XLOOKUP(C103,'00_SKU_Master'!$B$2:$B$378,'00_SKU_Master'!$C$2:$C$378)</f>
        <v>61050#2</v>
      </c>
      <c r="B101" s="138"/>
      <c r="C101" s="138">
        <f t="shared" si="6"/>
        <v>7153</v>
      </c>
      <c r="D101" s="552" t="e">
        <f ca="1">_xludf.IFNA(_xlfn.XLOOKUP(C103,'00_SKU_Master'!$B$2:$B$378,'00_SKU_Master'!$F$2:$F$378,0)*Y103,"")</f>
        <v>#NAME?</v>
      </c>
      <c r="E101" s="552" t="e">
        <f ca="1">_xludf.IFNA(_xlfn.XLOOKUP(C103,'00_SKU_Master'!$B$2:$B$378,'00_SKU_Master'!$F$2:$F$378,0)*Z103,"")</f>
        <v>#NAME?</v>
      </c>
      <c r="F101" s="552" t="e">
        <f ca="1">_xludf.IFNA(_xlfn.XLOOKUP(C103,'00_SKU_Master'!$B$2:$B$378,'00_SKU_Master'!$F$2:$F$378,0)*AA103,"")</f>
        <v>#NAME?</v>
      </c>
      <c r="G101" s="552" t="e">
        <f ca="1">_xludf.IFNA(_xlfn.XLOOKUP(C103,'00_SKU_Master'!$B$2:$B$378,'00_SKU_Master'!$F$2:$F$378,0)*AB103,"")</f>
        <v>#NAME?</v>
      </c>
      <c r="H101" s="552" t="e">
        <f ca="1">_xludf.IFNA(_xlfn.XLOOKUP(C103,'00_SKU_Master'!$B$2:$B$378,'00_SKU_Master'!$F$2:$F$378,0)*AC103,"")</f>
        <v>#NAME?</v>
      </c>
      <c r="I101" s="552" t="e">
        <f ca="1">_xludf.IFNA(_xlfn.XLOOKUP(C103,'00_SKU_Master'!$B$2:$B$378,'00_SKU_Master'!$F$2:$F$378,0)*AD103,"")</f>
        <v>#NAME?</v>
      </c>
      <c r="J101" s="552" t="e">
        <f ca="1">_xludf.IFNA(_xlfn.XLOOKUP(C103,'00_SKU_Master'!$B$2:$B$378,'00_SKU_Master'!$F$2:$F$378,0)*AE103,"")</f>
        <v>#NAME?</v>
      </c>
      <c r="K101" s="553" t="e">
        <f t="shared" ca="1" si="7"/>
        <v>#NAME?</v>
      </c>
      <c r="L101" s="187" t="e">
        <f>_xlfn.XLOOKUP(C103,'00_SKU_Master'!$B$2:$B$378,'00_SKU_Master'!K:K)</f>
        <v>#VALUE!</v>
      </c>
      <c r="M101" s="14">
        <f t="shared" si="8"/>
        <v>7153</v>
      </c>
      <c r="N101" s="147" t="e">
        <f ca="1">_xludf.IFNA(D103/_xlfn.XLOOKUP($M103,'00_SKU_Master'!$B$2:$B$378,'00_SKU_Master'!$M$2:$M$378,0)/$M$2,"0")</f>
        <v>#NAME?</v>
      </c>
      <c r="O101" s="147" t="e">
        <f ca="1">_xludf.IFNA(E103/_xlfn.XLOOKUP($M103,'00_SKU_Master'!$B$2:$B$378,'00_SKU_Master'!$M$2:$M$378,0)/$M$2,"0")</f>
        <v>#NAME?</v>
      </c>
      <c r="P101" s="147" t="e">
        <f ca="1">_xludf.IFNA(F103/_xlfn.XLOOKUP($M103,'00_SKU_Master'!$B$2:$B$378,'00_SKU_Master'!$M$2:$M$378,0)/$M$2,"0")</f>
        <v>#NAME?</v>
      </c>
      <c r="Q101" s="147" t="e">
        <f ca="1">_xludf.IFNA(G103/_xlfn.XLOOKUP($M103,'00_SKU_Master'!$B$2:$B$378,'00_SKU_Master'!$M$2:$M$378,0)/$M$2,"0")</f>
        <v>#NAME?</v>
      </c>
      <c r="R101" s="147" t="e">
        <f ca="1">_xludf.IFNA(H103/_xlfn.XLOOKUP($M103,'00_SKU_Master'!$B$2:$B$378,'00_SKU_Master'!$M$2:$M$378,0)/$M$2,"0")</f>
        <v>#NAME?</v>
      </c>
      <c r="S101" s="147" t="e">
        <f ca="1">_xludf.IFNA(I103/_xlfn.XLOOKUP($M103,'00_SKU_Master'!$B$2:$B$378,'00_SKU_Master'!$M$2:$M$378,0)/$M$2,"0")</f>
        <v>#NAME?</v>
      </c>
      <c r="T101" s="147" t="e">
        <f ca="1">_xludf.IFNA(J103/_xlfn.XLOOKUP($M103,'00_SKU_Master'!$B$2:$B$378,'00_SKU_Master'!$M$2:$M$378,0)/$M$2,"0")</f>
        <v>#NAME?</v>
      </c>
      <c r="U101" s="147" t="e">
        <f t="shared" ca="1" si="9"/>
        <v>#NAME?</v>
      </c>
      <c r="V101" s="4"/>
      <c r="W101" s="4" t="e">
        <f>_xlfn.XLOOKUP(M103,'00_SKU_Master'!$B$2:$B$378,'00_SKU_Master'!D:D)</f>
        <v>#VALUE!</v>
      </c>
      <c r="X101" s="14">
        <f>'05_Daily_Orders'!B102</f>
        <v>7149</v>
      </c>
      <c r="Y101" s="554"/>
      <c r="Z101" s="555"/>
      <c r="AA101" s="555"/>
      <c r="AB101" s="555"/>
      <c r="AC101" s="555">
        <v>0</v>
      </c>
      <c r="AD101" s="555">
        <v>0</v>
      </c>
      <c r="AE101" s="555">
        <v>0</v>
      </c>
      <c r="AF101" s="553">
        <f t="shared" si="10"/>
        <v>0</v>
      </c>
      <c r="AQ101" s="23">
        <v>0</v>
      </c>
      <c r="AR101" s="23">
        <v>0</v>
      </c>
      <c r="AS101" s="23">
        <f t="shared" si="11"/>
        <v>0</v>
      </c>
    </row>
    <row r="102" spans="1:45">
      <c r="A102" s="138" t="str">
        <f>_xlfn.XLOOKUP(C104,'00_SKU_Master'!$B$2:$B$378,'00_SKU_Master'!$C$2:$C$378)</f>
        <v>61048#2</v>
      </c>
      <c r="B102" s="138"/>
      <c r="C102" s="138">
        <f t="shared" si="6"/>
        <v>7155</v>
      </c>
      <c r="D102" s="552" t="e">
        <f ca="1">_xludf.IFNA(_xlfn.XLOOKUP(C104,'00_SKU_Master'!$B$2:$B$378,'00_SKU_Master'!$F$2:$F$378,0)*Y104,"")</f>
        <v>#NAME?</v>
      </c>
      <c r="E102" s="552" t="e">
        <f ca="1">_xludf.IFNA(_xlfn.XLOOKUP(C104,'00_SKU_Master'!$B$2:$B$378,'00_SKU_Master'!$F$2:$F$378,0)*Z104,"")</f>
        <v>#NAME?</v>
      </c>
      <c r="F102" s="552" t="e">
        <f ca="1">_xludf.IFNA(_xlfn.XLOOKUP(C104,'00_SKU_Master'!$B$2:$B$378,'00_SKU_Master'!$F$2:$F$378,0)*AA104,"")</f>
        <v>#NAME?</v>
      </c>
      <c r="G102" s="552" t="e">
        <f ca="1">_xludf.IFNA(_xlfn.XLOOKUP(C104,'00_SKU_Master'!$B$2:$B$378,'00_SKU_Master'!$F$2:$F$378,0)*AB104,"")</f>
        <v>#NAME?</v>
      </c>
      <c r="H102" s="552" t="e">
        <f ca="1">_xludf.IFNA(_xlfn.XLOOKUP(C104,'00_SKU_Master'!$B$2:$B$378,'00_SKU_Master'!$F$2:$F$378,0)*AC104,"")</f>
        <v>#NAME?</v>
      </c>
      <c r="I102" s="552" t="e">
        <f ca="1">_xludf.IFNA(_xlfn.XLOOKUP(C104,'00_SKU_Master'!$B$2:$B$378,'00_SKU_Master'!$F$2:$F$378,0)*AD104,"")</f>
        <v>#NAME?</v>
      </c>
      <c r="J102" s="552" t="e">
        <f ca="1">_xludf.IFNA(_xlfn.XLOOKUP(C104,'00_SKU_Master'!$B$2:$B$378,'00_SKU_Master'!$F$2:$F$378,0)*AE104,"")</f>
        <v>#NAME?</v>
      </c>
      <c r="K102" s="553" t="e">
        <f t="shared" ca="1" si="7"/>
        <v>#NAME?</v>
      </c>
      <c r="L102" s="187" t="e">
        <f>_xlfn.XLOOKUP(C104,'00_SKU_Master'!$B$2:$B$378,'00_SKU_Master'!K:K)</f>
        <v>#VALUE!</v>
      </c>
      <c r="M102" s="14">
        <f t="shared" si="8"/>
        <v>7155</v>
      </c>
      <c r="N102" s="147" t="e">
        <f ca="1">_xludf.IFNA(D104/_xlfn.XLOOKUP($M104,'00_SKU_Master'!$B$2:$B$378,'00_SKU_Master'!$M$2:$M$378,0)/$M$2,"0")</f>
        <v>#NAME?</v>
      </c>
      <c r="O102" s="147" t="e">
        <f ca="1">_xludf.IFNA(E104/_xlfn.XLOOKUP($M104,'00_SKU_Master'!$B$2:$B$378,'00_SKU_Master'!$M$2:$M$378,0)/$M$2,"0")</f>
        <v>#NAME?</v>
      </c>
      <c r="P102" s="147" t="e">
        <f ca="1">_xludf.IFNA(F104/_xlfn.XLOOKUP($M104,'00_SKU_Master'!$B$2:$B$378,'00_SKU_Master'!$M$2:$M$378,0)/$M$2,"0")</f>
        <v>#NAME?</v>
      </c>
      <c r="Q102" s="147" t="e">
        <f ca="1">_xludf.IFNA(G104/_xlfn.XLOOKUP($M104,'00_SKU_Master'!$B$2:$B$378,'00_SKU_Master'!$M$2:$M$378,0)/$M$2,"0")</f>
        <v>#NAME?</v>
      </c>
      <c r="R102" s="147" t="e">
        <f ca="1">_xludf.IFNA(H104/_xlfn.XLOOKUP($M104,'00_SKU_Master'!$B$2:$B$378,'00_SKU_Master'!$M$2:$M$378,0)/$M$2,"0")</f>
        <v>#NAME?</v>
      </c>
      <c r="S102" s="147" t="e">
        <f ca="1">_xludf.IFNA(I104/_xlfn.XLOOKUP($M104,'00_SKU_Master'!$B$2:$B$378,'00_SKU_Master'!$M$2:$M$378,0)/$M$2,"0")</f>
        <v>#NAME?</v>
      </c>
      <c r="T102" s="147" t="e">
        <f ca="1">_xludf.IFNA(J104/_xlfn.XLOOKUP($M104,'00_SKU_Master'!$B$2:$B$378,'00_SKU_Master'!$M$2:$M$378,0)/$M$2,"0")</f>
        <v>#NAME?</v>
      </c>
      <c r="U102" s="147" t="e">
        <f t="shared" ca="1" si="9"/>
        <v>#NAME?</v>
      </c>
      <c r="V102" s="4"/>
      <c r="W102" s="4" t="e">
        <f>_xlfn.XLOOKUP(M104,'00_SKU_Master'!$B$2:$B$378,'00_SKU_Master'!D:D)</f>
        <v>#VALUE!</v>
      </c>
      <c r="X102" s="14">
        <f>'05_Daily_Orders'!B103</f>
        <v>7150</v>
      </c>
      <c r="Y102" s="554"/>
      <c r="Z102" s="555"/>
      <c r="AA102" s="555"/>
      <c r="AB102" s="555"/>
      <c r="AC102" s="555">
        <v>0</v>
      </c>
      <c r="AD102" s="555">
        <v>0</v>
      </c>
      <c r="AE102" s="555">
        <v>0</v>
      </c>
      <c r="AF102" s="553">
        <f t="shared" si="10"/>
        <v>0</v>
      </c>
      <c r="AQ102" s="23">
        <v>0</v>
      </c>
      <c r="AR102" s="23">
        <v>0</v>
      </c>
      <c r="AS102" s="23">
        <f t="shared" si="11"/>
        <v>0</v>
      </c>
    </row>
    <row r="103" spans="1:45">
      <c r="A103" s="138" t="str">
        <f>_xlfn.XLOOKUP(C105,'00_SKU_Master'!$B$2:$B$378,'00_SKU_Master'!$C$2:$C$378)</f>
        <v>61040#2</v>
      </c>
      <c r="B103" s="138"/>
      <c r="C103" s="138">
        <f t="shared" si="6"/>
        <v>7159</v>
      </c>
      <c r="D103" s="552" t="e">
        <f ca="1">_xludf.IFNA(_xlfn.XLOOKUP(C105,'00_SKU_Master'!$B$2:$B$378,'00_SKU_Master'!$F$2:$F$378,0)*Y105,"")</f>
        <v>#NAME?</v>
      </c>
      <c r="E103" s="552" t="e">
        <f ca="1">_xludf.IFNA(_xlfn.XLOOKUP(C105,'00_SKU_Master'!$B$2:$B$378,'00_SKU_Master'!$F$2:$F$378,0)*Z105,"")</f>
        <v>#NAME?</v>
      </c>
      <c r="F103" s="552" t="e">
        <f ca="1">_xludf.IFNA(_xlfn.XLOOKUP(C105,'00_SKU_Master'!$B$2:$B$378,'00_SKU_Master'!$F$2:$F$378,0)*AA105,"")</f>
        <v>#NAME?</v>
      </c>
      <c r="G103" s="552" t="e">
        <f ca="1">_xludf.IFNA(_xlfn.XLOOKUP(C105,'00_SKU_Master'!$B$2:$B$378,'00_SKU_Master'!$F$2:$F$378,0)*AB105,"")</f>
        <v>#NAME?</v>
      </c>
      <c r="H103" s="552" t="e">
        <f ca="1">_xludf.IFNA(_xlfn.XLOOKUP(C105,'00_SKU_Master'!$B$2:$B$378,'00_SKU_Master'!$F$2:$F$378,0)*AC105,"")</f>
        <v>#NAME?</v>
      </c>
      <c r="I103" s="552" t="e">
        <f ca="1">_xludf.IFNA(_xlfn.XLOOKUP(C105,'00_SKU_Master'!$B$2:$B$378,'00_SKU_Master'!$F$2:$F$378,0)*AD105,"")</f>
        <v>#NAME?</v>
      </c>
      <c r="J103" s="552" t="e">
        <f ca="1">_xludf.IFNA(_xlfn.XLOOKUP(C105,'00_SKU_Master'!$B$2:$B$378,'00_SKU_Master'!$F$2:$F$378,0)*AE105,"")</f>
        <v>#NAME?</v>
      </c>
      <c r="K103" s="553" t="e">
        <f t="shared" ca="1" si="7"/>
        <v>#NAME?</v>
      </c>
      <c r="L103" s="187" t="e">
        <f>_xlfn.XLOOKUP(C105,'00_SKU_Master'!$B$2:$B$378,'00_SKU_Master'!K:K)</f>
        <v>#VALUE!</v>
      </c>
      <c r="M103" s="14">
        <f t="shared" si="8"/>
        <v>7159</v>
      </c>
      <c r="N103" s="147" t="e">
        <f ca="1">_xludf.IFNA(D105/_xlfn.XLOOKUP($M105,'00_SKU_Master'!$B$2:$B$378,'00_SKU_Master'!$M$2:$M$378,0)/$M$2,"0")</f>
        <v>#NAME?</v>
      </c>
      <c r="O103" s="147" t="e">
        <f ca="1">_xludf.IFNA(E105/_xlfn.XLOOKUP($M105,'00_SKU_Master'!$B$2:$B$378,'00_SKU_Master'!$M$2:$M$378,0)/$M$2,"0")</f>
        <v>#NAME?</v>
      </c>
      <c r="P103" s="147" t="e">
        <f ca="1">_xludf.IFNA(F105/_xlfn.XLOOKUP($M105,'00_SKU_Master'!$B$2:$B$378,'00_SKU_Master'!$M$2:$M$378,0)/$M$2,"0")</f>
        <v>#NAME?</v>
      </c>
      <c r="Q103" s="147" t="e">
        <f ca="1">_xludf.IFNA(G105/_xlfn.XLOOKUP($M105,'00_SKU_Master'!$B$2:$B$378,'00_SKU_Master'!$M$2:$M$378,0)/$M$2,"0")</f>
        <v>#NAME?</v>
      </c>
      <c r="R103" s="147" t="e">
        <f ca="1">_xludf.IFNA(H105/_xlfn.XLOOKUP($M105,'00_SKU_Master'!$B$2:$B$378,'00_SKU_Master'!$M$2:$M$378,0)/$M$2,"0")</f>
        <v>#NAME?</v>
      </c>
      <c r="S103" s="147" t="e">
        <f ca="1">_xludf.IFNA(I105/_xlfn.XLOOKUP($M105,'00_SKU_Master'!$B$2:$B$378,'00_SKU_Master'!$M$2:$M$378,0)/$M$2,"0")</f>
        <v>#NAME?</v>
      </c>
      <c r="T103" s="147" t="e">
        <f ca="1">_xludf.IFNA(J105/_xlfn.XLOOKUP($M105,'00_SKU_Master'!$B$2:$B$378,'00_SKU_Master'!$M$2:$M$378,0)/$M$2,"0")</f>
        <v>#NAME?</v>
      </c>
      <c r="U103" s="147" t="e">
        <f t="shared" ca="1" si="9"/>
        <v>#NAME?</v>
      </c>
      <c r="V103" s="4"/>
      <c r="W103" s="4" t="e">
        <f>_xlfn.XLOOKUP(M105,'00_SKU_Master'!$B$2:$B$378,'00_SKU_Master'!D:D)</f>
        <v>#VALUE!</v>
      </c>
      <c r="X103" s="14">
        <f>'05_Daily_Orders'!B104</f>
        <v>7153</v>
      </c>
      <c r="Y103" s="554"/>
      <c r="Z103" s="555"/>
      <c r="AA103" s="555"/>
      <c r="AB103" s="555"/>
      <c r="AC103" s="555">
        <v>0</v>
      </c>
      <c r="AD103" s="555">
        <v>0</v>
      </c>
      <c r="AE103" s="555">
        <v>0</v>
      </c>
      <c r="AF103" s="553">
        <f t="shared" si="10"/>
        <v>0</v>
      </c>
      <c r="AQ103" s="23">
        <v>0</v>
      </c>
      <c r="AR103" s="23">
        <v>0</v>
      </c>
      <c r="AS103" s="23">
        <f t="shared" si="11"/>
        <v>0</v>
      </c>
    </row>
    <row r="104" spans="1:45">
      <c r="A104" s="138" t="str">
        <f>_xlfn.XLOOKUP(C106,'00_SKU_Master'!$B$2:$B$378,'00_SKU_Master'!$C$2:$C$378)</f>
        <v>61086#2</v>
      </c>
      <c r="B104" s="138"/>
      <c r="C104" s="138">
        <f t="shared" si="6"/>
        <v>7160</v>
      </c>
      <c r="D104" s="552" t="e">
        <f ca="1">_xludf.IFNA(_xlfn.XLOOKUP(C106,'00_SKU_Master'!$B$2:$B$378,'00_SKU_Master'!$F$2:$F$378,0)*Y106,"")</f>
        <v>#NAME?</v>
      </c>
      <c r="E104" s="552" t="e">
        <f ca="1">_xludf.IFNA(_xlfn.XLOOKUP(C106,'00_SKU_Master'!$B$2:$B$378,'00_SKU_Master'!$F$2:$F$378,0)*Z106,"")</f>
        <v>#NAME?</v>
      </c>
      <c r="F104" s="552" t="e">
        <f ca="1">_xludf.IFNA(_xlfn.XLOOKUP(C106,'00_SKU_Master'!$B$2:$B$378,'00_SKU_Master'!$F$2:$F$378,0)*AA106,"")</f>
        <v>#NAME?</v>
      </c>
      <c r="G104" s="552" t="e">
        <f ca="1">_xludf.IFNA(_xlfn.XLOOKUP(C106,'00_SKU_Master'!$B$2:$B$378,'00_SKU_Master'!$F$2:$F$378,0)*AB106,"")</f>
        <v>#NAME?</v>
      </c>
      <c r="H104" s="552" t="e">
        <f ca="1">_xludf.IFNA(_xlfn.XLOOKUP(C106,'00_SKU_Master'!$B$2:$B$378,'00_SKU_Master'!$F$2:$F$378,0)*AC106,"")</f>
        <v>#NAME?</v>
      </c>
      <c r="I104" s="552" t="e">
        <f ca="1">_xludf.IFNA(_xlfn.XLOOKUP(C106,'00_SKU_Master'!$B$2:$B$378,'00_SKU_Master'!$F$2:$F$378,0)*AD106,"")</f>
        <v>#NAME?</v>
      </c>
      <c r="J104" s="552" t="e">
        <f ca="1">_xludf.IFNA(_xlfn.XLOOKUP(C106,'00_SKU_Master'!$B$2:$B$378,'00_SKU_Master'!$F$2:$F$378,0)*AE106,"")</f>
        <v>#NAME?</v>
      </c>
      <c r="K104" s="553" t="e">
        <f t="shared" ca="1" si="7"/>
        <v>#NAME?</v>
      </c>
      <c r="L104" s="187" t="e">
        <f>_xlfn.XLOOKUP(C106,'00_SKU_Master'!$B$2:$B$378,'00_SKU_Master'!K:K)</f>
        <v>#VALUE!</v>
      </c>
      <c r="M104" s="14">
        <f t="shared" si="8"/>
        <v>7160</v>
      </c>
      <c r="N104" s="147" t="e">
        <f ca="1">_xludf.IFNA(D106/_xlfn.XLOOKUP($M106,'00_SKU_Master'!$B$2:$B$378,'00_SKU_Master'!$M$2:$M$378,0)/$M$2,"0")</f>
        <v>#NAME?</v>
      </c>
      <c r="O104" s="147" t="e">
        <f ca="1">_xludf.IFNA(E106/_xlfn.XLOOKUP($M106,'00_SKU_Master'!$B$2:$B$378,'00_SKU_Master'!$M$2:$M$378,0)/$M$2,"0")</f>
        <v>#NAME?</v>
      </c>
      <c r="P104" s="147" t="e">
        <f ca="1">_xludf.IFNA(F106/_xlfn.XLOOKUP($M106,'00_SKU_Master'!$B$2:$B$378,'00_SKU_Master'!$M$2:$M$378,0)/$M$2,"0")</f>
        <v>#NAME?</v>
      </c>
      <c r="Q104" s="147" t="e">
        <f ca="1">_xludf.IFNA(G106/_xlfn.XLOOKUP($M106,'00_SKU_Master'!$B$2:$B$378,'00_SKU_Master'!$M$2:$M$378,0)/$M$2,"0")</f>
        <v>#NAME?</v>
      </c>
      <c r="R104" s="147" t="e">
        <f ca="1">_xludf.IFNA(H106/_xlfn.XLOOKUP($M106,'00_SKU_Master'!$B$2:$B$378,'00_SKU_Master'!$M$2:$M$378,0)/$M$2,"0")</f>
        <v>#NAME?</v>
      </c>
      <c r="S104" s="147" t="e">
        <f ca="1">_xludf.IFNA(I106/_xlfn.XLOOKUP($M106,'00_SKU_Master'!$B$2:$B$378,'00_SKU_Master'!$M$2:$M$378,0)/$M$2,"0")</f>
        <v>#NAME?</v>
      </c>
      <c r="T104" s="147" t="e">
        <f ca="1">_xludf.IFNA(J106/_xlfn.XLOOKUP($M106,'00_SKU_Master'!$B$2:$B$378,'00_SKU_Master'!$M$2:$M$378,0)/$M$2,"0")</f>
        <v>#NAME?</v>
      </c>
      <c r="U104" s="147" t="e">
        <f t="shared" ca="1" si="9"/>
        <v>#NAME?</v>
      </c>
      <c r="V104" s="4"/>
      <c r="W104" s="4" t="e">
        <f>_xlfn.XLOOKUP(M106,'00_SKU_Master'!$B$2:$B$378,'00_SKU_Master'!D:D)</f>
        <v>#VALUE!</v>
      </c>
      <c r="X104" s="14">
        <f>'05_Daily_Orders'!B105</f>
        <v>7155</v>
      </c>
      <c r="Y104" s="554"/>
      <c r="Z104" s="555"/>
      <c r="AA104" s="555"/>
      <c r="AB104" s="555"/>
      <c r="AC104" s="555">
        <v>0</v>
      </c>
      <c r="AD104" s="555">
        <v>0</v>
      </c>
      <c r="AE104" s="555">
        <v>0</v>
      </c>
      <c r="AF104" s="553">
        <f t="shared" si="10"/>
        <v>0</v>
      </c>
      <c r="AQ104" s="23">
        <v>0</v>
      </c>
      <c r="AR104" s="23">
        <v>0</v>
      </c>
      <c r="AS104" s="23">
        <f t="shared" si="11"/>
        <v>0</v>
      </c>
    </row>
    <row r="105" spans="1:45">
      <c r="A105" s="138">
        <f>_xlfn.XLOOKUP(C107,'00_SKU_Master'!$B$2:$B$378,'00_SKU_Master'!$C$2:$C$378)</f>
        <v>61082</v>
      </c>
      <c r="B105" s="138"/>
      <c r="C105" s="138">
        <f t="shared" si="6"/>
        <v>7161</v>
      </c>
      <c r="D105" s="552" t="e">
        <f ca="1">_xludf.IFNA(_xlfn.XLOOKUP(C107,'00_SKU_Master'!$B$2:$B$378,'00_SKU_Master'!$F$2:$F$378,0)*Y107,"")</f>
        <v>#NAME?</v>
      </c>
      <c r="E105" s="552" t="e">
        <f ca="1">_xludf.IFNA(_xlfn.XLOOKUP(C107,'00_SKU_Master'!$B$2:$B$378,'00_SKU_Master'!$F$2:$F$378,0)*Z107,"")</f>
        <v>#NAME?</v>
      </c>
      <c r="F105" s="552" t="e">
        <f ca="1">_xludf.IFNA(_xlfn.XLOOKUP(C107,'00_SKU_Master'!$B$2:$B$378,'00_SKU_Master'!$F$2:$F$378,0)*AA107,"")</f>
        <v>#NAME?</v>
      </c>
      <c r="G105" s="552" t="e">
        <f ca="1">_xludf.IFNA(_xlfn.XLOOKUP(C107,'00_SKU_Master'!$B$2:$B$378,'00_SKU_Master'!$F$2:$F$378,0)*AB107,"")</f>
        <v>#NAME?</v>
      </c>
      <c r="H105" s="552" t="e">
        <f ca="1">_xludf.IFNA(_xlfn.XLOOKUP(C107,'00_SKU_Master'!$B$2:$B$378,'00_SKU_Master'!$F$2:$F$378,0)*AC107,"")</f>
        <v>#NAME?</v>
      </c>
      <c r="I105" s="552" t="e">
        <f ca="1">_xludf.IFNA(_xlfn.XLOOKUP(C107,'00_SKU_Master'!$B$2:$B$378,'00_SKU_Master'!$F$2:$F$378,0)*AD107,"")</f>
        <v>#NAME?</v>
      </c>
      <c r="J105" s="552" t="e">
        <f ca="1">_xludf.IFNA(_xlfn.XLOOKUP(C107,'00_SKU_Master'!$B$2:$B$378,'00_SKU_Master'!$F$2:$F$378,0)*AE107,"")</f>
        <v>#NAME?</v>
      </c>
      <c r="K105" s="553" t="e">
        <f t="shared" ca="1" si="7"/>
        <v>#NAME?</v>
      </c>
      <c r="L105" s="187" t="e">
        <f>_xlfn.XLOOKUP(C107,'00_SKU_Master'!$B$2:$B$378,'00_SKU_Master'!K:K)</f>
        <v>#VALUE!</v>
      </c>
      <c r="M105" s="14">
        <f t="shared" si="8"/>
        <v>7161</v>
      </c>
      <c r="N105" s="147" t="e">
        <f ca="1">_xludf.IFNA(D107/_xlfn.XLOOKUP($M107,'00_SKU_Master'!$B$2:$B$378,'00_SKU_Master'!$M$2:$M$378,0)/$M$2,"0")</f>
        <v>#NAME?</v>
      </c>
      <c r="O105" s="147" t="e">
        <f ca="1">_xludf.IFNA(E107/_xlfn.XLOOKUP($M107,'00_SKU_Master'!$B$2:$B$378,'00_SKU_Master'!$M$2:$M$378,0)/$M$2,"0")</f>
        <v>#NAME?</v>
      </c>
      <c r="P105" s="147" t="e">
        <f ca="1">_xludf.IFNA(F107/_xlfn.XLOOKUP($M107,'00_SKU_Master'!$B$2:$B$378,'00_SKU_Master'!$M$2:$M$378,0)/$M$2,"0")</f>
        <v>#NAME?</v>
      </c>
      <c r="Q105" s="147" t="e">
        <f ca="1">_xludf.IFNA(G107/_xlfn.XLOOKUP($M107,'00_SKU_Master'!$B$2:$B$378,'00_SKU_Master'!$M$2:$M$378,0)/$M$2,"0")</f>
        <v>#NAME?</v>
      </c>
      <c r="R105" s="147" t="e">
        <f ca="1">_xludf.IFNA(H107/_xlfn.XLOOKUP($M107,'00_SKU_Master'!$B$2:$B$378,'00_SKU_Master'!$M$2:$M$378,0)/$M$2,"0")</f>
        <v>#NAME?</v>
      </c>
      <c r="S105" s="147" t="e">
        <f ca="1">_xludf.IFNA(I107/_xlfn.XLOOKUP($M107,'00_SKU_Master'!$B$2:$B$378,'00_SKU_Master'!$M$2:$M$378,0)/$M$2,"0")</f>
        <v>#NAME?</v>
      </c>
      <c r="T105" s="147" t="e">
        <f ca="1">_xludf.IFNA(J107/_xlfn.XLOOKUP($M107,'00_SKU_Master'!$B$2:$B$378,'00_SKU_Master'!$M$2:$M$378,0)/$M$2,"0")</f>
        <v>#NAME?</v>
      </c>
      <c r="U105" s="147" t="e">
        <f t="shared" ca="1" si="9"/>
        <v>#NAME?</v>
      </c>
      <c r="V105" s="4"/>
      <c r="W105" s="4" t="e">
        <f>_xlfn.XLOOKUP(M107,'00_SKU_Master'!$B$2:$B$378,'00_SKU_Master'!D:D)</f>
        <v>#VALUE!</v>
      </c>
      <c r="X105" s="14">
        <f>'05_Daily_Orders'!B106</f>
        <v>7159</v>
      </c>
      <c r="Y105" s="554"/>
      <c r="Z105" s="555"/>
      <c r="AA105" s="555"/>
      <c r="AB105" s="555"/>
      <c r="AC105" s="555">
        <v>0</v>
      </c>
      <c r="AD105" s="555">
        <v>0</v>
      </c>
      <c r="AE105" s="555">
        <v>0</v>
      </c>
      <c r="AF105" s="553">
        <f t="shared" si="10"/>
        <v>0</v>
      </c>
      <c r="AQ105" s="23">
        <v>0</v>
      </c>
      <c r="AR105" s="23">
        <v>0</v>
      </c>
      <c r="AS105" s="23">
        <f t="shared" si="11"/>
        <v>0</v>
      </c>
    </row>
    <row r="106" spans="1:45">
      <c r="A106" s="138" t="str">
        <f>_xlfn.XLOOKUP(C108,'00_SKU_Master'!$B$2:$B$378,'00_SKU_Master'!$C$2:$C$378)</f>
        <v>61072#2</v>
      </c>
      <c r="B106" s="138"/>
      <c r="C106" s="138">
        <f t="shared" si="6"/>
        <v>7162</v>
      </c>
      <c r="D106" s="552" t="e">
        <f ca="1">_xludf.IFNA(_xlfn.XLOOKUP(C108,'00_SKU_Master'!$B$2:$B$378,'00_SKU_Master'!$F$2:$F$378,0)*Y108,"")</f>
        <v>#NAME?</v>
      </c>
      <c r="E106" s="552" t="e">
        <f ca="1">_xludf.IFNA(_xlfn.XLOOKUP(C108,'00_SKU_Master'!$B$2:$B$378,'00_SKU_Master'!$F$2:$F$378,0)*Z108,"")</f>
        <v>#NAME?</v>
      </c>
      <c r="F106" s="552" t="e">
        <f ca="1">_xludf.IFNA(_xlfn.XLOOKUP(C108,'00_SKU_Master'!$B$2:$B$378,'00_SKU_Master'!$F$2:$F$378,0)*AA108,"")</f>
        <v>#NAME?</v>
      </c>
      <c r="G106" s="552" t="e">
        <f ca="1">_xludf.IFNA(_xlfn.XLOOKUP(C108,'00_SKU_Master'!$B$2:$B$378,'00_SKU_Master'!$F$2:$F$378,0)*AB108,"")</f>
        <v>#NAME?</v>
      </c>
      <c r="H106" s="552" t="e">
        <f ca="1">_xludf.IFNA(_xlfn.XLOOKUP(C108,'00_SKU_Master'!$B$2:$B$378,'00_SKU_Master'!$F$2:$F$378,0)*AC108,"")</f>
        <v>#NAME?</v>
      </c>
      <c r="I106" s="552" t="e">
        <f ca="1">_xludf.IFNA(_xlfn.XLOOKUP(C108,'00_SKU_Master'!$B$2:$B$378,'00_SKU_Master'!$F$2:$F$378,0)*AD108,"")</f>
        <v>#NAME?</v>
      </c>
      <c r="J106" s="552" t="e">
        <f ca="1">_xludf.IFNA(_xlfn.XLOOKUP(C108,'00_SKU_Master'!$B$2:$B$378,'00_SKU_Master'!$F$2:$F$378,0)*AE108,"")</f>
        <v>#NAME?</v>
      </c>
      <c r="K106" s="553" t="e">
        <f t="shared" ca="1" si="7"/>
        <v>#NAME?</v>
      </c>
      <c r="L106" s="187" t="e">
        <f>_xlfn.XLOOKUP(C108,'00_SKU_Master'!$B$2:$B$378,'00_SKU_Master'!K:K)</f>
        <v>#VALUE!</v>
      </c>
      <c r="M106" s="14">
        <f t="shared" si="8"/>
        <v>7162</v>
      </c>
      <c r="N106" s="147" t="e">
        <f ca="1">_xludf.IFNA(D108/_xlfn.XLOOKUP($M108,'00_SKU_Master'!$B$2:$B$378,'00_SKU_Master'!$M$2:$M$378,0)/$M$2,"0")</f>
        <v>#NAME?</v>
      </c>
      <c r="O106" s="147" t="e">
        <f ca="1">_xludf.IFNA(E108/_xlfn.XLOOKUP($M108,'00_SKU_Master'!$B$2:$B$378,'00_SKU_Master'!$M$2:$M$378,0)/$M$2,"0")</f>
        <v>#NAME?</v>
      </c>
      <c r="P106" s="147" t="e">
        <f ca="1">_xludf.IFNA(F108/_xlfn.XLOOKUP($M108,'00_SKU_Master'!$B$2:$B$378,'00_SKU_Master'!$M$2:$M$378,0)/$M$2,"0")</f>
        <v>#NAME?</v>
      </c>
      <c r="Q106" s="147" t="e">
        <f ca="1">_xludf.IFNA(G108/_xlfn.XLOOKUP($M108,'00_SKU_Master'!$B$2:$B$378,'00_SKU_Master'!$M$2:$M$378,0)/$M$2,"0")</f>
        <v>#NAME?</v>
      </c>
      <c r="R106" s="147" t="e">
        <f ca="1">_xludf.IFNA(H108/_xlfn.XLOOKUP($M108,'00_SKU_Master'!$B$2:$B$378,'00_SKU_Master'!$M$2:$M$378,0)/$M$2,"0")</f>
        <v>#NAME?</v>
      </c>
      <c r="S106" s="147" t="e">
        <f ca="1">_xludf.IFNA(I108/_xlfn.XLOOKUP($M108,'00_SKU_Master'!$B$2:$B$378,'00_SKU_Master'!$M$2:$M$378,0)/$M$2,"0")</f>
        <v>#NAME?</v>
      </c>
      <c r="T106" s="147" t="e">
        <f ca="1">_xludf.IFNA(J108/_xlfn.XLOOKUP($M108,'00_SKU_Master'!$B$2:$B$378,'00_SKU_Master'!$M$2:$M$378,0)/$M$2,"0")</f>
        <v>#NAME?</v>
      </c>
      <c r="U106" s="147" t="e">
        <f t="shared" ca="1" si="9"/>
        <v>#NAME?</v>
      </c>
      <c r="V106" s="4"/>
      <c r="W106" s="4" t="e">
        <f>_xlfn.XLOOKUP(M108,'00_SKU_Master'!$B$2:$B$378,'00_SKU_Master'!D:D)</f>
        <v>#VALUE!</v>
      </c>
      <c r="X106" s="14">
        <f>'05_Daily_Orders'!B107</f>
        <v>7160</v>
      </c>
      <c r="Y106" s="554"/>
      <c r="Z106" s="555"/>
      <c r="AA106" s="555"/>
      <c r="AB106" s="555"/>
      <c r="AC106" s="555">
        <v>0</v>
      </c>
      <c r="AD106" s="555">
        <v>0</v>
      </c>
      <c r="AE106" s="555">
        <v>0</v>
      </c>
      <c r="AF106" s="553">
        <f t="shared" si="10"/>
        <v>0</v>
      </c>
      <c r="AQ106" s="23">
        <v>0</v>
      </c>
      <c r="AR106" s="23">
        <v>0</v>
      </c>
      <c r="AS106" s="23">
        <f t="shared" si="11"/>
        <v>0</v>
      </c>
    </row>
    <row r="107" spans="1:45">
      <c r="A107" s="138">
        <f>_xlfn.XLOOKUP(C109,'00_SKU_Master'!$B$2:$B$378,'00_SKU_Master'!$C$2:$C$378)</f>
        <v>61061</v>
      </c>
      <c r="B107" s="138"/>
      <c r="C107" s="138">
        <f t="shared" si="6"/>
        <v>7163</v>
      </c>
      <c r="D107" s="552" t="e">
        <f ca="1">_xludf.IFNA(_xlfn.XLOOKUP(C109,'00_SKU_Master'!$B$2:$B$378,'00_SKU_Master'!$F$2:$F$378,0)*Y109,"")</f>
        <v>#NAME?</v>
      </c>
      <c r="E107" s="552" t="e">
        <f ca="1">_xludf.IFNA(_xlfn.XLOOKUP(C109,'00_SKU_Master'!$B$2:$B$378,'00_SKU_Master'!$F$2:$F$378,0)*Z109,"")</f>
        <v>#NAME?</v>
      </c>
      <c r="F107" s="552" t="e">
        <f ca="1">_xludf.IFNA(_xlfn.XLOOKUP(C109,'00_SKU_Master'!$B$2:$B$378,'00_SKU_Master'!$F$2:$F$378,0)*AA109,"")</f>
        <v>#NAME?</v>
      </c>
      <c r="G107" s="552" t="e">
        <f ca="1">_xludf.IFNA(_xlfn.XLOOKUP(C109,'00_SKU_Master'!$B$2:$B$378,'00_SKU_Master'!$F$2:$F$378,0)*AB109,"")</f>
        <v>#NAME?</v>
      </c>
      <c r="H107" s="552" t="e">
        <f ca="1">_xludf.IFNA(_xlfn.XLOOKUP(C109,'00_SKU_Master'!$B$2:$B$378,'00_SKU_Master'!$F$2:$F$378,0)*AC109,"")</f>
        <v>#NAME?</v>
      </c>
      <c r="I107" s="552" t="e">
        <f ca="1">_xludf.IFNA(_xlfn.XLOOKUP(C109,'00_SKU_Master'!$B$2:$B$378,'00_SKU_Master'!$F$2:$F$378,0)*AD109,"")</f>
        <v>#NAME?</v>
      </c>
      <c r="J107" s="552" t="e">
        <f ca="1">_xludf.IFNA(_xlfn.XLOOKUP(C109,'00_SKU_Master'!$B$2:$B$378,'00_SKU_Master'!$F$2:$F$378,0)*AE109,"")</f>
        <v>#NAME?</v>
      </c>
      <c r="K107" s="553" t="e">
        <f t="shared" ca="1" si="7"/>
        <v>#NAME?</v>
      </c>
      <c r="L107" s="187" t="e">
        <f>_xlfn.XLOOKUP(C109,'00_SKU_Master'!$B$2:$B$378,'00_SKU_Master'!K:K)</f>
        <v>#VALUE!</v>
      </c>
      <c r="M107" s="14">
        <f t="shared" si="8"/>
        <v>7163</v>
      </c>
      <c r="N107" s="147" t="e">
        <f ca="1">_xludf.IFNA(D109/_xlfn.XLOOKUP($M109,'00_SKU_Master'!$B$2:$B$378,'00_SKU_Master'!$M$2:$M$378,0)/$M$2,"0")</f>
        <v>#NAME?</v>
      </c>
      <c r="O107" s="147" t="e">
        <f ca="1">_xludf.IFNA(E109/_xlfn.XLOOKUP($M109,'00_SKU_Master'!$B$2:$B$378,'00_SKU_Master'!$M$2:$M$378,0)/$M$2,"0")</f>
        <v>#NAME?</v>
      </c>
      <c r="P107" s="147" t="e">
        <f ca="1">_xludf.IFNA(F109/_xlfn.XLOOKUP($M109,'00_SKU_Master'!$B$2:$B$378,'00_SKU_Master'!$M$2:$M$378,0)/$M$2,"0")</f>
        <v>#NAME?</v>
      </c>
      <c r="Q107" s="147" t="e">
        <f ca="1">_xludf.IFNA(G109/_xlfn.XLOOKUP($M109,'00_SKU_Master'!$B$2:$B$378,'00_SKU_Master'!$M$2:$M$378,0)/$M$2,"0")</f>
        <v>#NAME?</v>
      </c>
      <c r="R107" s="147" t="e">
        <f ca="1">_xludf.IFNA(H109/_xlfn.XLOOKUP($M109,'00_SKU_Master'!$B$2:$B$378,'00_SKU_Master'!$M$2:$M$378,0)/$M$2,"0")</f>
        <v>#NAME?</v>
      </c>
      <c r="S107" s="147" t="e">
        <f ca="1">_xludf.IFNA(I109/_xlfn.XLOOKUP($M109,'00_SKU_Master'!$B$2:$B$378,'00_SKU_Master'!$M$2:$M$378,0)/$M$2,"0")</f>
        <v>#NAME?</v>
      </c>
      <c r="T107" s="147" t="e">
        <f ca="1">_xludf.IFNA(J109/_xlfn.XLOOKUP($M109,'00_SKU_Master'!$B$2:$B$378,'00_SKU_Master'!$M$2:$M$378,0)/$M$2,"0")</f>
        <v>#NAME?</v>
      </c>
      <c r="U107" s="147" t="e">
        <f t="shared" ca="1" si="9"/>
        <v>#NAME?</v>
      </c>
      <c r="V107" s="4"/>
      <c r="W107" s="4" t="e">
        <f>_xlfn.XLOOKUP(M109,'00_SKU_Master'!$B$2:$B$378,'00_SKU_Master'!D:D)</f>
        <v>#VALUE!</v>
      </c>
      <c r="X107" s="14">
        <f>'05_Daily_Orders'!B108</f>
        <v>7161</v>
      </c>
      <c r="Y107" s="554"/>
      <c r="Z107" s="555"/>
      <c r="AA107" s="555"/>
      <c r="AB107" s="555"/>
      <c r="AC107" s="555">
        <v>0</v>
      </c>
      <c r="AD107" s="555">
        <v>0</v>
      </c>
      <c r="AE107" s="555">
        <v>0</v>
      </c>
      <c r="AF107" s="553">
        <f t="shared" si="10"/>
        <v>0</v>
      </c>
      <c r="AQ107" s="23">
        <v>0</v>
      </c>
      <c r="AR107" s="23">
        <v>0</v>
      </c>
      <c r="AS107" s="23">
        <f t="shared" si="11"/>
        <v>0</v>
      </c>
    </row>
    <row r="108" spans="1:45">
      <c r="A108" s="138">
        <f>_xlfn.XLOOKUP(C110,'00_SKU_Master'!$B$2:$B$378,'00_SKU_Master'!$C$2:$C$378)</f>
        <v>61010</v>
      </c>
      <c r="B108" s="138"/>
      <c r="C108" s="138">
        <f t="shared" si="6"/>
        <v>7164</v>
      </c>
      <c r="D108" s="552" t="e">
        <f ca="1">_xludf.IFNA(_xlfn.XLOOKUP(C110,'00_SKU_Master'!$B$2:$B$378,'00_SKU_Master'!$F$2:$F$378,0)*Y110,"")</f>
        <v>#NAME?</v>
      </c>
      <c r="E108" s="552" t="e">
        <f ca="1">_xludf.IFNA(_xlfn.XLOOKUP(C110,'00_SKU_Master'!$B$2:$B$378,'00_SKU_Master'!$F$2:$F$378,0)*Z110,"")</f>
        <v>#NAME?</v>
      </c>
      <c r="F108" s="552" t="e">
        <f ca="1">_xludf.IFNA(_xlfn.XLOOKUP(C110,'00_SKU_Master'!$B$2:$B$378,'00_SKU_Master'!$F$2:$F$378,0)*AA110,"")</f>
        <v>#NAME?</v>
      </c>
      <c r="G108" s="552" t="e">
        <f ca="1">_xludf.IFNA(_xlfn.XLOOKUP(C110,'00_SKU_Master'!$B$2:$B$378,'00_SKU_Master'!$F$2:$F$378,0)*AB110,"")</f>
        <v>#NAME?</v>
      </c>
      <c r="H108" s="552" t="e">
        <f ca="1">_xludf.IFNA(_xlfn.XLOOKUP(C110,'00_SKU_Master'!$B$2:$B$378,'00_SKU_Master'!$F$2:$F$378,0)*AC110,"")</f>
        <v>#NAME?</v>
      </c>
      <c r="I108" s="552" t="e">
        <f ca="1">_xludf.IFNA(_xlfn.XLOOKUP(C110,'00_SKU_Master'!$B$2:$B$378,'00_SKU_Master'!$F$2:$F$378,0)*AD110,"")</f>
        <v>#NAME?</v>
      </c>
      <c r="J108" s="552" t="e">
        <f ca="1">_xludf.IFNA(_xlfn.XLOOKUP(C110,'00_SKU_Master'!$B$2:$B$378,'00_SKU_Master'!$F$2:$F$378,0)*AE110,"")</f>
        <v>#NAME?</v>
      </c>
      <c r="K108" s="553" t="e">
        <f t="shared" ca="1" si="7"/>
        <v>#NAME?</v>
      </c>
      <c r="L108" s="187" t="e">
        <f>_xlfn.XLOOKUP(C110,'00_SKU_Master'!$B$2:$B$378,'00_SKU_Master'!K:K)</f>
        <v>#VALUE!</v>
      </c>
      <c r="M108" s="14">
        <f t="shared" si="8"/>
        <v>7164</v>
      </c>
      <c r="N108" s="147" t="e">
        <f ca="1">_xludf.IFNA(D110/_xlfn.XLOOKUP($M110,'00_SKU_Master'!$B$2:$B$378,'00_SKU_Master'!$M$2:$M$378,0)/$M$2,"0")</f>
        <v>#NAME?</v>
      </c>
      <c r="O108" s="147" t="e">
        <f ca="1">_xludf.IFNA(E110/_xlfn.XLOOKUP($M110,'00_SKU_Master'!$B$2:$B$378,'00_SKU_Master'!$M$2:$M$378,0)/$M$2,"0")</f>
        <v>#NAME?</v>
      </c>
      <c r="P108" s="147" t="e">
        <f ca="1">_xludf.IFNA(F110/_xlfn.XLOOKUP($M110,'00_SKU_Master'!$B$2:$B$378,'00_SKU_Master'!$M$2:$M$378,0)/$M$2,"0")</f>
        <v>#NAME?</v>
      </c>
      <c r="Q108" s="147" t="e">
        <f ca="1">_xludf.IFNA(G110/_xlfn.XLOOKUP($M110,'00_SKU_Master'!$B$2:$B$378,'00_SKU_Master'!$M$2:$M$378,0)/$M$2,"0")</f>
        <v>#NAME?</v>
      </c>
      <c r="R108" s="147" t="e">
        <f ca="1">_xludf.IFNA(H110/_xlfn.XLOOKUP($M110,'00_SKU_Master'!$B$2:$B$378,'00_SKU_Master'!$M$2:$M$378,0)/$M$2,"0")</f>
        <v>#NAME?</v>
      </c>
      <c r="S108" s="147" t="e">
        <f ca="1">_xludf.IFNA(I110/_xlfn.XLOOKUP($M110,'00_SKU_Master'!$B$2:$B$378,'00_SKU_Master'!$M$2:$M$378,0)/$M$2,"0")</f>
        <v>#NAME?</v>
      </c>
      <c r="T108" s="147" t="e">
        <f ca="1">_xludf.IFNA(J110/_xlfn.XLOOKUP($M110,'00_SKU_Master'!$B$2:$B$378,'00_SKU_Master'!$M$2:$M$378,0)/$M$2,"0")</f>
        <v>#NAME?</v>
      </c>
      <c r="U108" s="147" t="e">
        <f t="shared" ca="1" si="9"/>
        <v>#NAME?</v>
      </c>
      <c r="V108" s="4"/>
      <c r="W108" s="4" t="e">
        <f>_xlfn.XLOOKUP(M110,'00_SKU_Master'!$B$2:$B$378,'00_SKU_Master'!D:D)</f>
        <v>#VALUE!</v>
      </c>
      <c r="X108" s="14">
        <f>'05_Daily_Orders'!B109</f>
        <v>7162</v>
      </c>
      <c r="Y108" s="554"/>
      <c r="Z108" s="555"/>
      <c r="AA108" s="555"/>
      <c r="AB108" s="555"/>
      <c r="AC108" s="555">
        <v>0</v>
      </c>
      <c r="AD108" s="555">
        <v>0</v>
      </c>
      <c r="AE108" s="555">
        <v>0</v>
      </c>
      <c r="AF108" s="553">
        <f t="shared" si="10"/>
        <v>0</v>
      </c>
      <c r="AQ108" s="23">
        <v>0</v>
      </c>
      <c r="AR108" s="23">
        <v>0</v>
      </c>
      <c r="AS108" s="23">
        <f t="shared" si="11"/>
        <v>0</v>
      </c>
    </row>
    <row r="109" spans="1:45">
      <c r="A109" s="138" t="str">
        <f>_xlfn.XLOOKUP(C111,'00_SKU_Master'!$B$2:$B$378,'00_SKU_Master'!$C$2:$C$378)</f>
        <v>61072#2</v>
      </c>
      <c r="B109" s="138"/>
      <c r="C109" s="138">
        <f t="shared" si="6"/>
        <v>7165</v>
      </c>
      <c r="D109" s="552" t="e">
        <f ca="1">_xludf.IFNA(_xlfn.XLOOKUP(C111,'00_SKU_Master'!$B$2:$B$378,'00_SKU_Master'!$F$2:$F$378,0)*Y111,"")</f>
        <v>#NAME?</v>
      </c>
      <c r="E109" s="552" t="e">
        <f ca="1">_xludf.IFNA(_xlfn.XLOOKUP(C111,'00_SKU_Master'!$B$2:$B$378,'00_SKU_Master'!$F$2:$F$378,0)*Z111,"")</f>
        <v>#NAME?</v>
      </c>
      <c r="F109" s="552" t="e">
        <f ca="1">_xludf.IFNA(_xlfn.XLOOKUP(C111,'00_SKU_Master'!$B$2:$B$378,'00_SKU_Master'!$F$2:$F$378,0)*AA111,"")</f>
        <v>#NAME?</v>
      </c>
      <c r="G109" s="552" t="e">
        <f ca="1">_xludf.IFNA(_xlfn.XLOOKUP(C111,'00_SKU_Master'!$B$2:$B$378,'00_SKU_Master'!$F$2:$F$378,0)*AB111,"")</f>
        <v>#NAME?</v>
      </c>
      <c r="H109" s="552" t="e">
        <f ca="1">_xludf.IFNA(_xlfn.XLOOKUP(C111,'00_SKU_Master'!$B$2:$B$378,'00_SKU_Master'!$F$2:$F$378,0)*AC111,"")</f>
        <v>#NAME?</v>
      </c>
      <c r="I109" s="552" t="e">
        <f ca="1">_xludf.IFNA(_xlfn.XLOOKUP(C111,'00_SKU_Master'!$B$2:$B$378,'00_SKU_Master'!$F$2:$F$378,0)*AD111,"")</f>
        <v>#NAME?</v>
      </c>
      <c r="J109" s="552" t="e">
        <f ca="1">_xludf.IFNA(_xlfn.XLOOKUP(C111,'00_SKU_Master'!$B$2:$B$378,'00_SKU_Master'!$F$2:$F$378,0)*AE111,"")</f>
        <v>#NAME?</v>
      </c>
      <c r="K109" s="553" t="e">
        <f t="shared" ca="1" si="7"/>
        <v>#NAME?</v>
      </c>
      <c r="L109" s="187" t="e">
        <f>_xlfn.XLOOKUP(C111,'00_SKU_Master'!$B$2:$B$378,'00_SKU_Master'!K:K)</f>
        <v>#VALUE!</v>
      </c>
      <c r="M109" s="14">
        <f t="shared" si="8"/>
        <v>7165</v>
      </c>
      <c r="N109" s="147" t="e">
        <f ca="1">_xludf.IFNA(D111/_xlfn.XLOOKUP($M111,'00_SKU_Master'!$B$2:$B$378,'00_SKU_Master'!$M$2:$M$378,0)/$M$2,"0")</f>
        <v>#NAME?</v>
      </c>
      <c r="O109" s="147" t="e">
        <f ca="1">_xludf.IFNA(E111/_xlfn.XLOOKUP($M111,'00_SKU_Master'!$B$2:$B$378,'00_SKU_Master'!$M$2:$M$378,0)/$M$2,"0")</f>
        <v>#NAME?</v>
      </c>
      <c r="P109" s="147" t="e">
        <f ca="1">_xludf.IFNA(F111/_xlfn.XLOOKUP($M111,'00_SKU_Master'!$B$2:$B$378,'00_SKU_Master'!$M$2:$M$378,0)/$M$2,"0")</f>
        <v>#NAME?</v>
      </c>
      <c r="Q109" s="147" t="e">
        <f ca="1">_xludf.IFNA(G111/_xlfn.XLOOKUP($M111,'00_SKU_Master'!$B$2:$B$378,'00_SKU_Master'!$M$2:$M$378,0)/$M$2,"0")</f>
        <v>#NAME?</v>
      </c>
      <c r="R109" s="147" t="e">
        <f ca="1">_xludf.IFNA(H111/_xlfn.XLOOKUP($M111,'00_SKU_Master'!$B$2:$B$378,'00_SKU_Master'!$M$2:$M$378,0)/$M$2,"0")</f>
        <v>#NAME?</v>
      </c>
      <c r="S109" s="147" t="e">
        <f ca="1">_xludf.IFNA(I111/_xlfn.XLOOKUP($M111,'00_SKU_Master'!$B$2:$B$378,'00_SKU_Master'!$M$2:$M$378,0)/$M$2,"0")</f>
        <v>#NAME?</v>
      </c>
      <c r="T109" s="147" t="e">
        <f ca="1">_xludf.IFNA(J111/_xlfn.XLOOKUP($M111,'00_SKU_Master'!$B$2:$B$378,'00_SKU_Master'!$M$2:$M$378,0)/$M$2,"0")</f>
        <v>#NAME?</v>
      </c>
      <c r="U109" s="147" t="e">
        <f t="shared" ca="1" si="9"/>
        <v>#NAME?</v>
      </c>
      <c r="V109" s="4"/>
      <c r="W109" s="4" t="e">
        <f>_xlfn.XLOOKUP(M111,'00_SKU_Master'!$B$2:$B$378,'00_SKU_Master'!D:D)</f>
        <v>#VALUE!</v>
      </c>
      <c r="X109" s="14">
        <f>'05_Daily_Orders'!B110</f>
        <v>7163</v>
      </c>
      <c r="Y109" s="554"/>
      <c r="Z109" s="555"/>
      <c r="AA109" s="555"/>
      <c r="AB109" s="555"/>
      <c r="AC109" s="555">
        <v>0</v>
      </c>
      <c r="AD109" s="555">
        <v>0</v>
      </c>
      <c r="AE109" s="555">
        <v>0</v>
      </c>
      <c r="AF109" s="553">
        <f t="shared" si="10"/>
        <v>0</v>
      </c>
      <c r="AQ109" s="23">
        <v>0</v>
      </c>
      <c r="AR109" s="23">
        <v>0</v>
      </c>
      <c r="AS109" s="23">
        <f t="shared" si="11"/>
        <v>0</v>
      </c>
    </row>
    <row r="110" spans="1:45">
      <c r="A110" s="138">
        <f>_xlfn.XLOOKUP(C112,'00_SKU_Master'!$B$2:$B$378,'00_SKU_Master'!$C$2:$C$378)</f>
        <v>61082</v>
      </c>
      <c r="B110" s="138"/>
      <c r="C110" s="138">
        <f t="shared" si="6"/>
        <v>7166</v>
      </c>
      <c r="D110" s="552" t="e">
        <f ca="1">_xludf.IFNA(_xlfn.XLOOKUP(C112,'00_SKU_Master'!$B$2:$B$378,'00_SKU_Master'!$F$2:$F$378,0)*Y112,"")</f>
        <v>#NAME?</v>
      </c>
      <c r="E110" s="552" t="e">
        <f ca="1">_xludf.IFNA(_xlfn.XLOOKUP(C112,'00_SKU_Master'!$B$2:$B$378,'00_SKU_Master'!$F$2:$F$378,0)*Z112,"")</f>
        <v>#NAME?</v>
      </c>
      <c r="F110" s="552" t="e">
        <f ca="1">_xludf.IFNA(_xlfn.XLOOKUP(C112,'00_SKU_Master'!$B$2:$B$378,'00_SKU_Master'!$F$2:$F$378,0)*AA112,"")</f>
        <v>#NAME?</v>
      </c>
      <c r="G110" s="552" t="e">
        <f ca="1">_xludf.IFNA(_xlfn.XLOOKUP(C112,'00_SKU_Master'!$B$2:$B$378,'00_SKU_Master'!$F$2:$F$378,0)*AB112,"")</f>
        <v>#NAME?</v>
      </c>
      <c r="H110" s="552" t="e">
        <f ca="1">_xludf.IFNA(_xlfn.XLOOKUP(C112,'00_SKU_Master'!$B$2:$B$378,'00_SKU_Master'!$F$2:$F$378,0)*AC112,"")</f>
        <v>#NAME?</v>
      </c>
      <c r="I110" s="552" t="e">
        <f ca="1">_xludf.IFNA(_xlfn.XLOOKUP(C112,'00_SKU_Master'!$B$2:$B$378,'00_SKU_Master'!$F$2:$F$378,0)*AD112,"")</f>
        <v>#NAME?</v>
      </c>
      <c r="J110" s="552" t="e">
        <f ca="1">_xludf.IFNA(_xlfn.XLOOKUP(C112,'00_SKU_Master'!$B$2:$B$378,'00_SKU_Master'!$F$2:$F$378,0)*AE112,"")</f>
        <v>#NAME?</v>
      </c>
      <c r="K110" s="553" t="e">
        <f t="shared" ca="1" si="7"/>
        <v>#NAME?</v>
      </c>
      <c r="L110" s="187" t="e">
        <f>_xlfn.XLOOKUP(C112,'00_SKU_Master'!$B$2:$B$378,'00_SKU_Master'!K:K)</f>
        <v>#VALUE!</v>
      </c>
      <c r="M110" s="14">
        <f t="shared" si="8"/>
        <v>7166</v>
      </c>
      <c r="N110" s="147" t="e">
        <f ca="1">_xludf.IFNA(D112/_xlfn.XLOOKUP($M112,'00_SKU_Master'!$B$2:$B$378,'00_SKU_Master'!$M$2:$M$378,0)/$M$2,"0")</f>
        <v>#NAME?</v>
      </c>
      <c r="O110" s="147" t="e">
        <f ca="1">_xludf.IFNA(E112/_xlfn.XLOOKUP($M112,'00_SKU_Master'!$B$2:$B$378,'00_SKU_Master'!$M$2:$M$378,0)/$M$2,"0")</f>
        <v>#NAME?</v>
      </c>
      <c r="P110" s="147" t="e">
        <f ca="1">_xludf.IFNA(F112/_xlfn.XLOOKUP($M112,'00_SKU_Master'!$B$2:$B$378,'00_SKU_Master'!$M$2:$M$378,0)/$M$2,"0")</f>
        <v>#NAME?</v>
      </c>
      <c r="Q110" s="147" t="e">
        <f ca="1">_xludf.IFNA(G112/_xlfn.XLOOKUP($M112,'00_SKU_Master'!$B$2:$B$378,'00_SKU_Master'!$M$2:$M$378,0)/$M$2,"0")</f>
        <v>#NAME?</v>
      </c>
      <c r="R110" s="147" t="e">
        <f ca="1">_xludf.IFNA(H112/_xlfn.XLOOKUP($M112,'00_SKU_Master'!$B$2:$B$378,'00_SKU_Master'!$M$2:$M$378,0)/$M$2,"0")</f>
        <v>#NAME?</v>
      </c>
      <c r="S110" s="147" t="e">
        <f ca="1">_xludf.IFNA(I112/_xlfn.XLOOKUP($M112,'00_SKU_Master'!$B$2:$B$378,'00_SKU_Master'!$M$2:$M$378,0)/$M$2,"0")</f>
        <v>#NAME?</v>
      </c>
      <c r="T110" s="147" t="e">
        <f ca="1">_xludf.IFNA(J112/_xlfn.XLOOKUP($M112,'00_SKU_Master'!$B$2:$B$378,'00_SKU_Master'!$M$2:$M$378,0)/$M$2,"0")</f>
        <v>#NAME?</v>
      </c>
      <c r="U110" s="147" t="e">
        <f t="shared" ca="1" si="9"/>
        <v>#NAME?</v>
      </c>
      <c r="V110" s="4"/>
      <c r="W110" s="4" t="e">
        <f>_xlfn.XLOOKUP(M112,'00_SKU_Master'!$B$2:$B$378,'00_SKU_Master'!D:D)</f>
        <v>#VALUE!</v>
      </c>
      <c r="X110" s="14">
        <f>'05_Daily_Orders'!B111</f>
        <v>7164</v>
      </c>
      <c r="Y110" s="554"/>
      <c r="Z110" s="555"/>
      <c r="AA110" s="555"/>
      <c r="AB110" s="555"/>
      <c r="AC110" s="555">
        <v>0</v>
      </c>
      <c r="AD110" s="555">
        <v>0</v>
      </c>
      <c r="AE110" s="555">
        <v>0</v>
      </c>
      <c r="AF110" s="553">
        <f t="shared" si="10"/>
        <v>0</v>
      </c>
      <c r="AQ110" s="23">
        <v>0</v>
      </c>
      <c r="AR110" s="23">
        <v>0</v>
      </c>
      <c r="AS110" s="23">
        <f t="shared" si="11"/>
        <v>0</v>
      </c>
    </row>
    <row r="111" spans="1:45">
      <c r="A111" s="138" t="str">
        <f>_xlfn.XLOOKUP(C113,'00_SKU_Master'!$B$2:$B$378,'00_SKU_Master'!$C$2:$C$378)</f>
        <v>61086#2</v>
      </c>
      <c r="B111" s="138"/>
      <c r="C111" s="138">
        <f t="shared" si="6"/>
        <v>7168</v>
      </c>
      <c r="D111" s="552" t="e">
        <f ca="1">_xludf.IFNA(_xlfn.XLOOKUP(C113,'00_SKU_Master'!$B$2:$B$378,'00_SKU_Master'!$F$2:$F$378,0)*Y113,"")</f>
        <v>#NAME?</v>
      </c>
      <c r="E111" s="552" t="e">
        <f ca="1">_xludf.IFNA(_xlfn.XLOOKUP(C113,'00_SKU_Master'!$B$2:$B$378,'00_SKU_Master'!$F$2:$F$378,0)*Z113,"")</f>
        <v>#NAME?</v>
      </c>
      <c r="F111" s="552" t="e">
        <f ca="1">_xludf.IFNA(_xlfn.XLOOKUP(C113,'00_SKU_Master'!$B$2:$B$378,'00_SKU_Master'!$F$2:$F$378,0)*AA113,"")</f>
        <v>#NAME?</v>
      </c>
      <c r="G111" s="552" t="e">
        <f ca="1">_xludf.IFNA(_xlfn.XLOOKUP(C113,'00_SKU_Master'!$B$2:$B$378,'00_SKU_Master'!$F$2:$F$378,0)*AB113,"")</f>
        <v>#NAME?</v>
      </c>
      <c r="H111" s="552" t="e">
        <f ca="1">_xludf.IFNA(_xlfn.XLOOKUP(C113,'00_SKU_Master'!$B$2:$B$378,'00_SKU_Master'!$F$2:$F$378,0)*AC113,"")</f>
        <v>#NAME?</v>
      </c>
      <c r="I111" s="552" t="e">
        <f ca="1">_xludf.IFNA(_xlfn.XLOOKUP(C113,'00_SKU_Master'!$B$2:$B$378,'00_SKU_Master'!$F$2:$F$378,0)*AD113,"")</f>
        <v>#NAME?</v>
      </c>
      <c r="J111" s="552" t="e">
        <f ca="1">_xludf.IFNA(_xlfn.XLOOKUP(C113,'00_SKU_Master'!$B$2:$B$378,'00_SKU_Master'!$F$2:$F$378,0)*AE113,"")</f>
        <v>#NAME?</v>
      </c>
      <c r="K111" s="553" t="e">
        <f t="shared" ca="1" si="7"/>
        <v>#NAME?</v>
      </c>
      <c r="L111" s="187" t="e">
        <f>_xlfn.XLOOKUP(C113,'00_SKU_Master'!$B$2:$B$378,'00_SKU_Master'!K:K)</f>
        <v>#VALUE!</v>
      </c>
      <c r="M111" s="14">
        <f t="shared" si="8"/>
        <v>7168</v>
      </c>
      <c r="N111" s="147" t="e">
        <f ca="1">_xludf.IFNA(D113/_xlfn.XLOOKUP($M113,'00_SKU_Master'!$B$2:$B$378,'00_SKU_Master'!$M$2:$M$378,0)/$M$2,"0")</f>
        <v>#NAME?</v>
      </c>
      <c r="O111" s="147" t="e">
        <f ca="1">_xludf.IFNA(E113/_xlfn.XLOOKUP($M113,'00_SKU_Master'!$B$2:$B$378,'00_SKU_Master'!$M$2:$M$378,0)/$M$2,"0")</f>
        <v>#NAME?</v>
      </c>
      <c r="P111" s="147" t="e">
        <f ca="1">_xludf.IFNA(F113/_xlfn.XLOOKUP($M113,'00_SKU_Master'!$B$2:$B$378,'00_SKU_Master'!$M$2:$M$378,0)/$M$2,"0")</f>
        <v>#NAME?</v>
      </c>
      <c r="Q111" s="147" t="e">
        <f ca="1">_xludf.IFNA(G113/_xlfn.XLOOKUP($M113,'00_SKU_Master'!$B$2:$B$378,'00_SKU_Master'!$M$2:$M$378,0)/$M$2,"0")</f>
        <v>#NAME?</v>
      </c>
      <c r="R111" s="147" t="e">
        <f ca="1">_xludf.IFNA(H113/_xlfn.XLOOKUP($M113,'00_SKU_Master'!$B$2:$B$378,'00_SKU_Master'!$M$2:$M$378,0)/$M$2,"0")</f>
        <v>#NAME?</v>
      </c>
      <c r="S111" s="147" t="e">
        <f ca="1">_xludf.IFNA(I113/_xlfn.XLOOKUP($M113,'00_SKU_Master'!$B$2:$B$378,'00_SKU_Master'!$M$2:$M$378,0)/$M$2,"0")</f>
        <v>#NAME?</v>
      </c>
      <c r="T111" s="147" t="e">
        <f ca="1">_xludf.IFNA(J113/_xlfn.XLOOKUP($M113,'00_SKU_Master'!$B$2:$B$378,'00_SKU_Master'!$M$2:$M$378,0)/$M$2,"0")</f>
        <v>#NAME?</v>
      </c>
      <c r="U111" s="147" t="e">
        <f t="shared" ca="1" si="9"/>
        <v>#NAME?</v>
      </c>
      <c r="V111" s="4"/>
      <c r="W111" s="4" t="e">
        <f>_xlfn.XLOOKUP(M113,'00_SKU_Master'!$B$2:$B$378,'00_SKU_Master'!D:D)</f>
        <v>#VALUE!</v>
      </c>
      <c r="X111" s="14">
        <f>'05_Daily_Orders'!B112</f>
        <v>7165</v>
      </c>
      <c r="Y111" s="554"/>
      <c r="Z111" s="555"/>
      <c r="AA111" s="555"/>
      <c r="AB111" s="555"/>
      <c r="AC111" s="555">
        <v>0</v>
      </c>
      <c r="AD111" s="555">
        <v>0</v>
      </c>
      <c r="AE111" s="555">
        <v>0</v>
      </c>
      <c r="AF111" s="553">
        <f t="shared" si="10"/>
        <v>0</v>
      </c>
      <c r="AQ111" s="23">
        <v>0</v>
      </c>
      <c r="AR111" s="23">
        <v>0</v>
      </c>
      <c r="AS111" s="23">
        <f t="shared" si="11"/>
        <v>0</v>
      </c>
    </row>
    <row r="112" spans="1:45">
      <c r="A112" s="138" t="str">
        <f>_xlfn.XLOOKUP(C114,'00_SKU_Master'!$B$2:$B$378,'00_SKU_Master'!$C$2:$C$378)</f>
        <v>61072#2</v>
      </c>
      <c r="B112" s="138"/>
      <c r="C112" s="138">
        <f t="shared" si="6"/>
        <v>7169</v>
      </c>
      <c r="D112" s="552" t="e">
        <f ca="1">_xludf.IFNA(_xlfn.XLOOKUP(C114,'00_SKU_Master'!$B$2:$B$378,'00_SKU_Master'!$F$2:$F$378,0)*Y114,"")</f>
        <v>#NAME?</v>
      </c>
      <c r="E112" s="552" t="e">
        <f ca="1">_xludf.IFNA(_xlfn.XLOOKUP(C114,'00_SKU_Master'!$B$2:$B$378,'00_SKU_Master'!$F$2:$F$378,0)*Z114,"")</f>
        <v>#NAME?</v>
      </c>
      <c r="F112" s="552" t="e">
        <f ca="1">_xludf.IFNA(_xlfn.XLOOKUP(C114,'00_SKU_Master'!$B$2:$B$378,'00_SKU_Master'!$F$2:$F$378,0)*AA114,"")</f>
        <v>#NAME?</v>
      </c>
      <c r="G112" s="552" t="e">
        <f ca="1">_xludf.IFNA(_xlfn.XLOOKUP(C114,'00_SKU_Master'!$B$2:$B$378,'00_SKU_Master'!$F$2:$F$378,0)*AB114,"")</f>
        <v>#NAME?</v>
      </c>
      <c r="H112" s="552" t="e">
        <f ca="1">_xludf.IFNA(_xlfn.XLOOKUP(C114,'00_SKU_Master'!$B$2:$B$378,'00_SKU_Master'!$F$2:$F$378,0)*AC114,"")</f>
        <v>#NAME?</v>
      </c>
      <c r="I112" s="552" t="e">
        <f ca="1">_xludf.IFNA(_xlfn.XLOOKUP(C114,'00_SKU_Master'!$B$2:$B$378,'00_SKU_Master'!$F$2:$F$378,0)*AD114,"")</f>
        <v>#NAME?</v>
      </c>
      <c r="J112" s="552" t="e">
        <f ca="1">_xludf.IFNA(_xlfn.XLOOKUP(C114,'00_SKU_Master'!$B$2:$B$378,'00_SKU_Master'!$F$2:$F$378,0)*AE114,"")</f>
        <v>#NAME?</v>
      </c>
      <c r="K112" s="553" t="e">
        <f t="shared" ca="1" si="7"/>
        <v>#NAME?</v>
      </c>
      <c r="L112" s="187" t="e">
        <f>_xlfn.XLOOKUP(C114,'00_SKU_Master'!$B$2:$B$378,'00_SKU_Master'!K:K)</f>
        <v>#VALUE!</v>
      </c>
      <c r="M112" s="14">
        <f t="shared" si="8"/>
        <v>7169</v>
      </c>
      <c r="N112" s="147" t="e">
        <f ca="1">_xludf.IFNA(D114/_xlfn.XLOOKUP($M114,'00_SKU_Master'!$B$2:$B$378,'00_SKU_Master'!$M$2:$M$378,0)/$M$2,"0")</f>
        <v>#NAME?</v>
      </c>
      <c r="O112" s="147" t="e">
        <f ca="1">_xludf.IFNA(E114/_xlfn.XLOOKUP($M114,'00_SKU_Master'!$B$2:$B$378,'00_SKU_Master'!$M$2:$M$378,0)/$M$2,"0")</f>
        <v>#NAME?</v>
      </c>
      <c r="P112" s="147" t="e">
        <f ca="1">_xludf.IFNA(F114/_xlfn.XLOOKUP($M114,'00_SKU_Master'!$B$2:$B$378,'00_SKU_Master'!$M$2:$M$378,0)/$M$2,"0")</f>
        <v>#NAME?</v>
      </c>
      <c r="Q112" s="147" t="e">
        <f ca="1">_xludf.IFNA(G114/_xlfn.XLOOKUP($M114,'00_SKU_Master'!$B$2:$B$378,'00_SKU_Master'!$M$2:$M$378,0)/$M$2,"0")</f>
        <v>#NAME?</v>
      </c>
      <c r="R112" s="147" t="e">
        <f ca="1">_xludf.IFNA(H114/_xlfn.XLOOKUP($M114,'00_SKU_Master'!$B$2:$B$378,'00_SKU_Master'!$M$2:$M$378,0)/$M$2,"0")</f>
        <v>#NAME?</v>
      </c>
      <c r="S112" s="147" t="e">
        <f ca="1">_xludf.IFNA(I114/_xlfn.XLOOKUP($M114,'00_SKU_Master'!$B$2:$B$378,'00_SKU_Master'!$M$2:$M$378,0)/$M$2,"0")</f>
        <v>#NAME?</v>
      </c>
      <c r="T112" s="147" t="e">
        <f ca="1">_xludf.IFNA(J114/_xlfn.XLOOKUP($M114,'00_SKU_Master'!$B$2:$B$378,'00_SKU_Master'!$M$2:$M$378,0)/$M$2,"0")</f>
        <v>#NAME?</v>
      </c>
      <c r="U112" s="147" t="e">
        <f t="shared" ca="1" si="9"/>
        <v>#NAME?</v>
      </c>
      <c r="V112" s="4"/>
      <c r="W112" s="4" t="e">
        <f>_xlfn.XLOOKUP(M114,'00_SKU_Master'!$B$2:$B$378,'00_SKU_Master'!D:D)</f>
        <v>#VALUE!</v>
      </c>
      <c r="X112" s="14">
        <f>'05_Daily_Orders'!B113</f>
        <v>7166</v>
      </c>
      <c r="Y112" s="554"/>
      <c r="Z112" s="555"/>
      <c r="AA112" s="555"/>
      <c r="AB112" s="555"/>
      <c r="AC112" s="555">
        <v>0</v>
      </c>
      <c r="AD112" s="555">
        <v>0</v>
      </c>
      <c r="AE112" s="555">
        <v>0</v>
      </c>
      <c r="AF112" s="553">
        <f t="shared" si="10"/>
        <v>0</v>
      </c>
      <c r="AQ112" s="23">
        <v>0</v>
      </c>
      <c r="AR112" s="23">
        <v>0</v>
      </c>
      <c r="AS112" s="23">
        <f t="shared" si="11"/>
        <v>0</v>
      </c>
    </row>
    <row r="113" spans="1:45">
      <c r="A113" s="138">
        <f>_xlfn.XLOOKUP(C115,'00_SKU_Master'!$B$2:$B$378,'00_SKU_Master'!$C$2:$C$378)</f>
        <v>203891</v>
      </c>
      <c r="B113" s="138"/>
      <c r="C113" s="138">
        <f t="shared" si="6"/>
        <v>7171</v>
      </c>
      <c r="D113" s="552" t="e">
        <f ca="1">_xludf.IFNA(_xlfn.XLOOKUP(C115,'00_SKU_Master'!$B$2:$B$378,'00_SKU_Master'!$F$2:$F$378,0)*Y115,"")</f>
        <v>#NAME?</v>
      </c>
      <c r="E113" s="552" t="e">
        <f ca="1">_xludf.IFNA(_xlfn.XLOOKUP(C115,'00_SKU_Master'!$B$2:$B$378,'00_SKU_Master'!$F$2:$F$378,0)*Z115,"")</f>
        <v>#NAME?</v>
      </c>
      <c r="F113" s="552" t="e">
        <f ca="1">_xludf.IFNA(_xlfn.XLOOKUP(C115,'00_SKU_Master'!$B$2:$B$378,'00_SKU_Master'!$F$2:$F$378,0)*AA115,"")</f>
        <v>#NAME?</v>
      </c>
      <c r="G113" s="552" t="e">
        <f ca="1">_xludf.IFNA(_xlfn.XLOOKUP(C115,'00_SKU_Master'!$B$2:$B$378,'00_SKU_Master'!$F$2:$F$378,0)*AB115,"")</f>
        <v>#NAME?</v>
      </c>
      <c r="H113" s="552" t="e">
        <f ca="1">_xludf.IFNA(_xlfn.XLOOKUP(C115,'00_SKU_Master'!$B$2:$B$378,'00_SKU_Master'!$F$2:$F$378,0)*AC115,"")</f>
        <v>#NAME?</v>
      </c>
      <c r="I113" s="552" t="e">
        <f ca="1">_xludf.IFNA(_xlfn.XLOOKUP(C115,'00_SKU_Master'!$B$2:$B$378,'00_SKU_Master'!$F$2:$F$378,0)*AD115,"")</f>
        <v>#NAME?</v>
      </c>
      <c r="J113" s="552" t="e">
        <f ca="1">_xludf.IFNA(_xlfn.XLOOKUP(C115,'00_SKU_Master'!$B$2:$B$378,'00_SKU_Master'!$F$2:$F$378,0)*AE115,"")</f>
        <v>#NAME?</v>
      </c>
      <c r="K113" s="553" t="e">
        <f t="shared" ca="1" si="7"/>
        <v>#NAME?</v>
      </c>
      <c r="L113" s="187" t="e">
        <f>_xlfn.XLOOKUP(C115,'00_SKU_Master'!$B$2:$B$378,'00_SKU_Master'!K:K)</f>
        <v>#VALUE!</v>
      </c>
      <c r="M113" s="14">
        <f t="shared" si="8"/>
        <v>7171</v>
      </c>
      <c r="N113" s="147" t="e">
        <f ca="1">_xludf.IFNA(D115/_xlfn.XLOOKUP($M115,'00_SKU_Master'!$B$2:$B$378,'00_SKU_Master'!$M$2:$M$378,0)/$M$2,"0")</f>
        <v>#NAME?</v>
      </c>
      <c r="O113" s="147" t="e">
        <f ca="1">_xludf.IFNA(E115/_xlfn.XLOOKUP($M115,'00_SKU_Master'!$B$2:$B$378,'00_SKU_Master'!$M$2:$M$378,0)/$M$2,"0")</f>
        <v>#NAME?</v>
      </c>
      <c r="P113" s="147" t="e">
        <f ca="1">_xludf.IFNA(F115/_xlfn.XLOOKUP($M115,'00_SKU_Master'!$B$2:$B$378,'00_SKU_Master'!$M$2:$M$378,0)/$M$2,"0")</f>
        <v>#NAME?</v>
      </c>
      <c r="Q113" s="147" t="e">
        <f ca="1">_xludf.IFNA(G115/_xlfn.XLOOKUP($M115,'00_SKU_Master'!$B$2:$B$378,'00_SKU_Master'!$M$2:$M$378,0)/$M$2,"0")</f>
        <v>#NAME?</v>
      </c>
      <c r="R113" s="147" t="e">
        <f ca="1">_xludf.IFNA(H115/_xlfn.XLOOKUP($M115,'00_SKU_Master'!$B$2:$B$378,'00_SKU_Master'!$M$2:$M$378,0)/$M$2,"0")</f>
        <v>#NAME?</v>
      </c>
      <c r="S113" s="147" t="e">
        <f ca="1">_xludf.IFNA(I115/_xlfn.XLOOKUP($M115,'00_SKU_Master'!$B$2:$B$378,'00_SKU_Master'!$M$2:$M$378,0)/$M$2,"0")</f>
        <v>#NAME?</v>
      </c>
      <c r="T113" s="147" t="e">
        <f ca="1">_xludf.IFNA(J115/_xlfn.XLOOKUP($M115,'00_SKU_Master'!$B$2:$B$378,'00_SKU_Master'!$M$2:$M$378,0)/$M$2,"0")</f>
        <v>#NAME?</v>
      </c>
      <c r="U113" s="147" t="e">
        <f t="shared" ca="1" si="9"/>
        <v>#NAME?</v>
      </c>
      <c r="V113" s="4"/>
      <c r="W113" s="4" t="e">
        <f>_xlfn.XLOOKUP(M115,'00_SKU_Master'!$B$2:$B$378,'00_SKU_Master'!D:D)</f>
        <v>#VALUE!</v>
      </c>
      <c r="X113" s="14">
        <f>'05_Daily_Orders'!B114</f>
        <v>7168</v>
      </c>
      <c r="Y113" s="554"/>
      <c r="Z113" s="555"/>
      <c r="AA113" s="555"/>
      <c r="AB113" s="555"/>
      <c r="AC113" s="555">
        <v>0</v>
      </c>
      <c r="AD113" s="555">
        <v>0</v>
      </c>
      <c r="AE113" s="555">
        <v>0</v>
      </c>
      <c r="AF113" s="553">
        <f t="shared" si="10"/>
        <v>0</v>
      </c>
      <c r="AQ113" s="23">
        <v>0</v>
      </c>
      <c r="AR113" s="23">
        <v>0</v>
      </c>
      <c r="AS113" s="23">
        <f t="shared" si="11"/>
        <v>0</v>
      </c>
    </row>
    <row r="114" spans="1:45">
      <c r="A114" s="138" t="str">
        <f>_xlfn.XLOOKUP(C116,'00_SKU_Master'!$B$2:$B$378,'00_SKU_Master'!$C$2:$C$378)</f>
        <v>61050#2</v>
      </c>
      <c r="B114" s="138"/>
      <c r="C114" s="138">
        <f t="shared" si="6"/>
        <v>7173</v>
      </c>
      <c r="D114" s="552" t="e">
        <f ca="1">_xludf.IFNA(_xlfn.XLOOKUP(C116,'00_SKU_Master'!$B$2:$B$378,'00_SKU_Master'!$F$2:$F$378,0)*Y116,"")</f>
        <v>#NAME?</v>
      </c>
      <c r="E114" s="552" t="e">
        <f ca="1">_xludf.IFNA(_xlfn.XLOOKUP(C116,'00_SKU_Master'!$B$2:$B$378,'00_SKU_Master'!$F$2:$F$378,0)*Z116,"")</f>
        <v>#NAME?</v>
      </c>
      <c r="F114" s="552" t="e">
        <f ca="1">_xludf.IFNA(_xlfn.XLOOKUP(C116,'00_SKU_Master'!$B$2:$B$378,'00_SKU_Master'!$F$2:$F$378,0)*AA116,"")</f>
        <v>#NAME?</v>
      </c>
      <c r="G114" s="552" t="e">
        <f ca="1">_xludf.IFNA(_xlfn.XLOOKUP(C116,'00_SKU_Master'!$B$2:$B$378,'00_SKU_Master'!$F$2:$F$378,0)*AB116,"")</f>
        <v>#NAME?</v>
      </c>
      <c r="H114" s="552" t="e">
        <f ca="1">_xludf.IFNA(_xlfn.XLOOKUP(C116,'00_SKU_Master'!$B$2:$B$378,'00_SKU_Master'!$F$2:$F$378,0)*AC116,"")</f>
        <v>#NAME?</v>
      </c>
      <c r="I114" s="552" t="e">
        <f ca="1">_xludf.IFNA(_xlfn.XLOOKUP(C116,'00_SKU_Master'!$B$2:$B$378,'00_SKU_Master'!$F$2:$F$378,0)*AD116,"")</f>
        <v>#NAME?</v>
      </c>
      <c r="J114" s="552" t="e">
        <f ca="1">_xludf.IFNA(_xlfn.XLOOKUP(C116,'00_SKU_Master'!$B$2:$B$378,'00_SKU_Master'!$F$2:$F$378,0)*AE116,"")</f>
        <v>#NAME?</v>
      </c>
      <c r="K114" s="553" t="e">
        <f t="shared" ca="1" si="7"/>
        <v>#NAME?</v>
      </c>
      <c r="L114" s="187" t="e">
        <f>_xlfn.XLOOKUP(C116,'00_SKU_Master'!$B$2:$B$378,'00_SKU_Master'!K:K)</f>
        <v>#VALUE!</v>
      </c>
      <c r="M114" s="14">
        <f t="shared" si="8"/>
        <v>7173</v>
      </c>
      <c r="N114" s="147" t="e">
        <f ca="1">_xludf.IFNA(D116/_xlfn.XLOOKUP($M116,'00_SKU_Master'!$B$2:$B$378,'00_SKU_Master'!$M$2:$M$378,0)/$M$2,"0")</f>
        <v>#NAME?</v>
      </c>
      <c r="O114" s="147" t="e">
        <f ca="1">_xludf.IFNA(E116/_xlfn.XLOOKUP($M116,'00_SKU_Master'!$B$2:$B$378,'00_SKU_Master'!$M$2:$M$378,0)/$M$2,"0")</f>
        <v>#NAME?</v>
      </c>
      <c r="P114" s="147" t="e">
        <f ca="1">_xludf.IFNA(F116/_xlfn.XLOOKUP($M116,'00_SKU_Master'!$B$2:$B$378,'00_SKU_Master'!$M$2:$M$378,0)/$M$2,"0")</f>
        <v>#NAME?</v>
      </c>
      <c r="Q114" s="147" t="e">
        <f ca="1">_xludf.IFNA(G116/_xlfn.XLOOKUP($M116,'00_SKU_Master'!$B$2:$B$378,'00_SKU_Master'!$M$2:$M$378,0)/$M$2,"0")</f>
        <v>#NAME?</v>
      </c>
      <c r="R114" s="147" t="e">
        <f ca="1">_xludf.IFNA(H116/_xlfn.XLOOKUP($M116,'00_SKU_Master'!$B$2:$B$378,'00_SKU_Master'!$M$2:$M$378,0)/$M$2,"0")</f>
        <v>#NAME?</v>
      </c>
      <c r="S114" s="147" t="e">
        <f ca="1">_xludf.IFNA(I116/_xlfn.XLOOKUP($M116,'00_SKU_Master'!$B$2:$B$378,'00_SKU_Master'!$M$2:$M$378,0)/$M$2,"0")</f>
        <v>#NAME?</v>
      </c>
      <c r="T114" s="147" t="e">
        <f ca="1">_xludf.IFNA(J116/_xlfn.XLOOKUP($M116,'00_SKU_Master'!$B$2:$B$378,'00_SKU_Master'!$M$2:$M$378,0)/$M$2,"0")</f>
        <v>#NAME?</v>
      </c>
      <c r="U114" s="147" t="e">
        <f t="shared" ca="1" si="9"/>
        <v>#NAME?</v>
      </c>
      <c r="V114" s="4"/>
      <c r="W114" s="4" t="e">
        <f>_xlfn.XLOOKUP(M116,'00_SKU_Master'!$B$2:$B$378,'00_SKU_Master'!D:D)</f>
        <v>#VALUE!</v>
      </c>
      <c r="X114" s="14">
        <f>'05_Daily_Orders'!B115</f>
        <v>7169</v>
      </c>
      <c r="Y114" s="554"/>
      <c r="Z114" s="555"/>
      <c r="AA114" s="555"/>
      <c r="AB114" s="555"/>
      <c r="AC114" s="555">
        <v>0</v>
      </c>
      <c r="AD114" s="555">
        <v>0</v>
      </c>
      <c r="AE114" s="555">
        <v>0</v>
      </c>
      <c r="AF114" s="553">
        <f t="shared" si="10"/>
        <v>0</v>
      </c>
      <c r="AQ114" s="23">
        <v>0</v>
      </c>
      <c r="AR114" s="23">
        <v>0</v>
      </c>
      <c r="AS114" s="23">
        <f t="shared" si="11"/>
        <v>0</v>
      </c>
    </row>
    <row r="115" spans="1:45">
      <c r="A115" s="138">
        <f>_xlfn.XLOOKUP(C117,'00_SKU_Master'!$B$2:$B$378,'00_SKU_Master'!$C$2:$C$378)</f>
        <v>61072</v>
      </c>
      <c r="B115" s="138"/>
      <c r="C115" s="138">
        <f t="shared" si="6"/>
        <v>7178</v>
      </c>
      <c r="D115" s="552" t="e">
        <f ca="1">_xludf.IFNA(_xlfn.XLOOKUP(C117,'00_SKU_Master'!$B$2:$B$378,'00_SKU_Master'!$F$2:$F$378,0)*Y117,"")</f>
        <v>#NAME?</v>
      </c>
      <c r="E115" s="552" t="e">
        <f ca="1">_xludf.IFNA(_xlfn.XLOOKUP(C117,'00_SKU_Master'!$B$2:$B$378,'00_SKU_Master'!$F$2:$F$378,0)*Z117,"")</f>
        <v>#NAME?</v>
      </c>
      <c r="F115" s="552" t="e">
        <f ca="1">_xludf.IFNA(_xlfn.XLOOKUP(C117,'00_SKU_Master'!$B$2:$B$378,'00_SKU_Master'!$F$2:$F$378,0)*AA117,"")</f>
        <v>#NAME?</v>
      </c>
      <c r="G115" s="552" t="e">
        <f ca="1">_xludf.IFNA(_xlfn.XLOOKUP(C117,'00_SKU_Master'!$B$2:$B$378,'00_SKU_Master'!$F$2:$F$378,0)*AB117,"")</f>
        <v>#NAME?</v>
      </c>
      <c r="H115" s="552" t="e">
        <f ca="1">_xludf.IFNA(_xlfn.XLOOKUP(C117,'00_SKU_Master'!$B$2:$B$378,'00_SKU_Master'!$F$2:$F$378,0)*AC117,"")</f>
        <v>#NAME?</v>
      </c>
      <c r="I115" s="552" t="e">
        <f ca="1">_xludf.IFNA(_xlfn.XLOOKUP(C117,'00_SKU_Master'!$B$2:$B$378,'00_SKU_Master'!$F$2:$F$378,0)*AD117,"")</f>
        <v>#NAME?</v>
      </c>
      <c r="J115" s="552" t="e">
        <f ca="1">_xludf.IFNA(_xlfn.XLOOKUP(C117,'00_SKU_Master'!$B$2:$B$378,'00_SKU_Master'!$F$2:$F$378,0)*AE117,"")</f>
        <v>#NAME?</v>
      </c>
      <c r="K115" s="553" t="e">
        <f t="shared" ca="1" si="7"/>
        <v>#NAME?</v>
      </c>
      <c r="L115" s="187" t="e">
        <f>_xlfn.XLOOKUP(C117,'00_SKU_Master'!$B$2:$B$378,'00_SKU_Master'!K:K)</f>
        <v>#VALUE!</v>
      </c>
      <c r="M115" s="14">
        <f t="shared" si="8"/>
        <v>7178</v>
      </c>
      <c r="N115" s="147" t="e">
        <f ca="1">_xludf.IFNA(D117/_xlfn.XLOOKUP($M117,'00_SKU_Master'!$B$2:$B$378,'00_SKU_Master'!$M$2:$M$378,0)/$M$2,"0")</f>
        <v>#NAME?</v>
      </c>
      <c r="O115" s="147" t="e">
        <f ca="1">_xludf.IFNA(E117/_xlfn.XLOOKUP($M117,'00_SKU_Master'!$B$2:$B$378,'00_SKU_Master'!$M$2:$M$378,0)/$M$2,"0")</f>
        <v>#NAME?</v>
      </c>
      <c r="P115" s="147" t="e">
        <f ca="1">_xludf.IFNA(F117/_xlfn.XLOOKUP($M117,'00_SKU_Master'!$B$2:$B$378,'00_SKU_Master'!$M$2:$M$378,0)/$M$2,"0")</f>
        <v>#NAME?</v>
      </c>
      <c r="Q115" s="147" t="e">
        <f ca="1">_xludf.IFNA(G117/_xlfn.XLOOKUP($M117,'00_SKU_Master'!$B$2:$B$378,'00_SKU_Master'!$M$2:$M$378,0)/$M$2,"0")</f>
        <v>#NAME?</v>
      </c>
      <c r="R115" s="147" t="e">
        <f ca="1">_xludf.IFNA(H117/_xlfn.XLOOKUP($M117,'00_SKU_Master'!$B$2:$B$378,'00_SKU_Master'!$M$2:$M$378,0)/$M$2,"0")</f>
        <v>#NAME?</v>
      </c>
      <c r="S115" s="147" t="e">
        <f ca="1">_xludf.IFNA(I117/_xlfn.XLOOKUP($M117,'00_SKU_Master'!$B$2:$B$378,'00_SKU_Master'!$M$2:$M$378,0)/$M$2,"0")</f>
        <v>#NAME?</v>
      </c>
      <c r="T115" s="147" t="e">
        <f ca="1">_xludf.IFNA(J117/_xlfn.XLOOKUP($M117,'00_SKU_Master'!$B$2:$B$378,'00_SKU_Master'!$M$2:$M$378,0)/$M$2,"0")</f>
        <v>#NAME?</v>
      </c>
      <c r="U115" s="147" t="e">
        <f t="shared" ca="1" si="9"/>
        <v>#NAME?</v>
      </c>
      <c r="V115" s="4"/>
      <c r="W115" s="4" t="e">
        <f>_xlfn.XLOOKUP(M117,'00_SKU_Master'!$B$2:$B$378,'00_SKU_Master'!D:D)</f>
        <v>#VALUE!</v>
      </c>
      <c r="X115" s="14">
        <f>'05_Daily_Orders'!B116</f>
        <v>7171</v>
      </c>
      <c r="Y115" s="554"/>
      <c r="Z115" s="555"/>
      <c r="AA115" s="555"/>
      <c r="AB115" s="555"/>
      <c r="AC115" s="555">
        <v>0</v>
      </c>
      <c r="AD115" s="555">
        <v>0</v>
      </c>
      <c r="AE115" s="555">
        <v>0</v>
      </c>
      <c r="AF115" s="553">
        <f t="shared" si="10"/>
        <v>0</v>
      </c>
      <c r="AQ115" s="23">
        <v>0</v>
      </c>
      <c r="AR115" s="23">
        <v>0</v>
      </c>
      <c r="AS115" s="23">
        <f t="shared" si="11"/>
        <v>0</v>
      </c>
    </row>
    <row r="116" spans="1:45">
      <c r="A116" s="138">
        <f>_xlfn.XLOOKUP(C118,'00_SKU_Master'!$B$2:$B$378,'00_SKU_Master'!$C$2:$C$378)</f>
        <v>61077</v>
      </c>
      <c r="B116" s="138"/>
      <c r="C116" s="138">
        <f t="shared" si="6"/>
        <v>7179</v>
      </c>
      <c r="D116" s="552" t="e">
        <f ca="1">_xludf.IFNA(_xlfn.XLOOKUP(C118,'00_SKU_Master'!$B$2:$B$378,'00_SKU_Master'!$F$2:$F$378,0)*Y118,"")</f>
        <v>#NAME?</v>
      </c>
      <c r="E116" s="552" t="e">
        <f ca="1">_xludf.IFNA(_xlfn.XLOOKUP(C118,'00_SKU_Master'!$B$2:$B$378,'00_SKU_Master'!$F$2:$F$378,0)*Z118,"")</f>
        <v>#NAME?</v>
      </c>
      <c r="F116" s="552" t="e">
        <f ca="1">_xludf.IFNA(_xlfn.XLOOKUP(C118,'00_SKU_Master'!$B$2:$B$378,'00_SKU_Master'!$F$2:$F$378,0)*AA118,"")</f>
        <v>#NAME?</v>
      </c>
      <c r="G116" s="552" t="e">
        <f ca="1">_xludf.IFNA(_xlfn.XLOOKUP(C118,'00_SKU_Master'!$B$2:$B$378,'00_SKU_Master'!$F$2:$F$378,0)*AB118,"")</f>
        <v>#NAME?</v>
      </c>
      <c r="H116" s="552" t="e">
        <f ca="1">_xludf.IFNA(_xlfn.XLOOKUP(C118,'00_SKU_Master'!$B$2:$B$378,'00_SKU_Master'!$F$2:$F$378,0)*AC118,"")</f>
        <v>#NAME?</v>
      </c>
      <c r="I116" s="552" t="e">
        <f ca="1">_xludf.IFNA(_xlfn.XLOOKUP(C118,'00_SKU_Master'!$B$2:$B$378,'00_SKU_Master'!$F$2:$F$378,0)*AD118,"")</f>
        <v>#NAME?</v>
      </c>
      <c r="J116" s="552" t="e">
        <f ca="1">_xludf.IFNA(_xlfn.XLOOKUP(C118,'00_SKU_Master'!$B$2:$B$378,'00_SKU_Master'!$F$2:$F$378,0)*AE118,"")</f>
        <v>#NAME?</v>
      </c>
      <c r="K116" s="553" t="e">
        <f t="shared" ca="1" si="7"/>
        <v>#NAME?</v>
      </c>
      <c r="L116" s="187" t="e">
        <f>_xlfn.XLOOKUP(C118,'00_SKU_Master'!$B$2:$B$378,'00_SKU_Master'!K:K)</f>
        <v>#VALUE!</v>
      </c>
      <c r="M116" s="14">
        <f t="shared" si="8"/>
        <v>7179</v>
      </c>
      <c r="N116" s="147" t="e">
        <f ca="1">_xludf.IFNA(D118/_xlfn.XLOOKUP($M118,'00_SKU_Master'!$B$2:$B$378,'00_SKU_Master'!$M$2:$M$378,0)/$M$2,"0")</f>
        <v>#NAME?</v>
      </c>
      <c r="O116" s="147" t="e">
        <f ca="1">_xludf.IFNA(E118/_xlfn.XLOOKUP($M118,'00_SKU_Master'!$B$2:$B$378,'00_SKU_Master'!$M$2:$M$378,0)/$M$2,"0")</f>
        <v>#NAME?</v>
      </c>
      <c r="P116" s="147" t="e">
        <f ca="1">_xludf.IFNA(F118/_xlfn.XLOOKUP($M118,'00_SKU_Master'!$B$2:$B$378,'00_SKU_Master'!$M$2:$M$378,0)/$M$2,"0")</f>
        <v>#NAME?</v>
      </c>
      <c r="Q116" s="147" t="e">
        <f ca="1">_xludf.IFNA(G118/_xlfn.XLOOKUP($M118,'00_SKU_Master'!$B$2:$B$378,'00_SKU_Master'!$M$2:$M$378,0)/$M$2,"0")</f>
        <v>#NAME?</v>
      </c>
      <c r="R116" s="147" t="e">
        <f ca="1">_xludf.IFNA(H118/_xlfn.XLOOKUP($M118,'00_SKU_Master'!$B$2:$B$378,'00_SKU_Master'!$M$2:$M$378,0)/$M$2,"0")</f>
        <v>#NAME?</v>
      </c>
      <c r="S116" s="147" t="e">
        <f ca="1">_xludf.IFNA(I118/_xlfn.XLOOKUP($M118,'00_SKU_Master'!$B$2:$B$378,'00_SKU_Master'!$M$2:$M$378,0)/$M$2,"0")</f>
        <v>#NAME?</v>
      </c>
      <c r="T116" s="147" t="e">
        <f ca="1">_xludf.IFNA(J118/_xlfn.XLOOKUP($M118,'00_SKU_Master'!$B$2:$B$378,'00_SKU_Master'!$M$2:$M$378,0)/$M$2,"0")</f>
        <v>#NAME?</v>
      </c>
      <c r="U116" s="147" t="e">
        <f t="shared" ca="1" si="9"/>
        <v>#NAME?</v>
      </c>
      <c r="V116" s="4"/>
      <c r="W116" s="4" t="e">
        <f>_xlfn.XLOOKUP(M118,'00_SKU_Master'!$B$2:$B$378,'00_SKU_Master'!D:D)</f>
        <v>#VALUE!</v>
      </c>
      <c r="X116" s="14">
        <f>'05_Daily_Orders'!B117</f>
        <v>7173</v>
      </c>
      <c r="Y116" s="554"/>
      <c r="Z116" s="555"/>
      <c r="AA116" s="555"/>
      <c r="AB116" s="555"/>
      <c r="AC116" s="555">
        <v>0</v>
      </c>
      <c r="AD116" s="555">
        <v>0</v>
      </c>
      <c r="AE116" s="555">
        <v>0</v>
      </c>
      <c r="AF116" s="553">
        <f t="shared" si="10"/>
        <v>0</v>
      </c>
      <c r="AQ116" s="23">
        <v>0</v>
      </c>
      <c r="AR116" s="23">
        <v>0</v>
      </c>
      <c r="AS116" s="23">
        <f t="shared" si="11"/>
        <v>0</v>
      </c>
    </row>
    <row r="117" spans="1:45">
      <c r="A117" s="138">
        <f>_xlfn.XLOOKUP(C119,'00_SKU_Master'!$B$2:$B$378,'00_SKU_Master'!$C$2:$C$378)</f>
        <v>61061</v>
      </c>
      <c r="B117" s="138"/>
      <c r="C117" s="138">
        <f t="shared" si="6"/>
        <v>7188</v>
      </c>
      <c r="D117" s="552" t="e">
        <f ca="1">_xludf.IFNA(_xlfn.XLOOKUP(C119,'00_SKU_Master'!$B$2:$B$378,'00_SKU_Master'!$F$2:$F$378,0)*Y119,"")</f>
        <v>#NAME?</v>
      </c>
      <c r="E117" s="552" t="e">
        <f ca="1">_xludf.IFNA(_xlfn.XLOOKUP(C119,'00_SKU_Master'!$B$2:$B$378,'00_SKU_Master'!$F$2:$F$378,0)*Z119,"")</f>
        <v>#NAME?</v>
      </c>
      <c r="F117" s="552" t="e">
        <f ca="1">_xludf.IFNA(_xlfn.XLOOKUP(C119,'00_SKU_Master'!$B$2:$B$378,'00_SKU_Master'!$F$2:$F$378,0)*AA119,"")</f>
        <v>#NAME?</v>
      </c>
      <c r="G117" s="552" t="e">
        <f ca="1">_xludf.IFNA(_xlfn.XLOOKUP(C119,'00_SKU_Master'!$B$2:$B$378,'00_SKU_Master'!$F$2:$F$378,0)*AB119,"")</f>
        <v>#NAME?</v>
      </c>
      <c r="H117" s="552" t="e">
        <f ca="1">_xludf.IFNA(_xlfn.XLOOKUP(C119,'00_SKU_Master'!$B$2:$B$378,'00_SKU_Master'!$F$2:$F$378,0)*AC119,"")</f>
        <v>#NAME?</v>
      </c>
      <c r="I117" s="552" t="e">
        <f ca="1">_xludf.IFNA(_xlfn.XLOOKUP(C119,'00_SKU_Master'!$B$2:$B$378,'00_SKU_Master'!$F$2:$F$378,0)*AD119,"")</f>
        <v>#NAME?</v>
      </c>
      <c r="J117" s="552" t="e">
        <f ca="1">_xludf.IFNA(_xlfn.XLOOKUP(C119,'00_SKU_Master'!$B$2:$B$378,'00_SKU_Master'!$F$2:$F$378,0)*AE119,"")</f>
        <v>#NAME?</v>
      </c>
      <c r="K117" s="553" t="e">
        <f t="shared" ca="1" si="7"/>
        <v>#NAME?</v>
      </c>
      <c r="L117" s="187" t="e">
        <f>_xlfn.XLOOKUP(C119,'00_SKU_Master'!$B$2:$B$378,'00_SKU_Master'!K:K)</f>
        <v>#VALUE!</v>
      </c>
      <c r="M117" s="14">
        <f t="shared" si="8"/>
        <v>7188</v>
      </c>
      <c r="N117" s="147" t="e">
        <f ca="1">_xludf.IFNA(D119/_xlfn.XLOOKUP($M119,'00_SKU_Master'!$B$2:$B$378,'00_SKU_Master'!$M$2:$M$378,0)/$M$2,"0")</f>
        <v>#NAME?</v>
      </c>
      <c r="O117" s="147" t="e">
        <f ca="1">_xludf.IFNA(E119/_xlfn.XLOOKUP($M119,'00_SKU_Master'!$B$2:$B$378,'00_SKU_Master'!$M$2:$M$378,0)/$M$2,"0")</f>
        <v>#NAME?</v>
      </c>
      <c r="P117" s="147" t="e">
        <f ca="1">_xludf.IFNA(F119/_xlfn.XLOOKUP($M119,'00_SKU_Master'!$B$2:$B$378,'00_SKU_Master'!$M$2:$M$378,0)/$M$2,"0")</f>
        <v>#NAME?</v>
      </c>
      <c r="Q117" s="147" t="e">
        <f ca="1">_xludf.IFNA(G119/_xlfn.XLOOKUP($M119,'00_SKU_Master'!$B$2:$B$378,'00_SKU_Master'!$M$2:$M$378,0)/$M$2,"0")</f>
        <v>#NAME?</v>
      </c>
      <c r="R117" s="147" t="e">
        <f ca="1">_xludf.IFNA(H119/_xlfn.XLOOKUP($M119,'00_SKU_Master'!$B$2:$B$378,'00_SKU_Master'!$M$2:$M$378,0)/$M$2,"0")</f>
        <v>#NAME?</v>
      </c>
      <c r="S117" s="147" t="e">
        <f ca="1">_xludf.IFNA(I119/_xlfn.XLOOKUP($M119,'00_SKU_Master'!$B$2:$B$378,'00_SKU_Master'!$M$2:$M$378,0)/$M$2,"0")</f>
        <v>#NAME?</v>
      </c>
      <c r="T117" s="147" t="e">
        <f ca="1">_xludf.IFNA(J119/_xlfn.XLOOKUP($M119,'00_SKU_Master'!$B$2:$B$378,'00_SKU_Master'!$M$2:$M$378,0)/$M$2,"0")</f>
        <v>#NAME?</v>
      </c>
      <c r="U117" s="147" t="e">
        <f t="shared" ca="1" si="9"/>
        <v>#NAME?</v>
      </c>
      <c r="V117" s="4"/>
      <c r="W117" s="4" t="e">
        <f>_xlfn.XLOOKUP(M119,'00_SKU_Master'!$B$2:$B$378,'00_SKU_Master'!D:D)</f>
        <v>#VALUE!</v>
      </c>
      <c r="X117" s="14">
        <f>'05_Daily_Orders'!B118</f>
        <v>7178</v>
      </c>
      <c r="Y117" s="554"/>
      <c r="Z117" s="555"/>
      <c r="AA117" s="555"/>
      <c r="AB117" s="555"/>
      <c r="AC117" s="555">
        <v>0</v>
      </c>
      <c r="AD117" s="555">
        <v>0</v>
      </c>
      <c r="AE117" s="555">
        <v>0</v>
      </c>
      <c r="AF117" s="553">
        <f t="shared" si="10"/>
        <v>0</v>
      </c>
      <c r="AQ117" s="23">
        <v>0</v>
      </c>
      <c r="AR117" s="23">
        <v>0</v>
      </c>
      <c r="AS117" s="23">
        <f t="shared" si="11"/>
        <v>0</v>
      </c>
    </row>
    <row r="118" spans="1:45">
      <c r="A118" s="138">
        <f>_xlfn.XLOOKUP(C120,'00_SKU_Master'!$B$2:$B$378,'00_SKU_Master'!$C$2:$C$378)</f>
        <v>203152</v>
      </c>
      <c r="B118" s="138"/>
      <c r="C118" s="138">
        <f t="shared" si="6"/>
        <v>7189</v>
      </c>
      <c r="D118" s="552" t="e">
        <f ca="1">_xludf.IFNA(_xlfn.XLOOKUP(C120,'00_SKU_Master'!$B$2:$B$378,'00_SKU_Master'!$F$2:$F$378,0)*Y120,"")</f>
        <v>#NAME?</v>
      </c>
      <c r="E118" s="552" t="e">
        <f ca="1">_xludf.IFNA(_xlfn.XLOOKUP(C120,'00_SKU_Master'!$B$2:$B$378,'00_SKU_Master'!$F$2:$F$378,0)*Z120,"")</f>
        <v>#NAME?</v>
      </c>
      <c r="F118" s="552" t="e">
        <f ca="1">_xludf.IFNA(_xlfn.XLOOKUP(C120,'00_SKU_Master'!$B$2:$B$378,'00_SKU_Master'!$F$2:$F$378,0)*AA120,"")</f>
        <v>#NAME?</v>
      </c>
      <c r="G118" s="552" t="e">
        <f ca="1">_xludf.IFNA(_xlfn.XLOOKUP(C120,'00_SKU_Master'!$B$2:$B$378,'00_SKU_Master'!$F$2:$F$378,0)*AB120,"")</f>
        <v>#NAME?</v>
      </c>
      <c r="H118" s="552" t="e">
        <f ca="1">_xludf.IFNA(_xlfn.XLOOKUP(C120,'00_SKU_Master'!$B$2:$B$378,'00_SKU_Master'!$F$2:$F$378,0)*AC120,"")</f>
        <v>#NAME?</v>
      </c>
      <c r="I118" s="552" t="e">
        <f ca="1">_xludf.IFNA(_xlfn.XLOOKUP(C120,'00_SKU_Master'!$B$2:$B$378,'00_SKU_Master'!$F$2:$F$378,0)*AD120,"")</f>
        <v>#NAME?</v>
      </c>
      <c r="J118" s="552" t="e">
        <f ca="1">_xludf.IFNA(_xlfn.XLOOKUP(C120,'00_SKU_Master'!$B$2:$B$378,'00_SKU_Master'!$F$2:$F$378,0)*AE120,"")</f>
        <v>#NAME?</v>
      </c>
      <c r="K118" s="553" t="e">
        <f t="shared" ca="1" si="7"/>
        <v>#NAME?</v>
      </c>
      <c r="L118" s="187" t="e">
        <f>_xlfn.XLOOKUP(C120,'00_SKU_Master'!$B$2:$B$378,'00_SKU_Master'!K:K)</f>
        <v>#VALUE!</v>
      </c>
      <c r="M118" s="14">
        <f t="shared" si="8"/>
        <v>7189</v>
      </c>
      <c r="N118" s="147" t="e">
        <f ca="1">_xludf.IFNA(D120/_xlfn.XLOOKUP($M120,'00_SKU_Master'!$B$2:$B$378,'00_SKU_Master'!$M$2:$M$378,0)/$M$2,"0")</f>
        <v>#NAME?</v>
      </c>
      <c r="O118" s="147" t="e">
        <f ca="1">_xludf.IFNA(E120/_xlfn.XLOOKUP($M120,'00_SKU_Master'!$B$2:$B$378,'00_SKU_Master'!$M$2:$M$378,0)/$M$2,"0")</f>
        <v>#NAME?</v>
      </c>
      <c r="P118" s="147" t="e">
        <f ca="1">_xludf.IFNA(F120/_xlfn.XLOOKUP($M120,'00_SKU_Master'!$B$2:$B$378,'00_SKU_Master'!$M$2:$M$378,0)/$M$2,"0")</f>
        <v>#NAME?</v>
      </c>
      <c r="Q118" s="147" t="e">
        <f ca="1">_xludf.IFNA(G120/_xlfn.XLOOKUP($M120,'00_SKU_Master'!$B$2:$B$378,'00_SKU_Master'!$M$2:$M$378,0)/$M$2,"0")</f>
        <v>#NAME?</v>
      </c>
      <c r="R118" s="147" t="e">
        <f ca="1">_xludf.IFNA(H120/_xlfn.XLOOKUP($M120,'00_SKU_Master'!$B$2:$B$378,'00_SKU_Master'!$M$2:$M$378,0)/$M$2,"0")</f>
        <v>#NAME?</v>
      </c>
      <c r="S118" s="147" t="e">
        <f ca="1">_xludf.IFNA(I120/_xlfn.XLOOKUP($M120,'00_SKU_Master'!$B$2:$B$378,'00_SKU_Master'!$M$2:$M$378,0)/$M$2,"0")</f>
        <v>#NAME?</v>
      </c>
      <c r="T118" s="147" t="e">
        <f ca="1">_xludf.IFNA(J120/_xlfn.XLOOKUP($M120,'00_SKU_Master'!$B$2:$B$378,'00_SKU_Master'!$M$2:$M$378,0)/$M$2,"0")</f>
        <v>#NAME?</v>
      </c>
      <c r="U118" s="147" t="e">
        <f t="shared" ca="1" si="9"/>
        <v>#NAME?</v>
      </c>
      <c r="V118" s="4"/>
      <c r="W118" s="4" t="e">
        <f>_xlfn.XLOOKUP(M120,'00_SKU_Master'!$B$2:$B$378,'00_SKU_Master'!D:D)</f>
        <v>#VALUE!</v>
      </c>
      <c r="X118" s="14">
        <f>'05_Daily_Orders'!B119</f>
        <v>7179</v>
      </c>
      <c r="Y118" s="554"/>
      <c r="Z118" s="555"/>
      <c r="AA118" s="555"/>
      <c r="AB118" s="555"/>
      <c r="AC118" s="555">
        <v>0</v>
      </c>
      <c r="AD118" s="555">
        <v>0</v>
      </c>
      <c r="AE118" s="555">
        <v>0</v>
      </c>
      <c r="AF118" s="553">
        <f t="shared" si="10"/>
        <v>0</v>
      </c>
      <c r="AQ118" s="23">
        <v>0</v>
      </c>
      <c r="AR118" s="23">
        <v>0</v>
      </c>
      <c r="AS118" s="23">
        <f t="shared" si="11"/>
        <v>0</v>
      </c>
    </row>
    <row r="119" spans="1:45">
      <c r="A119" s="138" t="str">
        <f>_xlfn.XLOOKUP(C121,'00_SKU_Master'!$B$2:$B$378,'00_SKU_Master'!$C$2:$C$378)</f>
        <v>61072#2</v>
      </c>
      <c r="B119" s="138"/>
      <c r="C119" s="138">
        <f t="shared" si="6"/>
        <v>7191</v>
      </c>
      <c r="D119" s="552" t="e">
        <f ca="1">_xludf.IFNA(_xlfn.XLOOKUP(C121,'00_SKU_Master'!$B$2:$B$378,'00_SKU_Master'!$F$2:$F$378,0)*Y121,"")</f>
        <v>#NAME?</v>
      </c>
      <c r="E119" s="552" t="e">
        <f ca="1">_xludf.IFNA(_xlfn.XLOOKUP(C121,'00_SKU_Master'!$B$2:$B$378,'00_SKU_Master'!$F$2:$F$378,0)*Z121,"")</f>
        <v>#NAME?</v>
      </c>
      <c r="F119" s="552" t="e">
        <f ca="1">_xludf.IFNA(_xlfn.XLOOKUP(C121,'00_SKU_Master'!$B$2:$B$378,'00_SKU_Master'!$F$2:$F$378,0)*AA121,"")</f>
        <v>#NAME?</v>
      </c>
      <c r="G119" s="552" t="e">
        <f ca="1">_xludf.IFNA(_xlfn.XLOOKUP(C121,'00_SKU_Master'!$B$2:$B$378,'00_SKU_Master'!$F$2:$F$378,0)*AB121,"")</f>
        <v>#NAME?</v>
      </c>
      <c r="H119" s="552" t="e">
        <f ca="1">_xludf.IFNA(_xlfn.XLOOKUP(C121,'00_SKU_Master'!$B$2:$B$378,'00_SKU_Master'!$F$2:$F$378,0)*AC121,"")</f>
        <v>#NAME?</v>
      </c>
      <c r="I119" s="552" t="e">
        <f ca="1">_xludf.IFNA(_xlfn.XLOOKUP(C121,'00_SKU_Master'!$B$2:$B$378,'00_SKU_Master'!$F$2:$F$378,0)*AD121,"")</f>
        <v>#NAME?</v>
      </c>
      <c r="J119" s="552" t="e">
        <f ca="1">_xludf.IFNA(_xlfn.XLOOKUP(C121,'00_SKU_Master'!$B$2:$B$378,'00_SKU_Master'!$F$2:$F$378,0)*AE121,"")</f>
        <v>#NAME?</v>
      </c>
      <c r="K119" s="553" t="e">
        <f t="shared" ca="1" si="7"/>
        <v>#NAME?</v>
      </c>
      <c r="L119" s="187" t="e">
        <f>_xlfn.XLOOKUP(C121,'00_SKU_Master'!$B$2:$B$378,'00_SKU_Master'!K:K)</f>
        <v>#VALUE!</v>
      </c>
      <c r="M119" s="14">
        <f t="shared" si="8"/>
        <v>7191</v>
      </c>
      <c r="N119" s="147" t="e">
        <f ca="1">_xludf.IFNA(D121/_xlfn.XLOOKUP($M121,'00_SKU_Master'!$B$2:$B$378,'00_SKU_Master'!$M$2:$M$378,0)/$M$2,"0")</f>
        <v>#NAME?</v>
      </c>
      <c r="O119" s="147" t="e">
        <f ca="1">_xludf.IFNA(E121/_xlfn.XLOOKUP($M121,'00_SKU_Master'!$B$2:$B$378,'00_SKU_Master'!$M$2:$M$378,0)/$M$2,"0")</f>
        <v>#NAME?</v>
      </c>
      <c r="P119" s="147" t="e">
        <f ca="1">_xludf.IFNA(F121/_xlfn.XLOOKUP($M121,'00_SKU_Master'!$B$2:$B$378,'00_SKU_Master'!$M$2:$M$378,0)/$M$2,"0")</f>
        <v>#NAME?</v>
      </c>
      <c r="Q119" s="147" t="e">
        <f ca="1">_xludf.IFNA(G121/_xlfn.XLOOKUP($M121,'00_SKU_Master'!$B$2:$B$378,'00_SKU_Master'!$M$2:$M$378,0)/$M$2,"0")</f>
        <v>#NAME?</v>
      </c>
      <c r="R119" s="147" t="e">
        <f ca="1">_xludf.IFNA(H121/_xlfn.XLOOKUP($M121,'00_SKU_Master'!$B$2:$B$378,'00_SKU_Master'!$M$2:$M$378,0)/$M$2,"0")</f>
        <v>#NAME?</v>
      </c>
      <c r="S119" s="147" t="e">
        <f ca="1">_xludf.IFNA(I121/_xlfn.XLOOKUP($M121,'00_SKU_Master'!$B$2:$B$378,'00_SKU_Master'!$M$2:$M$378,0)/$M$2,"0")</f>
        <v>#NAME?</v>
      </c>
      <c r="T119" s="147" t="e">
        <f ca="1">_xludf.IFNA(J121/_xlfn.XLOOKUP($M121,'00_SKU_Master'!$B$2:$B$378,'00_SKU_Master'!$M$2:$M$378,0)/$M$2,"0")</f>
        <v>#NAME?</v>
      </c>
      <c r="U119" s="147" t="e">
        <f t="shared" ca="1" si="9"/>
        <v>#NAME?</v>
      </c>
      <c r="V119" s="4"/>
      <c r="W119" s="4" t="e">
        <f>_xlfn.XLOOKUP(M121,'00_SKU_Master'!$B$2:$B$378,'00_SKU_Master'!D:D)</f>
        <v>#VALUE!</v>
      </c>
      <c r="X119" s="14">
        <f>'05_Daily_Orders'!B120</f>
        <v>7188</v>
      </c>
      <c r="Y119" s="554"/>
      <c r="Z119" s="555"/>
      <c r="AA119" s="555"/>
      <c r="AB119" s="555"/>
      <c r="AC119" s="555">
        <v>0</v>
      </c>
      <c r="AD119" s="555">
        <v>0</v>
      </c>
      <c r="AE119" s="555">
        <v>0</v>
      </c>
      <c r="AF119" s="553">
        <f t="shared" si="10"/>
        <v>0</v>
      </c>
      <c r="AQ119" s="23">
        <v>0</v>
      </c>
      <c r="AR119" s="23">
        <v>0</v>
      </c>
      <c r="AS119" s="23">
        <f t="shared" si="11"/>
        <v>0</v>
      </c>
    </row>
    <row r="120" spans="1:45">
      <c r="A120" s="138">
        <f>_xlfn.XLOOKUP(C122,'00_SKU_Master'!$B$2:$B$378,'00_SKU_Master'!$C$2:$C$378)</f>
        <v>61042</v>
      </c>
      <c r="B120" s="138"/>
      <c r="C120" s="138">
        <f t="shared" si="6"/>
        <v>7192</v>
      </c>
      <c r="D120" s="552" t="e">
        <f ca="1">_xludf.IFNA(_xlfn.XLOOKUP(C122,'00_SKU_Master'!$B$2:$B$378,'00_SKU_Master'!$F$2:$F$378,0)*Y122,"")</f>
        <v>#NAME?</v>
      </c>
      <c r="E120" s="552" t="e">
        <f ca="1">_xludf.IFNA(_xlfn.XLOOKUP(C122,'00_SKU_Master'!$B$2:$B$378,'00_SKU_Master'!$F$2:$F$378,0)*Z122,"")</f>
        <v>#NAME?</v>
      </c>
      <c r="F120" s="552" t="e">
        <f ca="1">_xludf.IFNA(_xlfn.XLOOKUP(C122,'00_SKU_Master'!$B$2:$B$378,'00_SKU_Master'!$F$2:$F$378,0)*AA122,"")</f>
        <v>#NAME?</v>
      </c>
      <c r="G120" s="552" t="e">
        <f ca="1">_xludf.IFNA(_xlfn.XLOOKUP(C122,'00_SKU_Master'!$B$2:$B$378,'00_SKU_Master'!$F$2:$F$378,0)*AB122,"")</f>
        <v>#NAME?</v>
      </c>
      <c r="H120" s="552" t="e">
        <f ca="1">_xludf.IFNA(_xlfn.XLOOKUP(C122,'00_SKU_Master'!$B$2:$B$378,'00_SKU_Master'!$F$2:$F$378,0)*AC122,"")</f>
        <v>#NAME?</v>
      </c>
      <c r="I120" s="552" t="e">
        <f ca="1">_xludf.IFNA(_xlfn.XLOOKUP(C122,'00_SKU_Master'!$B$2:$B$378,'00_SKU_Master'!$F$2:$F$378,0)*AD122,"")</f>
        <v>#NAME?</v>
      </c>
      <c r="J120" s="552" t="e">
        <f ca="1">_xludf.IFNA(_xlfn.XLOOKUP(C122,'00_SKU_Master'!$B$2:$B$378,'00_SKU_Master'!$F$2:$F$378,0)*AE122,"")</f>
        <v>#NAME?</v>
      </c>
      <c r="K120" s="553" t="e">
        <f t="shared" ca="1" si="7"/>
        <v>#NAME?</v>
      </c>
      <c r="L120" s="187" t="e">
        <f>_xlfn.XLOOKUP(C122,'00_SKU_Master'!$B$2:$B$378,'00_SKU_Master'!K:K)</f>
        <v>#VALUE!</v>
      </c>
      <c r="M120" s="14">
        <f t="shared" si="8"/>
        <v>7192</v>
      </c>
      <c r="N120" s="147" t="e">
        <f ca="1">_xludf.IFNA(D122/_xlfn.XLOOKUP($M122,'00_SKU_Master'!$B$2:$B$378,'00_SKU_Master'!$M$2:$M$378,0)/$M$2,"0")</f>
        <v>#NAME?</v>
      </c>
      <c r="O120" s="147" t="e">
        <f ca="1">_xludf.IFNA(E122/_xlfn.XLOOKUP($M122,'00_SKU_Master'!$B$2:$B$378,'00_SKU_Master'!$M$2:$M$378,0)/$M$2,"0")</f>
        <v>#NAME?</v>
      </c>
      <c r="P120" s="147" t="e">
        <f ca="1">_xludf.IFNA(F122/_xlfn.XLOOKUP($M122,'00_SKU_Master'!$B$2:$B$378,'00_SKU_Master'!$M$2:$M$378,0)/$M$2,"0")</f>
        <v>#NAME?</v>
      </c>
      <c r="Q120" s="147" t="e">
        <f ca="1">_xludf.IFNA(G122/_xlfn.XLOOKUP($M122,'00_SKU_Master'!$B$2:$B$378,'00_SKU_Master'!$M$2:$M$378,0)/$M$2,"0")</f>
        <v>#NAME?</v>
      </c>
      <c r="R120" s="147" t="e">
        <f ca="1">_xludf.IFNA(H122/_xlfn.XLOOKUP($M122,'00_SKU_Master'!$B$2:$B$378,'00_SKU_Master'!$M$2:$M$378,0)/$M$2,"0")</f>
        <v>#NAME?</v>
      </c>
      <c r="S120" s="147" t="e">
        <f ca="1">_xludf.IFNA(I122/_xlfn.XLOOKUP($M122,'00_SKU_Master'!$B$2:$B$378,'00_SKU_Master'!$M$2:$M$378,0)/$M$2,"0")</f>
        <v>#NAME?</v>
      </c>
      <c r="T120" s="147" t="e">
        <f ca="1">_xludf.IFNA(J122/_xlfn.XLOOKUP($M122,'00_SKU_Master'!$B$2:$B$378,'00_SKU_Master'!$M$2:$M$378,0)/$M$2,"0")</f>
        <v>#NAME?</v>
      </c>
      <c r="U120" s="147" t="e">
        <f t="shared" ca="1" si="9"/>
        <v>#NAME?</v>
      </c>
      <c r="V120" s="4"/>
      <c r="W120" s="4" t="e">
        <f>_xlfn.XLOOKUP(M122,'00_SKU_Master'!$B$2:$B$378,'00_SKU_Master'!D:D)</f>
        <v>#VALUE!</v>
      </c>
      <c r="X120" s="14">
        <f>'05_Daily_Orders'!B121</f>
        <v>7189</v>
      </c>
      <c r="Y120" s="554"/>
      <c r="Z120" s="555"/>
      <c r="AA120" s="555"/>
      <c r="AB120" s="555"/>
      <c r="AC120" s="555">
        <v>0</v>
      </c>
      <c r="AD120" s="555">
        <v>0</v>
      </c>
      <c r="AE120" s="555">
        <v>0</v>
      </c>
      <c r="AF120" s="553">
        <f t="shared" si="10"/>
        <v>0</v>
      </c>
      <c r="AQ120" s="23">
        <v>0</v>
      </c>
      <c r="AR120" s="23">
        <v>0</v>
      </c>
      <c r="AS120" s="23">
        <f t="shared" si="11"/>
        <v>0</v>
      </c>
    </row>
    <row r="121" spans="1:45">
      <c r="A121" s="138">
        <f>_xlfn.XLOOKUP(C123,'00_SKU_Master'!$B$2:$B$378,'00_SKU_Master'!$C$2:$C$378)</f>
        <v>61049</v>
      </c>
      <c r="B121" s="138"/>
      <c r="C121" s="138">
        <f t="shared" si="6"/>
        <v>7193</v>
      </c>
      <c r="D121" s="552" t="e">
        <f ca="1">_xludf.IFNA(_xlfn.XLOOKUP(C123,'00_SKU_Master'!$B$2:$B$378,'00_SKU_Master'!$F$2:$F$378,0)*Y123,"")</f>
        <v>#NAME?</v>
      </c>
      <c r="E121" s="552" t="e">
        <f ca="1">_xludf.IFNA(_xlfn.XLOOKUP(C123,'00_SKU_Master'!$B$2:$B$378,'00_SKU_Master'!$F$2:$F$378,0)*Z123,"")</f>
        <v>#NAME?</v>
      </c>
      <c r="F121" s="552" t="e">
        <f ca="1">_xludf.IFNA(_xlfn.XLOOKUP(C123,'00_SKU_Master'!$B$2:$B$378,'00_SKU_Master'!$F$2:$F$378,0)*AA123,"")</f>
        <v>#NAME?</v>
      </c>
      <c r="G121" s="552" t="e">
        <f ca="1">_xludf.IFNA(_xlfn.XLOOKUP(C123,'00_SKU_Master'!$B$2:$B$378,'00_SKU_Master'!$F$2:$F$378,0)*AB123,"")</f>
        <v>#NAME?</v>
      </c>
      <c r="H121" s="552" t="e">
        <f ca="1">_xludf.IFNA(_xlfn.XLOOKUP(C123,'00_SKU_Master'!$B$2:$B$378,'00_SKU_Master'!$F$2:$F$378,0)*AC123,"")</f>
        <v>#NAME?</v>
      </c>
      <c r="I121" s="552" t="e">
        <f ca="1">_xludf.IFNA(_xlfn.XLOOKUP(C123,'00_SKU_Master'!$B$2:$B$378,'00_SKU_Master'!$F$2:$F$378,0)*AD123,"")</f>
        <v>#NAME?</v>
      </c>
      <c r="J121" s="552" t="e">
        <f ca="1">_xludf.IFNA(_xlfn.XLOOKUP(C123,'00_SKU_Master'!$B$2:$B$378,'00_SKU_Master'!$F$2:$F$378,0)*AE123,"")</f>
        <v>#NAME?</v>
      </c>
      <c r="K121" s="553" t="e">
        <f t="shared" ca="1" si="7"/>
        <v>#NAME?</v>
      </c>
      <c r="L121" s="187" t="e">
        <f>_xlfn.XLOOKUP(C123,'00_SKU_Master'!$B$2:$B$378,'00_SKU_Master'!K:K)</f>
        <v>#VALUE!</v>
      </c>
      <c r="M121" s="14">
        <f t="shared" si="8"/>
        <v>7193</v>
      </c>
      <c r="N121" s="147" t="e">
        <f ca="1">_xludf.IFNA(D123/_xlfn.XLOOKUP($M123,'00_SKU_Master'!$B$2:$B$378,'00_SKU_Master'!$M$2:$M$378,0)/$M$2,"0")</f>
        <v>#NAME?</v>
      </c>
      <c r="O121" s="147" t="e">
        <f ca="1">_xludf.IFNA(E123/_xlfn.XLOOKUP($M123,'00_SKU_Master'!$B$2:$B$378,'00_SKU_Master'!$M$2:$M$378,0)/$M$2,"0")</f>
        <v>#NAME?</v>
      </c>
      <c r="P121" s="147" t="e">
        <f ca="1">_xludf.IFNA(F123/_xlfn.XLOOKUP($M123,'00_SKU_Master'!$B$2:$B$378,'00_SKU_Master'!$M$2:$M$378,0)/$M$2,"0")</f>
        <v>#NAME?</v>
      </c>
      <c r="Q121" s="147" t="e">
        <f ca="1">_xludf.IFNA(G123/_xlfn.XLOOKUP($M123,'00_SKU_Master'!$B$2:$B$378,'00_SKU_Master'!$M$2:$M$378,0)/$M$2,"0")</f>
        <v>#NAME?</v>
      </c>
      <c r="R121" s="147" t="e">
        <f ca="1">_xludf.IFNA(H123/_xlfn.XLOOKUP($M123,'00_SKU_Master'!$B$2:$B$378,'00_SKU_Master'!$M$2:$M$378,0)/$M$2,"0")</f>
        <v>#NAME?</v>
      </c>
      <c r="S121" s="147" t="e">
        <f ca="1">_xludf.IFNA(I123/_xlfn.XLOOKUP($M123,'00_SKU_Master'!$B$2:$B$378,'00_SKU_Master'!$M$2:$M$378,0)/$M$2,"0")</f>
        <v>#NAME?</v>
      </c>
      <c r="T121" s="147" t="e">
        <f ca="1">_xludf.IFNA(J123/_xlfn.XLOOKUP($M123,'00_SKU_Master'!$B$2:$B$378,'00_SKU_Master'!$M$2:$M$378,0)/$M$2,"0")</f>
        <v>#NAME?</v>
      </c>
      <c r="U121" s="147" t="e">
        <f t="shared" ca="1" si="9"/>
        <v>#NAME?</v>
      </c>
      <c r="V121" s="4"/>
      <c r="W121" s="4" t="e">
        <f>_xlfn.XLOOKUP(M123,'00_SKU_Master'!$B$2:$B$378,'00_SKU_Master'!D:D)</f>
        <v>#VALUE!</v>
      </c>
      <c r="X121" s="14">
        <f>'05_Daily_Orders'!B122</f>
        <v>7191</v>
      </c>
      <c r="Y121" s="554"/>
      <c r="Z121" s="555"/>
      <c r="AA121" s="555"/>
      <c r="AB121" s="555"/>
      <c r="AC121" s="555">
        <v>0</v>
      </c>
      <c r="AD121" s="555">
        <v>0</v>
      </c>
      <c r="AE121" s="555">
        <v>0</v>
      </c>
      <c r="AF121" s="553">
        <f t="shared" si="10"/>
        <v>0</v>
      </c>
      <c r="AQ121" s="23">
        <v>0</v>
      </c>
      <c r="AR121" s="23">
        <v>0</v>
      </c>
      <c r="AS121" s="23">
        <f t="shared" si="11"/>
        <v>0</v>
      </c>
    </row>
    <row r="122" spans="1:45">
      <c r="A122" s="138">
        <f>_xlfn.XLOOKUP(C124,'00_SKU_Master'!$B$2:$B$378,'00_SKU_Master'!$C$2:$C$378)</f>
        <v>61051</v>
      </c>
      <c r="B122" s="138"/>
      <c r="C122" s="138">
        <f t="shared" si="6"/>
        <v>7229</v>
      </c>
      <c r="D122" s="552" t="e">
        <f ca="1">_xludf.IFNA(_xlfn.XLOOKUP(C124,'00_SKU_Master'!$B$2:$B$378,'00_SKU_Master'!$F$2:$F$378,0)*Y124,"")</f>
        <v>#NAME?</v>
      </c>
      <c r="E122" s="552" t="e">
        <f ca="1">_xludf.IFNA(_xlfn.XLOOKUP(C124,'00_SKU_Master'!$B$2:$B$378,'00_SKU_Master'!$F$2:$F$378,0)*Z124,"")</f>
        <v>#NAME?</v>
      </c>
      <c r="F122" s="552" t="e">
        <f ca="1">_xludf.IFNA(_xlfn.XLOOKUP(C124,'00_SKU_Master'!$B$2:$B$378,'00_SKU_Master'!$F$2:$F$378,0)*AA124,"")</f>
        <v>#NAME?</v>
      </c>
      <c r="G122" s="552" t="e">
        <f ca="1">_xludf.IFNA(_xlfn.XLOOKUP(C124,'00_SKU_Master'!$B$2:$B$378,'00_SKU_Master'!$F$2:$F$378,0)*AB124,"")</f>
        <v>#NAME?</v>
      </c>
      <c r="H122" s="552" t="e">
        <f ca="1">_xludf.IFNA(_xlfn.XLOOKUP(C124,'00_SKU_Master'!$B$2:$B$378,'00_SKU_Master'!$F$2:$F$378,0)*AC124,"")</f>
        <v>#NAME?</v>
      </c>
      <c r="I122" s="552" t="e">
        <f ca="1">_xludf.IFNA(_xlfn.XLOOKUP(C124,'00_SKU_Master'!$B$2:$B$378,'00_SKU_Master'!$F$2:$F$378,0)*AD124,"")</f>
        <v>#NAME?</v>
      </c>
      <c r="J122" s="552" t="e">
        <f ca="1">_xludf.IFNA(_xlfn.XLOOKUP(C124,'00_SKU_Master'!$B$2:$B$378,'00_SKU_Master'!$F$2:$F$378,0)*AE124,"")</f>
        <v>#NAME?</v>
      </c>
      <c r="K122" s="553" t="e">
        <f t="shared" ca="1" si="7"/>
        <v>#NAME?</v>
      </c>
      <c r="L122" s="187" t="e">
        <f>_xlfn.XLOOKUP(C124,'00_SKU_Master'!$B$2:$B$378,'00_SKU_Master'!K:K)</f>
        <v>#VALUE!</v>
      </c>
      <c r="M122" s="14">
        <f t="shared" si="8"/>
        <v>7229</v>
      </c>
      <c r="N122" s="147" t="e">
        <f ca="1">_xludf.IFNA(D124/_xlfn.XLOOKUP($M124,'00_SKU_Master'!$B$2:$B$378,'00_SKU_Master'!$M$2:$M$378,0)/$M$2,"0")</f>
        <v>#NAME?</v>
      </c>
      <c r="O122" s="147" t="e">
        <f ca="1">_xludf.IFNA(E124/_xlfn.XLOOKUP($M124,'00_SKU_Master'!$B$2:$B$378,'00_SKU_Master'!$M$2:$M$378,0)/$M$2,"0")</f>
        <v>#NAME?</v>
      </c>
      <c r="P122" s="147" t="e">
        <f ca="1">_xludf.IFNA(F124/_xlfn.XLOOKUP($M124,'00_SKU_Master'!$B$2:$B$378,'00_SKU_Master'!$M$2:$M$378,0)/$M$2,"0")</f>
        <v>#NAME?</v>
      </c>
      <c r="Q122" s="147" t="e">
        <f ca="1">_xludf.IFNA(G124/_xlfn.XLOOKUP($M124,'00_SKU_Master'!$B$2:$B$378,'00_SKU_Master'!$M$2:$M$378,0)/$M$2,"0")</f>
        <v>#NAME?</v>
      </c>
      <c r="R122" s="147" t="e">
        <f ca="1">_xludf.IFNA(H124/_xlfn.XLOOKUP($M124,'00_SKU_Master'!$B$2:$B$378,'00_SKU_Master'!$M$2:$M$378,0)/$M$2,"0")</f>
        <v>#NAME?</v>
      </c>
      <c r="S122" s="147" t="e">
        <f ca="1">_xludf.IFNA(I124/_xlfn.XLOOKUP($M124,'00_SKU_Master'!$B$2:$B$378,'00_SKU_Master'!$M$2:$M$378,0)/$M$2,"0")</f>
        <v>#NAME?</v>
      </c>
      <c r="T122" s="147" t="e">
        <f ca="1">_xludf.IFNA(J124/_xlfn.XLOOKUP($M124,'00_SKU_Master'!$B$2:$B$378,'00_SKU_Master'!$M$2:$M$378,0)/$M$2,"0")</f>
        <v>#NAME?</v>
      </c>
      <c r="U122" s="147" t="e">
        <f t="shared" ca="1" si="9"/>
        <v>#NAME?</v>
      </c>
      <c r="V122" s="4"/>
      <c r="W122" s="4" t="e">
        <f>_xlfn.XLOOKUP(M124,'00_SKU_Master'!$B$2:$B$378,'00_SKU_Master'!D:D)</f>
        <v>#VALUE!</v>
      </c>
      <c r="X122" s="14">
        <f>'05_Daily_Orders'!B123</f>
        <v>7192</v>
      </c>
      <c r="Y122" s="554"/>
      <c r="Z122" s="555"/>
      <c r="AA122" s="555"/>
      <c r="AB122" s="555"/>
      <c r="AC122" s="555">
        <v>0</v>
      </c>
      <c r="AD122" s="555">
        <v>0</v>
      </c>
      <c r="AE122" s="555">
        <v>0</v>
      </c>
      <c r="AF122" s="553">
        <f t="shared" si="10"/>
        <v>0</v>
      </c>
      <c r="AQ122" s="23">
        <v>0</v>
      </c>
      <c r="AR122" s="23">
        <v>0</v>
      </c>
      <c r="AS122" s="23">
        <f t="shared" si="11"/>
        <v>0</v>
      </c>
    </row>
    <row r="123" spans="1:45">
      <c r="A123" s="138">
        <f>_xlfn.XLOOKUP(C125,'00_SKU_Master'!$B$2:$B$378,'00_SKU_Master'!$C$2:$C$378)</f>
        <v>61069</v>
      </c>
      <c r="B123" s="138"/>
      <c r="C123" s="138">
        <f t="shared" si="6"/>
        <v>7230</v>
      </c>
      <c r="D123" s="552" t="e">
        <f ca="1">_xludf.IFNA(_xlfn.XLOOKUP(C125,'00_SKU_Master'!$B$2:$B$378,'00_SKU_Master'!$F$2:$F$378,0)*Y125,"")</f>
        <v>#NAME?</v>
      </c>
      <c r="E123" s="552" t="e">
        <f ca="1">_xludf.IFNA(_xlfn.XLOOKUP(C125,'00_SKU_Master'!$B$2:$B$378,'00_SKU_Master'!$F$2:$F$378,0)*Z125,"")</f>
        <v>#NAME?</v>
      </c>
      <c r="F123" s="552" t="e">
        <f ca="1">_xludf.IFNA(_xlfn.XLOOKUP(C125,'00_SKU_Master'!$B$2:$B$378,'00_SKU_Master'!$F$2:$F$378,0)*AA125,"")</f>
        <v>#NAME?</v>
      </c>
      <c r="G123" s="552" t="e">
        <f ca="1">_xludf.IFNA(_xlfn.XLOOKUP(C125,'00_SKU_Master'!$B$2:$B$378,'00_SKU_Master'!$F$2:$F$378,0)*AB125,"")</f>
        <v>#NAME?</v>
      </c>
      <c r="H123" s="552" t="e">
        <f ca="1">_xludf.IFNA(_xlfn.XLOOKUP(C125,'00_SKU_Master'!$B$2:$B$378,'00_SKU_Master'!$F$2:$F$378,0)*AC125,"")</f>
        <v>#NAME?</v>
      </c>
      <c r="I123" s="552" t="e">
        <f ca="1">_xludf.IFNA(_xlfn.XLOOKUP(C125,'00_SKU_Master'!$B$2:$B$378,'00_SKU_Master'!$F$2:$F$378,0)*AD125,"")</f>
        <v>#NAME?</v>
      </c>
      <c r="J123" s="552" t="e">
        <f ca="1">_xludf.IFNA(_xlfn.XLOOKUP(C125,'00_SKU_Master'!$B$2:$B$378,'00_SKU_Master'!$F$2:$F$378,0)*AE125,"")</f>
        <v>#NAME?</v>
      </c>
      <c r="K123" s="553" t="e">
        <f t="shared" ca="1" si="7"/>
        <v>#NAME?</v>
      </c>
      <c r="L123" s="187" t="e">
        <f>_xlfn.XLOOKUP(C125,'00_SKU_Master'!$B$2:$B$378,'00_SKU_Master'!K:K)</f>
        <v>#VALUE!</v>
      </c>
      <c r="M123" s="14">
        <f t="shared" si="8"/>
        <v>7230</v>
      </c>
      <c r="N123" s="147" t="e">
        <f ca="1">_xludf.IFNA(D125/_xlfn.XLOOKUP($M125,'00_SKU_Master'!$B$2:$B$378,'00_SKU_Master'!$M$2:$M$378,0)/$M$2,"0")</f>
        <v>#NAME?</v>
      </c>
      <c r="O123" s="147" t="e">
        <f ca="1">_xludf.IFNA(E125/_xlfn.XLOOKUP($M125,'00_SKU_Master'!$B$2:$B$378,'00_SKU_Master'!$M$2:$M$378,0)/$M$2,"0")</f>
        <v>#NAME?</v>
      </c>
      <c r="P123" s="147" t="e">
        <f ca="1">_xludf.IFNA(F125/_xlfn.XLOOKUP($M125,'00_SKU_Master'!$B$2:$B$378,'00_SKU_Master'!$M$2:$M$378,0)/$M$2,"0")</f>
        <v>#NAME?</v>
      </c>
      <c r="Q123" s="147" t="e">
        <f ca="1">_xludf.IFNA(G125/_xlfn.XLOOKUP($M125,'00_SKU_Master'!$B$2:$B$378,'00_SKU_Master'!$M$2:$M$378,0)/$M$2,"0")</f>
        <v>#NAME?</v>
      </c>
      <c r="R123" s="147" t="e">
        <f ca="1">_xludf.IFNA(H125/_xlfn.XLOOKUP($M125,'00_SKU_Master'!$B$2:$B$378,'00_SKU_Master'!$M$2:$M$378,0)/$M$2,"0")</f>
        <v>#NAME?</v>
      </c>
      <c r="S123" s="147" t="e">
        <f ca="1">_xludf.IFNA(I125/_xlfn.XLOOKUP($M125,'00_SKU_Master'!$B$2:$B$378,'00_SKU_Master'!$M$2:$M$378,0)/$M$2,"0")</f>
        <v>#NAME?</v>
      </c>
      <c r="T123" s="147" t="e">
        <f ca="1">_xludf.IFNA(J125/_xlfn.XLOOKUP($M125,'00_SKU_Master'!$B$2:$B$378,'00_SKU_Master'!$M$2:$M$378,0)/$M$2,"0")</f>
        <v>#NAME?</v>
      </c>
      <c r="U123" s="147" t="e">
        <f t="shared" ca="1" si="9"/>
        <v>#NAME?</v>
      </c>
      <c r="V123" s="4"/>
      <c r="W123" s="4" t="e">
        <f>_xlfn.XLOOKUP(M125,'00_SKU_Master'!$B$2:$B$378,'00_SKU_Master'!D:D)</f>
        <v>#VALUE!</v>
      </c>
      <c r="X123" s="14">
        <f>'05_Daily_Orders'!B124</f>
        <v>7193</v>
      </c>
      <c r="Y123" s="554"/>
      <c r="Z123" s="555"/>
      <c r="AA123" s="555"/>
      <c r="AB123" s="555"/>
      <c r="AC123" s="555">
        <v>0</v>
      </c>
      <c r="AD123" s="555">
        <v>0</v>
      </c>
      <c r="AE123" s="555">
        <v>0</v>
      </c>
      <c r="AF123" s="553">
        <f t="shared" si="10"/>
        <v>0</v>
      </c>
      <c r="AQ123" s="23">
        <v>0</v>
      </c>
      <c r="AR123" s="23">
        <v>0</v>
      </c>
      <c r="AS123" s="23">
        <f t="shared" si="11"/>
        <v>0</v>
      </c>
    </row>
    <row r="124" spans="1:45">
      <c r="A124" s="138">
        <f>_xlfn.XLOOKUP(C126,'00_SKU_Master'!$B$2:$B$378,'00_SKU_Master'!$C$2:$C$378)</f>
        <v>61070</v>
      </c>
      <c r="B124" s="138"/>
      <c r="C124" s="138">
        <f t="shared" si="6"/>
        <v>7231</v>
      </c>
      <c r="D124" s="552" t="e">
        <f ca="1">_xludf.IFNA(_xlfn.XLOOKUP(C126,'00_SKU_Master'!$B$2:$B$378,'00_SKU_Master'!$F$2:$F$378,0)*Y126,"")</f>
        <v>#NAME?</v>
      </c>
      <c r="E124" s="552" t="e">
        <f ca="1">_xludf.IFNA(_xlfn.XLOOKUP(C126,'00_SKU_Master'!$B$2:$B$378,'00_SKU_Master'!$F$2:$F$378,0)*Z126,"")</f>
        <v>#NAME?</v>
      </c>
      <c r="F124" s="552" t="e">
        <f ca="1">_xludf.IFNA(_xlfn.XLOOKUP(C126,'00_SKU_Master'!$B$2:$B$378,'00_SKU_Master'!$F$2:$F$378,0)*AA126,"")</f>
        <v>#NAME?</v>
      </c>
      <c r="G124" s="552" t="e">
        <f ca="1">_xludf.IFNA(_xlfn.XLOOKUP(C126,'00_SKU_Master'!$B$2:$B$378,'00_SKU_Master'!$F$2:$F$378,0)*AB126,"")</f>
        <v>#NAME?</v>
      </c>
      <c r="H124" s="552" t="e">
        <f ca="1">_xludf.IFNA(_xlfn.XLOOKUP(C126,'00_SKU_Master'!$B$2:$B$378,'00_SKU_Master'!$F$2:$F$378,0)*AC126,"")</f>
        <v>#NAME?</v>
      </c>
      <c r="I124" s="552" t="e">
        <f ca="1">_xludf.IFNA(_xlfn.XLOOKUP(C126,'00_SKU_Master'!$B$2:$B$378,'00_SKU_Master'!$F$2:$F$378,0)*AD126,"")</f>
        <v>#NAME?</v>
      </c>
      <c r="J124" s="552" t="e">
        <f ca="1">_xludf.IFNA(_xlfn.XLOOKUP(C126,'00_SKU_Master'!$B$2:$B$378,'00_SKU_Master'!$F$2:$F$378,0)*AE126,"")</f>
        <v>#NAME?</v>
      </c>
      <c r="K124" s="553" t="e">
        <f t="shared" ca="1" si="7"/>
        <v>#NAME?</v>
      </c>
      <c r="L124" s="187" t="e">
        <f>_xlfn.XLOOKUP(C126,'00_SKU_Master'!$B$2:$B$378,'00_SKU_Master'!K:K)</f>
        <v>#VALUE!</v>
      </c>
      <c r="M124" s="14">
        <f t="shared" si="8"/>
        <v>7231</v>
      </c>
      <c r="N124" s="147" t="e">
        <f ca="1">_xludf.IFNA(D126/_xlfn.XLOOKUP($M126,'00_SKU_Master'!$B$2:$B$378,'00_SKU_Master'!$M$2:$M$378,0)/$M$2,"0")</f>
        <v>#NAME?</v>
      </c>
      <c r="O124" s="147" t="e">
        <f ca="1">_xludf.IFNA(E126/_xlfn.XLOOKUP($M126,'00_SKU_Master'!$B$2:$B$378,'00_SKU_Master'!$M$2:$M$378,0)/$M$2,"0")</f>
        <v>#NAME?</v>
      </c>
      <c r="P124" s="147" t="e">
        <f ca="1">_xludf.IFNA(F126/_xlfn.XLOOKUP($M126,'00_SKU_Master'!$B$2:$B$378,'00_SKU_Master'!$M$2:$M$378,0)/$M$2,"0")</f>
        <v>#NAME?</v>
      </c>
      <c r="Q124" s="147" t="e">
        <f ca="1">_xludf.IFNA(G126/_xlfn.XLOOKUP($M126,'00_SKU_Master'!$B$2:$B$378,'00_SKU_Master'!$M$2:$M$378,0)/$M$2,"0")</f>
        <v>#NAME?</v>
      </c>
      <c r="R124" s="147" t="e">
        <f ca="1">_xludf.IFNA(H126/_xlfn.XLOOKUP($M126,'00_SKU_Master'!$B$2:$B$378,'00_SKU_Master'!$M$2:$M$378,0)/$M$2,"0")</f>
        <v>#NAME?</v>
      </c>
      <c r="S124" s="147" t="e">
        <f ca="1">_xludf.IFNA(I126/_xlfn.XLOOKUP($M126,'00_SKU_Master'!$B$2:$B$378,'00_SKU_Master'!$M$2:$M$378,0)/$M$2,"0")</f>
        <v>#NAME?</v>
      </c>
      <c r="T124" s="147" t="e">
        <f ca="1">_xludf.IFNA(J126/_xlfn.XLOOKUP($M126,'00_SKU_Master'!$B$2:$B$378,'00_SKU_Master'!$M$2:$M$378,0)/$M$2,"0")</f>
        <v>#NAME?</v>
      </c>
      <c r="U124" s="147" t="e">
        <f t="shared" ca="1" si="9"/>
        <v>#NAME?</v>
      </c>
      <c r="V124" s="4"/>
      <c r="W124" s="4" t="e">
        <f>_xlfn.XLOOKUP(M126,'00_SKU_Master'!$B$2:$B$378,'00_SKU_Master'!D:D)</f>
        <v>#VALUE!</v>
      </c>
      <c r="X124" s="14">
        <f>'05_Daily_Orders'!B125</f>
        <v>7229</v>
      </c>
      <c r="Y124" s="554"/>
      <c r="Z124" s="555"/>
      <c r="AA124" s="555"/>
      <c r="AB124" s="555"/>
      <c r="AC124" s="555">
        <v>0</v>
      </c>
      <c r="AD124" s="555">
        <v>0</v>
      </c>
      <c r="AE124" s="555">
        <v>0</v>
      </c>
      <c r="AF124" s="553">
        <f t="shared" si="10"/>
        <v>0</v>
      </c>
      <c r="AQ124" s="23">
        <v>0</v>
      </c>
      <c r="AR124" s="23">
        <v>0</v>
      </c>
      <c r="AS124" s="23">
        <f t="shared" si="11"/>
        <v>0</v>
      </c>
    </row>
    <row r="125" spans="1:45">
      <c r="A125" s="138">
        <f>_xlfn.XLOOKUP(C127,'00_SKU_Master'!$B$2:$B$378,'00_SKU_Master'!$C$2:$C$378)</f>
        <v>61079</v>
      </c>
      <c r="B125" s="138"/>
      <c r="C125" s="138">
        <f t="shared" si="6"/>
        <v>7232</v>
      </c>
      <c r="D125" s="552" t="e">
        <f ca="1">_xludf.IFNA(_xlfn.XLOOKUP(C127,'00_SKU_Master'!$B$2:$B$378,'00_SKU_Master'!$F$2:$F$378,0)*Y127,"")</f>
        <v>#NAME?</v>
      </c>
      <c r="E125" s="552" t="e">
        <f ca="1">_xludf.IFNA(_xlfn.XLOOKUP(C127,'00_SKU_Master'!$B$2:$B$378,'00_SKU_Master'!$F$2:$F$378,0)*Z127,"")</f>
        <v>#NAME?</v>
      </c>
      <c r="F125" s="552" t="e">
        <f ca="1">_xludf.IFNA(_xlfn.XLOOKUP(C127,'00_SKU_Master'!$B$2:$B$378,'00_SKU_Master'!$F$2:$F$378,0)*AA127,"")</f>
        <v>#NAME?</v>
      </c>
      <c r="G125" s="552" t="e">
        <f ca="1">_xludf.IFNA(_xlfn.XLOOKUP(C127,'00_SKU_Master'!$B$2:$B$378,'00_SKU_Master'!$F$2:$F$378,0)*AB127,"")</f>
        <v>#NAME?</v>
      </c>
      <c r="H125" s="552" t="e">
        <f ca="1">_xludf.IFNA(_xlfn.XLOOKUP(C127,'00_SKU_Master'!$B$2:$B$378,'00_SKU_Master'!$F$2:$F$378,0)*AC127,"")</f>
        <v>#NAME?</v>
      </c>
      <c r="I125" s="552" t="e">
        <f ca="1">_xludf.IFNA(_xlfn.XLOOKUP(C127,'00_SKU_Master'!$B$2:$B$378,'00_SKU_Master'!$F$2:$F$378,0)*AD127,"")</f>
        <v>#NAME?</v>
      </c>
      <c r="J125" s="552" t="e">
        <f ca="1">_xludf.IFNA(_xlfn.XLOOKUP(C127,'00_SKU_Master'!$B$2:$B$378,'00_SKU_Master'!$F$2:$F$378,0)*AE127,"")</f>
        <v>#NAME?</v>
      </c>
      <c r="K125" s="553" t="e">
        <f t="shared" ca="1" si="7"/>
        <v>#NAME?</v>
      </c>
      <c r="L125" s="187" t="e">
        <f>_xlfn.XLOOKUP(C127,'00_SKU_Master'!$B$2:$B$378,'00_SKU_Master'!K:K)</f>
        <v>#VALUE!</v>
      </c>
      <c r="M125" s="14">
        <f t="shared" si="8"/>
        <v>7232</v>
      </c>
      <c r="N125" s="147" t="e">
        <f ca="1">_xludf.IFNA(D127/_xlfn.XLOOKUP($M127,'00_SKU_Master'!$B$2:$B$378,'00_SKU_Master'!$M$2:$M$378,0)/$M$2,"0")</f>
        <v>#NAME?</v>
      </c>
      <c r="O125" s="147" t="e">
        <f ca="1">_xludf.IFNA(E127/_xlfn.XLOOKUP($M127,'00_SKU_Master'!$B$2:$B$378,'00_SKU_Master'!$M$2:$M$378,0)/$M$2,"0")</f>
        <v>#NAME?</v>
      </c>
      <c r="P125" s="147" t="e">
        <f ca="1">_xludf.IFNA(F127/_xlfn.XLOOKUP($M127,'00_SKU_Master'!$B$2:$B$378,'00_SKU_Master'!$M$2:$M$378,0)/$M$2,"0")</f>
        <v>#NAME?</v>
      </c>
      <c r="Q125" s="147" t="e">
        <f ca="1">_xludf.IFNA(G127/_xlfn.XLOOKUP($M127,'00_SKU_Master'!$B$2:$B$378,'00_SKU_Master'!$M$2:$M$378,0)/$M$2,"0")</f>
        <v>#NAME?</v>
      </c>
      <c r="R125" s="147" t="e">
        <f ca="1">_xludf.IFNA(H127/_xlfn.XLOOKUP($M127,'00_SKU_Master'!$B$2:$B$378,'00_SKU_Master'!$M$2:$M$378,0)/$M$2,"0")</f>
        <v>#NAME?</v>
      </c>
      <c r="S125" s="147" t="e">
        <f ca="1">_xludf.IFNA(I127/_xlfn.XLOOKUP($M127,'00_SKU_Master'!$B$2:$B$378,'00_SKU_Master'!$M$2:$M$378,0)/$M$2,"0")</f>
        <v>#NAME?</v>
      </c>
      <c r="T125" s="147" t="e">
        <f ca="1">_xludf.IFNA(J127/_xlfn.XLOOKUP($M127,'00_SKU_Master'!$B$2:$B$378,'00_SKU_Master'!$M$2:$M$378,0)/$M$2,"0")</f>
        <v>#NAME?</v>
      </c>
      <c r="U125" s="147" t="e">
        <f t="shared" ca="1" si="9"/>
        <v>#NAME?</v>
      </c>
      <c r="V125" s="4"/>
      <c r="W125" s="4" t="e">
        <f>_xlfn.XLOOKUP(M127,'00_SKU_Master'!$B$2:$B$378,'00_SKU_Master'!D:D)</f>
        <v>#VALUE!</v>
      </c>
      <c r="X125" s="14">
        <f>'05_Daily_Orders'!B126</f>
        <v>7230</v>
      </c>
      <c r="Y125" s="554"/>
      <c r="Z125" s="555"/>
      <c r="AA125" s="555"/>
      <c r="AB125" s="555"/>
      <c r="AC125" s="555">
        <v>0</v>
      </c>
      <c r="AD125" s="555">
        <v>0</v>
      </c>
      <c r="AE125" s="555">
        <v>0</v>
      </c>
      <c r="AF125" s="553">
        <f t="shared" si="10"/>
        <v>0</v>
      </c>
      <c r="AQ125" s="23">
        <v>0</v>
      </c>
      <c r="AR125" s="23">
        <v>0</v>
      </c>
      <c r="AS125" s="23">
        <f t="shared" si="11"/>
        <v>0</v>
      </c>
    </row>
    <row r="126" spans="1:45">
      <c r="A126" s="138">
        <f>_xlfn.XLOOKUP(C128,'00_SKU_Master'!$B$2:$B$378,'00_SKU_Master'!$C$2:$C$378)</f>
        <v>61087</v>
      </c>
      <c r="B126" s="138"/>
      <c r="C126" s="138">
        <f t="shared" si="6"/>
        <v>7233</v>
      </c>
      <c r="D126" s="552" t="e">
        <f ca="1">_xludf.IFNA(_xlfn.XLOOKUP(C128,'00_SKU_Master'!$B$2:$B$378,'00_SKU_Master'!$F$2:$F$378,0)*Y128,"")</f>
        <v>#NAME?</v>
      </c>
      <c r="E126" s="552" t="e">
        <f ca="1">_xludf.IFNA(_xlfn.XLOOKUP(C128,'00_SKU_Master'!$B$2:$B$378,'00_SKU_Master'!$F$2:$F$378,0)*Z128,"")</f>
        <v>#NAME?</v>
      </c>
      <c r="F126" s="552" t="e">
        <f ca="1">_xludf.IFNA(_xlfn.XLOOKUP(C128,'00_SKU_Master'!$B$2:$B$378,'00_SKU_Master'!$F$2:$F$378,0)*AA128,"")</f>
        <v>#NAME?</v>
      </c>
      <c r="G126" s="552" t="e">
        <f ca="1">_xludf.IFNA(_xlfn.XLOOKUP(C128,'00_SKU_Master'!$B$2:$B$378,'00_SKU_Master'!$F$2:$F$378,0)*AB128,"")</f>
        <v>#NAME?</v>
      </c>
      <c r="H126" s="552" t="e">
        <f ca="1">_xludf.IFNA(_xlfn.XLOOKUP(C128,'00_SKU_Master'!$B$2:$B$378,'00_SKU_Master'!$F$2:$F$378,0)*AC128,"")</f>
        <v>#NAME?</v>
      </c>
      <c r="I126" s="552" t="e">
        <f ca="1">_xludf.IFNA(_xlfn.XLOOKUP(C128,'00_SKU_Master'!$B$2:$B$378,'00_SKU_Master'!$F$2:$F$378,0)*AD128,"")</f>
        <v>#NAME?</v>
      </c>
      <c r="J126" s="552" t="e">
        <f ca="1">_xludf.IFNA(_xlfn.XLOOKUP(C128,'00_SKU_Master'!$B$2:$B$378,'00_SKU_Master'!$F$2:$F$378,0)*AE128,"")</f>
        <v>#NAME?</v>
      </c>
      <c r="K126" s="553" t="e">
        <f t="shared" ca="1" si="7"/>
        <v>#NAME?</v>
      </c>
      <c r="L126" s="187" t="e">
        <f>_xlfn.XLOOKUP(C128,'00_SKU_Master'!$B$2:$B$378,'00_SKU_Master'!K:K)</f>
        <v>#VALUE!</v>
      </c>
      <c r="M126" s="14">
        <f t="shared" si="8"/>
        <v>7233</v>
      </c>
      <c r="N126" s="147" t="e">
        <f ca="1">_xludf.IFNA(D128/_xlfn.XLOOKUP($M128,'00_SKU_Master'!$B$2:$B$378,'00_SKU_Master'!$M$2:$M$378,0)/$M$2,"0")</f>
        <v>#NAME?</v>
      </c>
      <c r="O126" s="147" t="e">
        <f ca="1">_xludf.IFNA(E128/_xlfn.XLOOKUP($M128,'00_SKU_Master'!$B$2:$B$378,'00_SKU_Master'!$M$2:$M$378,0)/$M$2,"0")</f>
        <v>#NAME?</v>
      </c>
      <c r="P126" s="147" t="e">
        <f ca="1">_xludf.IFNA(F128/_xlfn.XLOOKUP($M128,'00_SKU_Master'!$B$2:$B$378,'00_SKU_Master'!$M$2:$M$378,0)/$M$2,"0")</f>
        <v>#NAME?</v>
      </c>
      <c r="Q126" s="147" t="e">
        <f ca="1">_xludf.IFNA(G128/_xlfn.XLOOKUP($M128,'00_SKU_Master'!$B$2:$B$378,'00_SKU_Master'!$M$2:$M$378,0)/$M$2,"0")</f>
        <v>#NAME?</v>
      </c>
      <c r="R126" s="147" t="e">
        <f ca="1">_xludf.IFNA(H128/_xlfn.XLOOKUP($M128,'00_SKU_Master'!$B$2:$B$378,'00_SKU_Master'!$M$2:$M$378,0)/$M$2,"0")</f>
        <v>#NAME?</v>
      </c>
      <c r="S126" s="147" t="e">
        <f ca="1">_xludf.IFNA(I128/_xlfn.XLOOKUP($M128,'00_SKU_Master'!$B$2:$B$378,'00_SKU_Master'!$M$2:$M$378,0)/$M$2,"0")</f>
        <v>#NAME?</v>
      </c>
      <c r="T126" s="147" t="e">
        <f ca="1">_xludf.IFNA(J128/_xlfn.XLOOKUP($M128,'00_SKU_Master'!$B$2:$B$378,'00_SKU_Master'!$M$2:$M$378,0)/$M$2,"0")</f>
        <v>#NAME?</v>
      </c>
      <c r="U126" s="147" t="e">
        <f t="shared" ca="1" si="9"/>
        <v>#NAME?</v>
      </c>
      <c r="V126" s="4"/>
      <c r="W126" s="4" t="e">
        <f>_xlfn.XLOOKUP(M128,'00_SKU_Master'!$B$2:$B$378,'00_SKU_Master'!D:D)</f>
        <v>#VALUE!</v>
      </c>
      <c r="X126" s="14">
        <f>'05_Daily_Orders'!B127</f>
        <v>7231</v>
      </c>
      <c r="Y126" s="554"/>
      <c r="Z126" s="555"/>
      <c r="AA126" s="555"/>
      <c r="AB126" s="555"/>
      <c r="AC126" s="555">
        <v>0</v>
      </c>
      <c r="AD126" s="555">
        <v>0</v>
      </c>
      <c r="AE126" s="555">
        <v>0</v>
      </c>
      <c r="AF126" s="553">
        <f t="shared" si="10"/>
        <v>0</v>
      </c>
      <c r="AQ126" s="23">
        <v>0</v>
      </c>
      <c r="AR126" s="23">
        <v>0</v>
      </c>
      <c r="AS126" s="23">
        <f t="shared" si="11"/>
        <v>0</v>
      </c>
    </row>
    <row r="127" spans="1:45">
      <c r="A127" s="138">
        <f>_xlfn.XLOOKUP(C129,'00_SKU_Master'!$B$2:$B$378,'00_SKU_Master'!$C$2:$C$378)</f>
        <v>61074</v>
      </c>
      <c r="B127" s="138"/>
      <c r="C127" s="138">
        <f t="shared" si="6"/>
        <v>7234</v>
      </c>
      <c r="D127" s="552" t="e">
        <f ca="1">_xludf.IFNA(_xlfn.XLOOKUP(C129,'00_SKU_Master'!$B$2:$B$378,'00_SKU_Master'!$F$2:$F$378,0)*Y129,"")</f>
        <v>#NAME?</v>
      </c>
      <c r="E127" s="552" t="e">
        <f ca="1">_xludf.IFNA(_xlfn.XLOOKUP(C129,'00_SKU_Master'!$B$2:$B$378,'00_SKU_Master'!$F$2:$F$378,0)*Z129,"")</f>
        <v>#NAME?</v>
      </c>
      <c r="F127" s="552" t="e">
        <f ca="1">_xludf.IFNA(_xlfn.XLOOKUP(C129,'00_SKU_Master'!$B$2:$B$378,'00_SKU_Master'!$F$2:$F$378,0)*AA129,"")</f>
        <v>#NAME?</v>
      </c>
      <c r="G127" s="552" t="e">
        <f ca="1">_xludf.IFNA(_xlfn.XLOOKUP(C129,'00_SKU_Master'!$B$2:$B$378,'00_SKU_Master'!$F$2:$F$378,0)*AB129,"")</f>
        <v>#NAME?</v>
      </c>
      <c r="H127" s="552" t="e">
        <f ca="1">_xludf.IFNA(_xlfn.XLOOKUP(C129,'00_SKU_Master'!$B$2:$B$378,'00_SKU_Master'!$F$2:$F$378,0)*AC129,"")</f>
        <v>#NAME?</v>
      </c>
      <c r="I127" s="552" t="e">
        <f ca="1">_xludf.IFNA(_xlfn.XLOOKUP(C129,'00_SKU_Master'!$B$2:$B$378,'00_SKU_Master'!$F$2:$F$378,0)*AD129,"")</f>
        <v>#NAME?</v>
      </c>
      <c r="J127" s="552" t="e">
        <f ca="1">_xludf.IFNA(_xlfn.XLOOKUP(C129,'00_SKU_Master'!$B$2:$B$378,'00_SKU_Master'!$F$2:$F$378,0)*AE129,"")</f>
        <v>#NAME?</v>
      </c>
      <c r="K127" s="553" t="e">
        <f t="shared" ca="1" si="7"/>
        <v>#NAME?</v>
      </c>
      <c r="L127" s="187" t="e">
        <f>_xlfn.XLOOKUP(C129,'00_SKU_Master'!$B$2:$B$378,'00_SKU_Master'!K:K)</f>
        <v>#VALUE!</v>
      </c>
      <c r="M127" s="14">
        <f t="shared" si="8"/>
        <v>7234</v>
      </c>
      <c r="N127" s="147" t="e">
        <f ca="1">_xludf.IFNA(D129/_xlfn.XLOOKUP($M129,'00_SKU_Master'!$B$2:$B$378,'00_SKU_Master'!$M$2:$M$378,0)/$M$2,"0")</f>
        <v>#NAME?</v>
      </c>
      <c r="O127" s="147" t="e">
        <f ca="1">_xludf.IFNA(E129/_xlfn.XLOOKUP($M129,'00_SKU_Master'!$B$2:$B$378,'00_SKU_Master'!$M$2:$M$378,0)/$M$2,"0")</f>
        <v>#NAME?</v>
      </c>
      <c r="P127" s="147" t="e">
        <f ca="1">_xludf.IFNA(F129/_xlfn.XLOOKUP($M129,'00_SKU_Master'!$B$2:$B$378,'00_SKU_Master'!$M$2:$M$378,0)/$M$2,"0")</f>
        <v>#NAME?</v>
      </c>
      <c r="Q127" s="147" t="e">
        <f ca="1">_xludf.IFNA(G129/_xlfn.XLOOKUP($M129,'00_SKU_Master'!$B$2:$B$378,'00_SKU_Master'!$M$2:$M$378,0)/$M$2,"0")</f>
        <v>#NAME?</v>
      </c>
      <c r="R127" s="147" t="e">
        <f ca="1">_xludf.IFNA(H129/_xlfn.XLOOKUP($M129,'00_SKU_Master'!$B$2:$B$378,'00_SKU_Master'!$M$2:$M$378,0)/$M$2,"0")</f>
        <v>#NAME?</v>
      </c>
      <c r="S127" s="147" t="e">
        <f ca="1">_xludf.IFNA(I129/_xlfn.XLOOKUP($M129,'00_SKU_Master'!$B$2:$B$378,'00_SKU_Master'!$M$2:$M$378,0)/$M$2,"0")</f>
        <v>#NAME?</v>
      </c>
      <c r="T127" s="147" t="e">
        <f ca="1">_xludf.IFNA(J129/_xlfn.XLOOKUP($M129,'00_SKU_Master'!$B$2:$B$378,'00_SKU_Master'!$M$2:$M$378,0)/$M$2,"0")</f>
        <v>#NAME?</v>
      </c>
      <c r="U127" s="147" t="e">
        <f t="shared" ca="1" si="9"/>
        <v>#NAME?</v>
      </c>
      <c r="V127" s="4"/>
      <c r="W127" s="4" t="e">
        <f>_xlfn.XLOOKUP(M129,'00_SKU_Master'!$B$2:$B$378,'00_SKU_Master'!D:D)</f>
        <v>#VALUE!</v>
      </c>
      <c r="X127" s="14">
        <f>'05_Daily_Orders'!B128</f>
        <v>7232</v>
      </c>
      <c r="Y127" s="554"/>
      <c r="Z127" s="555"/>
      <c r="AA127" s="555"/>
      <c r="AB127" s="555"/>
      <c r="AC127" s="555">
        <v>0</v>
      </c>
      <c r="AD127" s="555">
        <v>0</v>
      </c>
      <c r="AE127" s="555">
        <v>0</v>
      </c>
      <c r="AF127" s="553">
        <f t="shared" si="10"/>
        <v>0</v>
      </c>
      <c r="AQ127" s="23">
        <v>0</v>
      </c>
      <c r="AR127" s="23">
        <v>0</v>
      </c>
      <c r="AS127" s="23">
        <f t="shared" si="11"/>
        <v>0</v>
      </c>
    </row>
    <row r="128" spans="1:45">
      <c r="A128" s="138">
        <f>_xlfn.XLOOKUP(C130,'00_SKU_Master'!$B$2:$B$378,'00_SKU_Master'!$C$2:$C$378)</f>
        <v>61071</v>
      </c>
      <c r="B128" s="138"/>
      <c r="C128" s="138">
        <f t="shared" si="6"/>
        <v>7235</v>
      </c>
      <c r="D128" s="552" t="e">
        <f ca="1">_xludf.IFNA(_xlfn.XLOOKUP(C130,'00_SKU_Master'!$B$2:$B$378,'00_SKU_Master'!$F$2:$F$378,0)*Y130,"")</f>
        <v>#NAME?</v>
      </c>
      <c r="E128" s="552" t="e">
        <f ca="1">_xludf.IFNA(_xlfn.XLOOKUP(C130,'00_SKU_Master'!$B$2:$B$378,'00_SKU_Master'!$F$2:$F$378,0)*Z130,"")</f>
        <v>#NAME?</v>
      </c>
      <c r="F128" s="552" t="e">
        <f ca="1">_xludf.IFNA(_xlfn.XLOOKUP(C130,'00_SKU_Master'!$B$2:$B$378,'00_SKU_Master'!$F$2:$F$378,0)*AA130,"")</f>
        <v>#NAME?</v>
      </c>
      <c r="G128" s="552" t="e">
        <f ca="1">_xludf.IFNA(_xlfn.XLOOKUP(C130,'00_SKU_Master'!$B$2:$B$378,'00_SKU_Master'!$F$2:$F$378,0)*AB130,"")</f>
        <v>#NAME?</v>
      </c>
      <c r="H128" s="552" t="e">
        <f ca="1">_xludf.IFNA(_xlfn.XLOOKUP(C130,'00_SKU_Master'!$B$2:$B$378,'00_SKU_Master'!$F$2:$F$378,0)*AC130,"")</f>
        <v>#NAME?</v>
      </c>
      <c r="I128" s="552" t="e">
        <f ca="1">_xludf.IFNA(_xlfn.XLOOKUP(C130,'00_SKU_Master'!$B$2:$B$378,'00_SKU_Master'!$F$2:$F$378,0)*AD130,"")</f>
        <v>#NAME?</v>
      </c>
      <c r="J128" s="552" t="e">
        <f ca="1">_xludf.IFNA(_xlfn.XLOOKUP(C130,'00_SKU_Master'!$B$2:$B$378,'00_SKU_Master'!$F$2:$F$378,0)*AE130,"")</f>
        <v>#NAME?</v>
      </c>
      <c r="K128" s="553" t="e">
        <f t="shared" ca="1" si="7"/>
        <v>#NAME?</v>
      </c>
      <c r="L128" s="187" t="e">
        <f>_xlfn.XLOOKUP(C130,'00_SKU_Master'!$B$2:$B$378,'00_SKU_Master'!K:K)</f>
        <v>#VALUE!</v>
      </c>
      <c r="M128" s="14">
        <f t="shared" si="8"/>
        <v>7235</v>
      </c>
      <c r="N128" s="147" t="e">
        <f ca="1">_xludf.IFNA(D130/_xlfn.XLOOKUP($M130,'00_SKU_Master'!$B$2:$B$378,'00_SKU_Master'!$M$2:$M$378,0)/$M$2,"0")</f>
        <v>#NAME?</v>
      </c>
      <c r="O128" s="147" t="e">
        <f ca="1">_xludf.IFNA(E130/_xlfn.XLOOKUP($M130,'00_SKU_Master'!$B$2:$B$378,'00_SKU_Master'!$M$2:$M$378,0)/$M$2,"0")</f>
        <v>#NAME?</v>
      </c>
      <c r="P128" s="147" t="e">
        <f ca="1">_xludf.IFNA(F130/_xlfn.XLOOKUP($M130,'00_SKU_Master'!$B$2:$B$378,'00_SKU_Master'!$M$2:$M$378,0)/$M$2,"0")</f>
        <v>#NAME?</v>
      </c>
      <c r="Q128" s="147" t="e">
        <f ca="1">_xludf.IFNA(G130/_xlfn.XLOOKUP($M130,'00_SKU_Master'!$B$2:$B$378,'00_SKU_Master'!$M$2:$M$378,0)/$M$2,"0")</f>
        <v>#NAME?</v>
      </c>
      <c r="R128" s="147" t="e">
        <f ca="1">_xludf.IFNA(H130/_xlfn.XLOOKUP($M130,'00_SKU_Master'!$B$2:$B$378,'00_SKU_Master'!$M$2:$M$378,0)/$M$2,"0")</f>
        <v>#NAME?</v>
      </c>
      <c r="S128" s="147" t="e">
        <f ca="1">_xludf.IFNA(I130/_xlfn.XLOOKUP($M130,'00_SKU_Master'!$B$2:$B$378,'00_SKU_Master'!$M$2:$M$378,0)/$M$2,"0")</f>
        <v>#NAME?</v>
      </c>
      <c r="T128" s="147" t="e">
        <f ca="1">_xludf.IFNA(J130/_xlfn.XLOOKUP($M130,'00_SKU_Master'!$B$2:$B$378,'00_SKU_Master'!$M$2:$M$378,0)/$M$2,"0")</f>
        <v>#NAME?</v>
      </c>
      <c r="U128" s="147" t="e">
        <f t="shared" ca="1" si="9"/>
        <v>#NAME?</v>
      </c>
      <c r="V128" s="4"/>
      <c r="W128" s="4" t="e">
        <f>_xlfn.XLOOKUP(M130,'00_SKU_Master'!$B$2:$B$378,'00_SKU_Master'!D:D)</f>
        <v>#VALUE!</v>
      </c>
      <c r="X128" s="14">
        <f>'05_Daily_Orders'!B129</f>
        <v>7233</v>
      </c>
      <c r="Y128" s="554"/>
      <c r="Z128" s="555"/>
      <c r="AA128" s="555"/>
      <c r="AB128" s="555"/>
      <c r="AC128" s="555">
        <v>0</v>
      </c>
      <c r="AD128" s="555">
        <v>0</v>
      </c>
      <c r="AE128" s="555">
        <v>0</v>
      </c>
      <c r="AF128" s="553">
        <f t="shared" si="10"/>
        <v>0</v>
      </c>
      <c r="AQ128" s="23">
        <v>0</v>
      </c>
      <c r="AR128" s="23">
        <v>0</v>
      </c>
      <c r="AS128" s="23">
        <f t="shared" si="11"/>
        <v>0</v>
      </c>
    </row>
    <row r="129" spans="1:45">
      <c r="A129" s="138">
        <f>_xlfn.XLOOKUP(C131,'00_SKU_Master'!$B$2:$B$378,'00_SKU_Master'!$C$2:$C$378)</f>
        <v>61016</v>
      </c>
      <c r="B129" s="138"/>
      <c r="C129" s="138">
        <f t="shared" si="6"/>
        <v>7236</v>
      </c>
      <c r="D129" s="552" t="e">
        <f ca="1">_xludf.IFNA(_xlfn.XLOOKUP(C131,'00_SKU_Master'!$B$2:$B$378,'00_SKU_Master'!$F$2:$F$378,0)*Y131,"")</f>
        <v>#NAME?</v>
      </c>
      <c r="E129" s="552" t="e">
        <f ca="1">_xludf.IFNA(_xlfn.XLOOKUP(C131,'00_SKU_Master'!$B$2:$B$378,'00_SKU_Master'!$F$2:$F$378,0)*Z131,"")</f>
        <v>#NAME?</v>
      </c>
      <c r="F129" s="552" t="e">
        <f ca="1">_xludf.IFNA(_xlfn.XLOOKUP(C131,'00_SKU_Master'!$B$2:$B$378,'00_SKU_Master'!$F$2:$F$378,0)*AA131,"")</f>
        <v>#NAME?</v>
      </c>
      <c r="G129" s="552" t="e">
        <f ca="1">_xludf.IFNA(_xlfn.XLOOKUP(C131,'00_SKU_Master'!$B$2:$B$378,'00_SKU_Master'!$F$2:$F$378,0)*AB131,"")</f>
        <v>#NAME?</v>
      </c>
      <c r="H129" s="552" t="e">
        <f ca="1">_xludf.IFNA(_xlfn.XLOOKUP(C131,'00_SKU_Master'!$B$2:$B$378,'00_SKU_Master'!$F$2:$F$378,0)*AC131,"")</f>
        <v>#NAME?</v>
      </c>
      <c r="I129" s="552" t="e">
        <f ca="1">_xludf.IFNA(_xlfn.XLOOKUP(C131,'00_SKU_Master'!$B$2:$B$378,'00_SKU_Master'!$F$2:$F$378,0)*AD131,"")</f>
        <v>#NAME?</v>
      </c>
      <c r="J129" s="552" t="e">
        <f ca="1">_xludf.IFNA(_xlfn.XLOOKUP(C131,'00_SKU_Master'!$B$2:$B$378,'00_SKU_Master'!$F$2:$F$378,0)*AE131,"")</f>
        <v>#NAME?</v>
      </c>
      <c r="K129" s="553" t="e">
        <f t="shared" ca="1" si="7"/>
        <v>#NAME?</v>
      </c>
      <c r="L129" s="187" t="e">
        <f>_xlfn.XLOOKUP(C131,'00_SKU_Master'!$B$2:$B$378,'00_SKU_Master'!K:K)</f>
        <v>#VALUE!</v>
      </c>
      <c r="M129" s="14">
        <f t="shared" si="8"/>
        <v>7236</v>
      </c>
      <c r="N129" s="147" t="e">
        <f ca="1">_xludf.IFNA(D131/_xlfn.XLOOKUP($M131,'00_SKU_Master'!$B$2:$B$378,'00_SKU_Master'!$M$2:$M$378,0)/$M$2,"0")</f>
        <v>#NAME?</v>
      </c>
      <c r="O129" s="147" t="e">
        <f ca="1">_xludf.IFNA(E131/_xlfn.XLOOKUP($M131,'00_SKU_Master'!$B$2:$B$378,'00_SKU_Master'!$M$2:$M$378,0)/$M$2,"0")</f>
        <v>#NAME?</v>
      </c>
      <c r="P129" s="147" t="e">
        <f ca="1">_xludf.IFNA(F131/_xlfn.XLOOKUP($M131,'00_SKU_Master'!$B$2:$B$378,'00_SKU_Master'!$M$2:$M$378,0)/$M$2,"0")</f>
        <v>#NAME?</v>
      </c>
      <c r="Q129" s="147" t="e">
        <f ca="1">_xludf.IFNA(G131/_xlfn.XLOOKUP($M131,'00_SKU_Master'!$B$2:$B$378,'00_SKU_Master'!$M$2:$M$378,0)/$M$2,"0")</f>
        <v>#NAME?</v>
      </c>
      <c r="R129" s="147" t="e">
        <f ca="1">_xludf.IFNA(H131/_xlfn.XLOOKUP($M131,'00_SKU_Master'!$B$2:$B$378,'00_SKU_Master'!$M$2:$M$378,0)/$M$2,"0")</f>
        <v>#NAME?</v>
      </c>
      <c r="S129" s="147" t="e">
        <f ca="1">_xludf.IFNA(I131/_xlfn.XLOOKUP($M131,'00_SKU_Master'!$B$2:$B$378,'00_SKU_Master'!$M$2:$M$378,0)/$M$2,"0")</f>
        <v>#NAME?</v>
      </c>
      <c r="T129" s="147" t="e">
        <f ca="1">_xludf.IFNA(J131/_xlfn.XLOOKUP($M131,'00_SKU_Master'!$B$2:$B$378,'00_SKU_Master'!$M$2:$M$378,0)/$M$2,"0")</f>
        <v>#NAME?</v>
      </c>
      <c r="U129" s="147" t="e">
        <f t="shared" ca="1" si="9"/>
        <v>#NAME?</v>
      </c>
      <c r="V129" s="4"/>
      <c r="W129" s="4" t="e">
        <f>_xlfn.XLOOKUP(M131,'00_SKU_Master'!$B$2:$B$378,'00_SKU_Master'!D:D)</f>
        <v>#VALUE!</v>
      </c>
      <c r="X129" s="14">
        <f>'05_Daily_Orders'!B130</f>
        <v>7234</v>
      </c>
      <c r="Y129" s="554"/>
      <c r="Z129" s="555"/>
      <c r="AA129" s="555"/>
      <c r="AB129" s="555"/>
      <c r="AC129" s="555">
        <v>0</v>
      </c>
      <c r="AD129" s="555">
        <v>0</v>
      </c>
      <c r="AE129" s="555">
        <v>0</v>
      </c>
      <c r="AF129" s="553">
        <f t="shared" si="10"/>
        <v>0</v>
      </c>
      <c r="AQ129" s="23">
        <v>0</v>
      </c>
      <c r="AR129" s="23">
        <v>0</v>
      </c>
      <c r="AS129" s="23">
        <f t="shared" si="11"/>
        <v>0</v>
      </c>
    </row>
    <row r="130" spans="1:45">
      <c r="A130" s="138">
        <f>_xlfn.XLOOKUP(C132,'00_SKU_Master'!$B$2:$B$378,'00_SKU_Master'!$C$2:$C$378)</f>
        <v>203151</v>
      </c>
      <c r="B130" s="138"/>
      <c r="C130" s="138">
        <f t="shared" ref="C130:C193" si="12">X132</f>
        <v>7237</v>
      </c>
      <c r="D130" s="552" t="e">
        <f ca="1">_xludf.IFNA(_xlfn.XLOOKUP(C132,'00_SKU_Master'!$B$2:$B$378,'00_SKU_Master'!$F$2:$F$378,0)*Y132,"")</f>
        <v>#NAME?</v>
      </c>
      <c r="E130" s="552" t="e">
        <f ca="1">_xludf.IFNA(_xlfn.XLOOKUP(C132,'00_SKU_Master'!$B$2:$B$378,'00_SKU_Master'!$F$2:$F$378,0)*Z132,"")</f>
        <v>#NAME?</v>
      </c>
      <c r="F130" s="552" t="e">
        <f ca="1">_xludf.IFNA(_xlfn.XLOOKUP(C132,'00_SKU_Master'!$B$2:$B$378,'00_SKU_Master'!$F$2:$F$378,0)*AA132,"")</f>
        <v>#NAME?</v>
      </c>
      <c r="G130" s="552" t="e">
        <f ca="1">_xludf.IFNA(_xlfn.XLOOKUP(C132,'00_SKU_Master'!$B$2:$B$378,'00_SKU_Master'!$F$2:$F$378,0)*AB132,"")</f>
        <v>#NAME?</v>
      </c>
      <c r="H130" s="552" t="e">
        <f ca="1">_xludf.IFNA(_xlfn.XLOOKUP(C132,'00_SKU_Master'!$B$2:$B$378,'00_SKU_Master'!$F$2:$F$378,0)*AC132,"")</f>
        <v>#NAME?</v>
      </c>
      <c r="I130" s="552" t="e">
        <f ca="1">_xludf.IFNA(_xlfn.XLOOKUP(C132,'00_SKU_Master'!$B$2:$B$378,'00_SKU_Master'!$F$2:$F$378,0)*AD132,"")</f>
        <v>#NAME?</v>
      </c>
      <c r="J130" s="552" t="e">
        <f ca="1">_xludf.IFNA(_xlfn.XLOOKUP(C132,'00_SKU_Master'!$B$2:$B$378,'00_SKU_Master'!$F$2:$F$378,0)*AE132,"")</f>
        <v>#NAME?</v>
      </c>
      <c r="K130" s="553" t="e">
        <f t="shared" ref="K130:K193" ca="1" si="13">SUM(D132:J132)</f>
        <v>#NAME?</v>
      </c>
      <c r="L130" s="187" t="e">
        <f>_xlfn.XLOOKUP(C132,'00_SKU_Master'!$B$2:$B$378,'00_SKU_Master'!K:K)</f>
        <v>#VALUE!</v>
      </c>
      <c r="M130" s="14">
        <f t="shared" ref="M130:M193" si="14">X132</f>
        <v>7237</v>
      </c>
      <c r="N130" s="147" t="e">
        <f ca="1">_xludf.IFNA(D132/_xlfn.XLOOKUP($M132,'00_SKU_Master'!$B$2:$B$378,'00_SKU_Master'!$M$2:$M$378,0)/$M$2,"0")</f>
        <v>#NAME?</v>
      </c>
      <c r="O130" s="147" t="e">
        <f ca="1">_xludf.IFNA(E132/_xlfn.XLOOKUP($M132,'00_SKU_Master'!$B$2:$B$378,'00_SKU_Master'!$M$2:$M$378,0)/$M$2,"0")</f>
        <v>#NAME?</v>
      </c>
      <c r="P130" s="147" t="e">
        <f ca="1">_xludf.IFNA(F132/_xlfn.XLOOKUP($M132,'00_SKU_Master'!$B$2:$B$378,'00_SKU_Master'!$M$2:$M$378,0)/$M$2,"0")</f>
        <v>#NAME?</v>
      </c>
      <c r="Q130" s="147" t="e">
        <f ca="1">_xludf.IFNA(G132/_xlfn.XLOOKUP($M132,'00_SKU_Master'!$B$2:$B$378,'00_SKU_Master'!$M$2:$M$378,0)/$M$2,"0")</f>
        <v>#NAME?</v>
      </c>
      <c r="R130" s="147" t="e">
        <f ca="1">_xludf.IFNA(H132/_xlfn.XLOOKUP($M132,'00_SKU_Master'!$B$2:$B$378,'00_SKU_Master'!$M$2:$M$378,0)/$M$2,"0")</f>
        <v>#NAME?</v>
      </c>
      <c r="S130" s="147" t="e">
        <f ca="1">_xludf.IFNA(I132/_xlfn.XLOOKUP($M132,'00_SKU_Master'!$B$2:$B$378,'00_SKU_Master'!$M$2:$M$378,0)/$M$2,"0")</f>
        <v>#NAME?</v>
      </c>
      <c r="T130" s="147" t="e">
        <f ca="1">_xludf.IFNA(J132/_xlfn.XLOOKUP($M132,'00_SKU_Master'!$B$2:$B$378,'00_SKU_Master'!$M$2:$M$378,0)/$M$2,"0")</f>
        <v>#NAME?</v>
      </c>
      <c r="U130" s="147" t="e">
        <f t="shared" ref="U130:U193" ca="1" si="15">SUM(N132:T132)</f>
        <v>#NAME?</v>
      </c>
      <c r="V130" s="4"/>
      <c r="W130" s="4" t="e">
        <f>_xlfn.XLOOKUP(M132,'00_SKU_Master'!$B$2:$B$378,'00_SKU_Master'!D:D)</f>
        <v>#VALUE!</v>
      </c>
      <c r="X130" s="14">
        <f>'05_Daily_Orders'!B131</f>
        <v>7235</v>
      </c>
      <c r="Y130" s="554"/>
      <c r="Z130" s="555"/>
      <c r="AA130" s="555"/>
      <c r="AB130" s="555"/>
      <c r="AC130" s="555">
        <v>0</v>
      </c>
      <c r="AD130" s="555">
        <v>0</v>
      </c>
      <c r="AE130" s="555">
        <v>0</v>
      </c>
      <c r="AF130" s="553">
        <f t="shared" ref="AF130:AF193" si="16">SUM(Y132:AE132)</f>
        <v>0</v>
      </c>
      <c r="AQ130" s="23">
        <v>0</v>
      </c>
      <c r="AR130" s="23">
        <v>0</v>
      </c>
      <c r="AS130" s="23">
        <f t="shared" ref="AS130:AS193" si="17">AR132-AQ132</f>
        <v>0</v>
      </c>
    </row>
    <row r="131" spans="1:45">
      <c r="A131" s="138">
        <f>_xlfn.XLOOKUP(C133,'00_SKU_Master'!$B$2:$B$378,'00_SKU_Master'!$C$2:$C$378)</f>
        <v>61051</v>
      </c>
      <c r="B131" s="138"/>
      <c r="C131" s="138">
        <f t="shared" si="12"/>
        <v>7238</v>
      </c>
      <c r="D131" s="552" t="e">
        <f ca="1">_xludf.IFNA(_xlfn.XLOOKUP(C133,'00_SKU_Master'!$B$2:$B$378,'00_SKU_Master'!$F$2:$F$378,0)*Y133,"")</f>
        <v>#NAME?</v>
      </c>
      <c r="E131" s="552" t="e">
        <f ca="1">_xludf.IFNA(_xlfn.XLOOKUP(C133,'00_SKU_Master'!$B$2:$B$378,'00_SKU_Master'!$F$2:$F$378,0)*Z133,"")</f>
        <v>#NAME?</v>
      </c>
      <c r="F131" s="552" t="e">
        <f ca="1">_xludf.IFNA(_xlfn.XLOOKUP(C133,'00_SKU_Master'!$B$2:$B$378,'00_SKU_Master'!$F$2:$F$378,0)*AA133,"")</f>
        <v>#NAME?</v>
      </c>
      <c r="G131" s="552" t="e">
        <f ca="1">_xludf.IFNA(_xlfn.XLOOKUP(C133,'00_SKU_Master'!$B$2:$B$378,'00_SKU_Master'!$F$2:$F$378,0)*AB133,"")</f>
        <v>#NAME?</v>
      </c>
      <c r="H131" s="552" t="e">
        <f ca="1">_xludf.IFNA(_xlfn.XLOOKUP(C133,'00_SKU_Master'!$B$2:$B$378,'00_SKU_Master'!$F$2:$F$378,0)*AC133,"")</f>
        <v>#NAME?</v>
      </c>
      <c r="I131" s="552" t="e">
        <f ca="1">_xludf.IFNA(_xlfn.XLOOKUP(C133,'00_SKU_Master'!$B$2:$B$378,'00_SKU_Master'!$F$2:$F$378,0)*AD133,"")</f>
        <v>#NAME?</v>
      </c>
      <c r="J131" s="552" t="e">
        <f ca="1">_xludf.IFNA(_xlfn.XLOOKUP(C133,'00_SKU_Master'!$B$2:$B$378,'00_SKU_Master'!$F$2:$F$378,0)*AE133,"")</f>
        <v>#NAME?</v>
      </c>
      <c r="K131" s="553" t="e">
        <f t="shared" ca="1" si="13"/>
        <v>#NAME?</v>
      </c>
      <c r="L131" s="187" t="e">
        <f>_xlfn.XLOOKUP(C133,'00_SKU_Master'!$B$2:$B$378,'00_SKU_Master'!K:K)</f>
        <v>#VALUE!</v>
      </c>
      <c r="M131" s="14">
        <f t="shared" si="14"/>
        <v>7238</v>
      </c>
      <c r="N131" s="147" t="e">
        <f ca="1">_xludf.IFNA(D133/_xlfn.XLOOKUP($M133,'00_SKU_Master'!$B$2:$B$378,'00_SKU_Master'!$M$2:$M$378,0)/$M$2,"0")</f>
        <v>#NAME?</v>
      </c>
      <c r="O131" s="147" t="e">
        <f ca="1">_xludf.IFNA(E133/_xlfn.XLOOKUP($M133,'00_SKU_Master'!$B$2:$B$378,'00_SKU_Master'!$M$2:$M$378,0)/$M$2,"0")</f>
        <v>#NAME?</v>
      </c>
      <c r="P131" s="147" t="e">
        <f ca="1">_xludf.IFNA(F133/_xlfn.XLOOKUP($M133,'00_SKU_Master'!$B$2:$B$378,'00_SKU_Master'!$M$2:$M$378,0)/$M$2,"0")</f>
        <v>#NAME?</v>
      </c>
      <c r="Q131" s="147" t="e">
        <f ca="1">_xludf.IFNA(G133/_xlfn.XLOOKUP($M133,'00_SKU_Master'!$B$2:$B$378,'00_SKU_Master'!$M$2:$M$378,0)/$M$2,"0")</f>
        <v>#NAME?</v>
      </c>
      <c r="R131" s="147" t="e">
        <f ca="1">_xludf.IFNA(H133/_xlfn.XLOOKUP($M133,'00_SKU_Master'!$B$2:$B$378,'00_SKU_Master'!$M$2:$M$378,0)/$M$2,"0")</f>
        <v>#NAME?</v>
      </c>
      <c r="S131" s="147" t="e">
        <f ca="1">_xludf.IFNA(I133/_xlfn.XLOOKUP($M133,'00_SKU_Master'!$B$2:$B$378,'00_SKU_Master'!$M$2:$M$378,0)/$M$2,"0")</f>
        <v>#NAME?</v>
      </c>
      <c r="T131" s="147" t="e">
        <f ca="1">_xludf.IFNA(J133/_xlfn.XLOOKUP($M133,'00_SKU_Master'!$B$2:$B$378,'00_SKU_Master'!$M$2:$M$378,0)/$M$2,"0")</f>
        <v>#NAME?</v>
      </c>
      <c r="U131" s="147" t="e">
        <f t="shared" ca="1" si="15"/>
        <v>#NAME?</v>
      </c>
      <c r="V131" s="4"/>
      <c r="W131" s="4" t="e">
        <f>_xlfn.XLOOKUP(M133,'00_SKU_Master'!$B$2:$B$378,'00_SKU_Master'!D:D)</f>
        <v>#VALUE!</v>
      </c>
      <c r="X131" s="14">
        <f>'05_Daily_Orders'!B132</f>
        <v>7236</v>
      </c>
      <c r="Y131" s="554"/>
      <c r="Z131" s="555"/>
      <c r="AA131" s="555"/>
      <c r="AB131" s="555"/>
      <c r="AC131" s="555">
        <v>0</v>
      </c>
      <c r="AD131" s="555">
        <v>0</v>
      </c>
      <c r="AE131" s="555">
        <v>0</v>
      </c>
      <c r="AF131" s="553">
        <f t="shared" si="16"/>
        <v>0</v>
      </c>
      <c r="AQ131" s="23">
        <v>0</v>
      </c>
      <c r="AR131" s="23">
        <v>0</v>
      </c>
      <c r="AS131" s="23">
        <f t="shared" si="17"/>
        <v>0</v>
      </c>
    </row>
    <row r="132" spans="1:45">
      <c r="A132" s="138">
        <f>_xlfn.XLOOKUP(C134,'00_SKU_Master'!$B$2:$B$378,'00_SKU_Master'!$C$2:$C$378)</f>
        <v>61087</v>
      </c>
      <c r="B132" s="138"/>
      <c r="C132" s="138">
        <f t="shared" si="12"/>
        <v>7239</v>
      </c>
      <c r="D132" s="552" t="e">
        <f ca="1">_xludf.IFNA(_xlfn.XLOOKUP(C134,'00_SKU_Master'!$B$2:$B$378,'00_SKU_Master'!$F$2:$F$378,0)*Y134,"")</f>
        <v>#NAME?</v>
      </c>
      <c r="E132" s="552" t="e">
        <f ca="1">_xludf.IFNA(_xlfn.XLOOKUP(C134,'00_SKU_Master'!$B$2:$B$378,'00_SKU_Master'!$F$2:$F$378,0)*Z134,"")</f>
        <v>#NAME?</v>
      </c>
      <c r="F132" s="552" t="e">
        <f ca="1">_xludf.IFNA(_xlfn.XLOOKUP(C134,'00_SKU_Master'!$B$2:$B$378,'00_SKU_Master'!$F$2:$F$378,0)*AA134,"")</f>
        <v>#NAME?</v>
      </c>
      <c r="G132" s="552" t="e">
        <f ca="1">_xludf.IFNA(_xlfn.XLOOKUP(C134,'00_SKU_Master'!$B$2:$B$378,'00_SKU_Master'!$F$2:$F$378,0)*AB134,"")</f>
        <v>#NAME?</v>
      </c>
      <c r="H132" s="552" t="e">
        <f ca="1">_xludf.IFNA(_xlfn.XLOOKUP(C134,'00_SKU_Master'!$B$2:$B$378,'00_SKU_Master'!$F$2:$F$378,0)*AC134,"")</f>
        <v>#NAME?</v>
      </c>
      <c r="I132" s="552" t="e">
        <f ca="1">_xludf.IFNA(_xlfn.XLOOKUP(C134,'00_SKU_Master'!$B$2:$B$378,'00_SKU_Master'!$F$2:$F$378,0)*AD134,"")</f>
        <v>#NAME?</v>
      </c>
      <c r="J132" s="552" t="e">
        <f ca="1">_xludf.IFNA(_xlfn.XLOOKUP(C134,'00_SKU_Master'!$B$2:$B$378,'00_SKU_Master'!$F$2:$F$378,0)*AE134,"")</f>
        <v>#NAME?</v>
      </c>
      <c r="K132" s="553" t="e">
        <f t="shared" ca="1" si="13"/>
        <v>#NAME?</v>
      </c>
      <c r="L132" s="187" t="e">
        <f>_xlfn.XLOOKUP(C134,'00_SKU_Master'!$B$2:$B$378,'00_SKU_Master'!K:K)</f>
        <v>#VALUE!</v>
      </c>
      <c r="M132" s="14">
        <f t="shared" si="14"/>
        <v>7239</v>
      </c>
      <c r="N132" s="147" t="e">
        <f ca="1">_xludf.IFNA(D134/_xlfn.XLOOKUP($M134,'00_SKU_Master'!$B$2:$B$378,'00_SKU_Master'!$M$2:$M$378,0)/$M$2,"0")</f>
        <v>#NAME?</v>
      </c>
      <c r="O132" s="147" t="e">
        <f ca="1">_xludf.IFNA(E134/_xlfn.XLOOKUP($M134,'00_SKU_Master'!$B$2:$B$378,'00_SKU_Master'!$M$2:$M$378,0)/$M$2,"0")</f>
        <v>#NAME?</v>
      </c>
      <c r="P132" s="147" t="e">
        <f ca="1">_xludf.IFNA(F134/_xlfn.XLOOKUP($M134,'00_SKU_Master'!$B$2:$B$378,'00_SKU_Master'!$M$2:$M$378,0)/$M$2,"0")</f>
        <v>#NAME?</v>
      </c>
      <c r="Q132" s="147" t="e">
        <f ca="1">_xludf.IFNA(G134/_xlfn.XLOOKUP($M134,'00_SKU_Master'!$B$2:$B$378,'00_SKU_Master'!$M$2:$M$378,0)/$M$2,"0")</f>
        <v>#NAME?</v>
      </c>
      <c r="R132" s="147" t="e">
        <f ca="1">_xludf.IFNA(H134/_xlfn.XLOOKUP($M134,'00_SKU_Master'!$B$2:$B$378,'00_SKU_Master'!$M$2:$M$378,0)/$M$2,"0")</f>
        <v>#NAME?</v>
      </c>
      <c r="S132" s="147" t="e">
        <f ca="1">_xludf.IFNA(I134/_xlfn.XLOOKUP($M134,'00_SKU_Master'!$B$2:$B$378,'00_SKU_Master'!$M$2:$M$378,0)/$M$2,"0")</f>
        <v>#NAME?</v>
      </c>
      <c r="T132" s="147" t="e">
        <f ca="1">_xludf.IFNA(J134/_xlfn.XLOOKUP($M134,'00_SKU_Master'!$B$2:$B$378,'00_SKU_Master'!$M$2:$M$378,0)/$M$2,"0")</f>
        <v>#NAME?</v>
      </c>
      <c r="U132" s="147" t="e">
        <f t="shared" ca="1" si="15"/>
        <v>#NAME?</v>
      </c>
      <c r="V132" s="4"/>
      <c r="W132" s="4" t="e">
        <f>_xlfn.XLOOKUP(M134,'00_SKU_Master'!$B$2:$B$378,'00_SKU_Master'!D:D)</f>
        <v>#VALUE!</v>
      </c>
      <c r="X132" s="14">
        <f>'05_Daily_Orders'!B133</f>
        <v>7237</v>
      </c>
      <c r="Y132" s="554"/>
      <c r="Z132" s="555"/>
      <c r="AA132" s="555"/>
      <c r="AB132" s="555"/>
      <c r="AC132" s="555">
        <v>0</v>
      </c>
      <c r="AD132" s="555">
        <v>0</v>
      </c>
      <c r="AE132" s="555">
        <v>0</v>
      </c>
      <c r="AF132" s="553">
        <f t="shared" si="16"/>
        <v>0</v>
      </c>
      <c r="AQ132" s="23">
        <v>0</v>
      </c>
      <c r="AR132" s="23">
        <v>0</v>
      </c>
      <c r="AS132" s="23">
        <f t="shared" si="17"/>
        <v>0</v>
      </c>
    </row>
    <row r="133" spans="1:45">
      <c r="A133" s="138">
        <f>_xlfn.XLOOKUP(C135,'00_SKU_Master'!$B$2:$B$378,'00_SKU_Master'!$C$2:$C$378)</f>
        <v>61016</v>
      </c>
      <c r="B133" s="138"/>
      <c r="C133" s="138">
        <f t="shared" si="12"/>
        <v>7240</v>
      </c>
      <c r="D133" s="552" t="e">
        <f ca="1">_xludf.IFNA(_xlfn.XLOOKUP(C135,'00_SKU_Master'!$B$2:$B$378,'00_SKU_Master'!$F$2:$F$378,0)*Y135,"")</f>
        <v>#NAME?</v>
      </c>
      <c r="E133" s="552" t="e">
        <f ca="1">_xludf.IFNA(_xlfn.XLOOKUP(C135,'00_SKU_Master'!$B$2:$B$378,'00_SKU_Master'!$F$2:$F$378,0)*Z135,"")</f>
        <v>#NAME?</v>
      </c>
      <c r="F133" s="552" t="e">
        <f ca="1">_xludf.IFNA(_xlfn.XLOOKUP(C135,'00_SKU_Master'!$B$2:$B$378,'00_SKU_Master'!$F$2:$F$378,0)*AA135,"")</f>
        <v>#NAME?</v>
      </c>
      <c r="G133" s="552" t="e">
        <f ca="1">_xludf.IFNA(_xlfn.XLOOKUP(C135,'00_SKU_Master'!$B$2:$B$378,'00_SKU_Master'!$F$2:$F$378,0)*AB135,"")</f>
        <v>#NAME?</v>
      </c>
      <c r="H133" s="552" t="e">
        <f ca="1">_xludf.IFNA(_xlfn.XLOOKUP(C135,'00_SKU_Master'!$B$2:$B$378,'00_SKU_Master'!$F$2:$F$378,0)*AC135,"")</f>
        <v>#NAME?</v>
      </c>
      <c r="I133" s="552" t="e">
        <f ca="1">_xludf.IFNA(_xlfn.XLOOKUP(C135,'00_SKU_Master'!$B$2:$B$378,'00_SKU_Master'!$F$2:$F$378,0)*AD135,"")</f>
        <v>#NAME?</v>
      </c>
      <c r="J133" s="552" t="e">
        <f ca="1">_xludf.IFNA(_xlfn.XLOOKUP(C135,'00_SKU_Master'!$B$2:$B$378,'00_SKU_Master'!$F$2:$F$378,0)*AE135,"")</f>
        <v>#NAME?</v>
      </c>
      <c r="K133" s="553" t="e">
        <f t="shared" ca="1" si="13"/>
        <v>#NAME?</v>
      </c>
      <c r="L133" s="187" t="e">
        <f>_xlfn.XLOOKUP(C135,'00_SKU_Master'!$B$2:$B$378,'00_SKU_Master'!K:K)</f>
        <v>#VALUE!</v>
      </c>
      <c r="M133" s="14">
        <f t="shared" si="14"/>
        <v>7240</v>
      </c>
      <c r="N133" s="147" t="e">
        <f ca="1">_xludf.IFNA(D135/_xlfn.XLOOKUP($M135,'00_SKU_Master'!$B$2:$B$378,'00_SKU_Master'!$M$2:$M$378,0)/$M$2,"0")</f>
        <v>#NAME?</v>
      </c>
      <c r="O133" s="147" t="e">
        <f ca="1">_xludf.IFNA(E135/_xlfn.XLOOKUP($M135,'00_SKU_Master'!$B$2:$B$378,'00_SKU_Master'!$M$2:$M$378,0)/$M$2,"0")</f>
        <v>#NAME?</v>
      </c>
      <c r="P133" s="147" t="e">
        <f ca="1">_xludf.IFNA(F135/_xlfn.XLOOKUP($M135,'00_SKU_Master'!$B$2:$B$378,'00_SKU_Master'!$M$2:$M$378,0)/$M$2,"0")</f>
        <v>#NAME?</v>
      </c>
      <c r="Q133" s="147" t="e">
        <f ca="1">_xludf.IFNA(G135/_xlfn.XLOOKUP($M135,'00_SKU_Master'!$B$2:$B$378,'00_SKU_Master'!$M$2:$M$378,0)/$M$2,"0")</f>
        <v>#NAME?</v>
      </c>
      <c r="R133" s="147" t="e">
        <f ca="1">_xludf.IFNA(H135/_xlfn.XLOOKUP($M135,'00_SKU_Master'!$B$2:$B$378,'00_SKU_Master'!$M$2:$M$378,0)/$M$2,"0")</f>
        <v>#NAME?</v>
      </c>
      <c r="S133" s="147" t="e">
        <f ca="1">_xludf.IFNA(I135/_xlfn.XLOOKUP($M135,'00_SKU_Master'!$B$2:$B$378,'00_SKU_Master'!$M$2:$M$378,0)/$M$2,"0")</f>
        <v>#NAME?</v>
      </c>
      <c r="T133" s="147" t="e">
        <f ca="1">_xludf.IFNA(J135/_xlfn.XLOOKUP($M135,'00_SKU_Master'!$B$2:$B$378,'00_SKU_Master'!$M$2:$M$378,0)/$M$2,"0")</f>
        <v>#NAME?</v>
      </c>
      <c r="U133" s="147" t="e">
        <f t="shared" ca="1" si="15"/>
        <v>#NAME?</v>
      </c>
      <c r="V133" s="4"/>
      <c r="W133" s="4" t="e">
        <f>_xlfn.XLOOKUP(M135,'00_SKU_Master'!$B$2:$B$378,'00_SKU_Master'!D:D)</f>
        <v>#VALUE!</v>
      </c>
      <c r="X133" s="14">
        <f>'05_Daily_Orders'!B134</f>
        <v>7238</v>
      </c>
      <c r="Y133" s="554"/>
      <c r="Z133" s="555"/>
      <c r="AA133" s="555"/>
      <c r="AB133" s="555"/>
      <c r="AC133" s="555">
        <v>0</v>
      </c>
      <c r="AD133" s="555">
        <v>0</v>
      </c>
      <c r="AE133" s="555">
        <v>0</v>
      </c>
      <c r="AF133" s="553">
        <f t="shared" si="16"/>
        <v>0</v>
      </c>
      <c r="AQ133" s="23">
        <v>0</v>
      </c>
      <c r="AR133" s="23">
        <v>0</v>
      </c>
      <c r="AS133" s="23">
        <f t="shared" si="17"/>
        <v>0</v>
      </c>
    </row>
    <row r="134" spans="1:45">
      <c r="A134" s="138">
        <f>_xlfn.XLOOKUP(C136,'00_SKU_Master'!$B$2:$B$378,'00_SKU_Master'!$C$2:$C$378)</f>
        <v>61074</v>
      </c>
      <c r="B134" s="138"/>
      <c r="C134" s="138">
        <f t="shared" si="12"/>
        <v>7241</v>
      </c>
      <c r="D134" s="552" t="e">
        <f ca="1">_xludf.IFNA(_xlfn.XLOOKUP(C136,'00_SKU_Master'!$B$2:$B$378,'00_SKU_Master'!$F$2:$F$378,0)*Y136,"")</f>
        <v>#NAME?</v>
      </c>
      <c r="E134" s="552" t="e">
        <f ca="1">_xludf.IFNA(_xlfn.XLOOKUP(C136,'00_SKU_Master'!$B$2:$B$378,'00_SKU_Master'!$F$2:$F$378,0)*Z136,"")</f>
        <v>#NAME?</v>
      </c>
      <c r="F134" s="552" t="e">
        <f ca="1">_xludf.IFNA(_xlfn.XLOOKUP(C136,'00_SKU_Master'!$B$2:$B$378,'00_SKU_Master'!$F$2:$F$378,0)*AA136,"")</f>
        <v>#NAME?</v>
      </c>
      <c r="G134" s="552" t="e">
        <f ca="1">_xludf.IFNA(_xlfn.XLOOKUP(C136,'00_SKU_Master'!$B$2:$B$378,'00_SKU_Master'!$F$2:$F$378,0)*AB136,"")</f>
        <v>#NAME?</v>
      </c>
      <c r="H134" s="552" t="e">
        <f ca="1">_xludf.IFNA(_xlfn.XLOOKUP(C136,'00_SKU_Master'!$B$2:$B$378,'00_SKU_Master'!$F$2:$F$378,0)*AC136,"")</f>
        <v>#NAME?</v>
      </c>
      <c r="I134" s="552" t="e">
        <f ca="1">_xludf.IFNA(_xlfn.XLOOKUP(C136,'00_SKU_Master'!$B$2:$B$378,'00_SKU_Master'!$F$2:$F$378,0)*AD136,"")</f>
        <v>#NAME?</v>
      </c>
      <c r="J134" s="552" t="e">
        <f ca="1">_xludf.IFNA(_xlfn.XLOOKUP(C136,'00_SKU_Master'!$B$2:$B$378,'00_SKU_Master'!$F$2:$F$378,0)*AE136,"")</f>
        <v>#NAME?</v>
      </c>
      <c r="K134" s="553" t="e">
        <f t="shared" ca="1" si="13"/>
        <v>#NAME?</v>
      </c>
      <c r="L134" s="187" t="e">
        <f>_xlfn.XLOOKUP(C136,'00_SKU_Master'!$B$2:$B$378,'00_SKU_Master'!K:K)</f>
        <v>#VALUE!</v>
      </c>
      <c r="M134" s="14">
        <f t="shared" si="14"/>
        <v>7241</v>
      </c>
      <c r="N134" s="147" t="e">
        <f ca="1">_xludf.IFNA(D136/_xlfn.XLOOKUP($M136,'00_SKU_Master'!$B$2:$B$378,'00_SKU_Master'!$M$2:$M$378,0)/$M$2,"0")</f>
        <v>#NAME?</v>
      </c>
      <c r="O134" s="147" t="e">
        <f ca="1">_xludf.IFNA(E136/_xlfn.XLOOKUP($M136,'00_SKU_Master'!$B$2:$B$378,'00_SKU_Master'!$M$2:$M$378,0)/$M$2,"0")</f>
        <v>#NAME?</v>
      </c>
      <c r="P134" s="147" t="e">
        <f ca="1">_xludf.IFNA(F136/_xlfn.XLOOKUP($M136,'00_SKU_Master'!$B$2:$B$378,'00_SKU_Master'!$M$2:$M$378,0)/$M$2,"0")</f>
        <v>#NAME?</v>
      </c>
      <c r="Q134" s="147" t="e">
        <f ca="1">_xludf.IFNA(G136/_xlfn.XLOOKUP($M136,'00_SKU_Master'!$B$2:$B$378,'00_SKU_Master'!$M$2:$M$378,0)/$M$2,"0")</f>
        <v>#NAME?</v>
      </c>
      <c r="R134" s="147" t="e">
        <f ca="1">_xludf.IFNA(H136/_xlfn.XLOOKUP($M136,'00_SKU_Master'!$B$2:$B$378,'00_SKU_Master'!$M$2:$M$378,0)/$M$2,"0")</f>
        <v>#NAME?</v>
      </c>
      <c r="S134" s="147" t="e">
        <f ca="1">_xludf.IFNA(I136/_xlfn.XLOOKUP($M136,'00_SKU_Master'!$B$2:$B$378,'00_SKU_Master'!$M$2:$M$378,0)/$M$2,"0")</f>
        <v>#NAME?</v>
      </c>
      <c r="T134" s="147" t="e">
        <f ca="1">_xludf.IFNA(J136/_xlfn.XLOOKUP($M136,'00_SKU_Master'!$B$2:$B$378,'00_SKU_Master'!$M$2:$M$378,0)/$M$2,"0")</f>
        <v>#NAME?</v>
      </c>
      <c r="U134" s="147" t="e">
        <f t="shared" ca="1" si="15"/>
        <v>#NAME?</v>
      </c>
      <c r="V134" s="4"/>
      <c r="W134" s="4" t="e">
        <f>_xlfn.XLOOKUP(M136,'00_SKU_Master'!$B$2:$B$378,'00_SKU_Master'!D:D)</f>
        <v>#VALUE!</v>
      </c>
      <c r="X134" s="14">
        <f>'05_Daily_Orders'!B135</f>
        <v>7239</v>
      </c>
      <c r="Y134" s="554"/>
      <c r="Z134" s="555"/>
      <c r="AA134" s="555"/>
      <c r="AB134" s="555"/>
      <c r="AC134" s="555">
        <v>0</v>
      </c>
      <c r="AD134" s="555">
        <v>0</v>
      </c>
      <c r="AE134" s="555">
        <v>0</v>
      </c>
      <c r="AF134" s="553">
        <f t="shared" si="16"/>
        <v>0</v>
      </c>
      <c r="AQ134" s="23">
        <v>0</v>
      </c>
      <c r="AR134" s="23">
        <v>0</v>
      </c>
      <c r="AS134" s="23">
        <f t="shared" si="17"/>
        <v>0</v>
      </c>
    </row>
    <row r="135" spans="1:45">
      <c r="A135" s="138">
        <f>_xlfn.XLOOKUP(C137,'00_SKU_Master'!$B$2:$B$378,'00_SKU_Master'!$C$2:$C$378)</f>
        <v>61051</v>
      </c>
      <c r="B135" s="138"/>
      <c r="C135" s="138">
        <f t="shared" si="12"/>
        <v>7242</v>
      </c>
      <c r="D135" s="552" t="e">
        <f ca="1">_xludf.IFNA(_xlfn.XLOOKUP(C137,'00_SKU_Master'!$B$2:$B$378,'00_SKU_Master'!$F$2:$F$378,0)*Y137,"")</f>
        <v>#NAME?</v>
      </c>
      <c r="E135" s="552" t="e">
        <f ca="1">_xludf.IFNA(_xlfn.XLOOKUP(C137,'00_SKU_Master'!$B$2:$B$378,'00_SKU_Master'!$F$2:$F$378,0)*Z137,"")</f>
        <v>#NAME?</v>
      </c>
      <c r="F135" s="552" t="e">
        <f ca="1">_xludf.IFNA(_xlfn.XLOOKUP(C137,'00_SKU_Master'!$B$2:$B$378,'00_SKU_Master'!$F$2:$F$378,0)*AA137,"")</f>
        <v>#NAME?</v>
      </c>
      <c r="G135" s="552" t="e">
        <f ca="1">_xludf.IFNA(_xlfn.XLOOKUP(C137,'00_SKU_Master'!$B$2:$B$378,'00_SKU_Master'!$F$2:$F$378,0)*AB137,"")</f>
        <v>#NAME?</v>
      </c>
      <c r="H135" s="552" t="e">
        <f ca="1">_xludf.IFNA(_xlfn.XLOOKUP(C137,'00_SKU_Master'!$B$2:$B$378,'00_SKU_Master'!$F$2:$F$378,0)*AC137,"")</f>
        <v>#NAME?</v>
      </c>
      <c r="I135" s="552" t="e">
        <f ca="1">_xludf.IFNA(_xlfn.XLOOKUP(C137,'00_SKU_Master'!$B$2:$B$378,'00_SKU_Master'!$F$2:$F$378,0)*AD137,"")</f>
        <v>#NAME?</v>
      </c>
      <c r="J135" s="552" t="e">
        <f ca="1">_xludf.IFNA(_xlfn.XLOOKUP(C137,'00_SKU_Master'!$B$2:$B$378,'00_SKU_Master'!$F$2:$F$378,0)*AE137,"")</f>
        <v>#NAME?</v>
      </c>
      <c r="K135" s="553" t="e">
        <f t="shared" ca="1" si="13"/>
        <v>#NAME?</v>
      </c>
      <c r="L135" s="187" t="e">
        <f>_xlfn.XLOOKUP(C137,'00_SKU_Master'!$B$2:$B$378,'00_SKU_Master'!K:K)</f>
        <v>#VALUE!</v>
      </c>
      <c r="M135" s="14">
        <f t="shared" si="14"/>
        <v>7242</v>
      </c>
      <c r="N135" s="147" t="e">
        <f ca="1">_xludf.IFNA(D137/_xlfn.XLOOKUP($M137,'00_SKU_Master'!$B$2:$B$378,'00_SKU_Master'!$M$2:$M$378,0)/$M$2,"0")</f>
        <v>#NAME?</v>
      </c>
      <c r="O135" s="147" t="e">
        <f ca="1">_xludf.IFNA(E137/_xlfn.XLOOKUP($M137,'00_SKU_Master'!$B$2:$B$378,'00_SKU_Master'!$M$2:$M$378,0)/$M$2,"0")</f>
        <v>#NAME?</v>
      </c>
      <c r="P135" s="147" t="e">
        <f ca="1">_xludf.IFNA(F137/_xlfn.XLOOKUP($M137,'00_SKU_Master'!$B$2:$B$378,'00_SKU_Master'!$M$2:$M$378,0)/$M$2,"0")</f>
        <v>#NAME?</v>
      </c>
      <c r="Q135" s="147" t="e">
        <f ca="1">_xludf.IFNA(G137/_xlfn.XLOOKUP($M137,'00_SKU_Master'!$B$2:$B$378,'00_SKU_Master'!$M$2:$M$378,0)/$M$2,"0")</f>
        <v>#NAME?</v>
      </c>
      <c r="R135" s="147" t="e">
        <f ca="1">_xludf.IFNA(H137/_xlfn.XLOOKUP($M137,'00_SKU_Master'!$B$2:$B$378,'00_SKU_Master'!$M$2:$M$378,0)/$M$2,"0")</f>
        <v>#NAME?</v>
      </c>
      <c r="S135" s="147" t="e">
        <f ca="1">_xludf.IFNA(I137/_xlfn.XLOOKUP($M137,'00_SKU_Master'!$B$2:$B$378,'00_SKU_Master'!$M$2:$M$378,0)/$M$2,"0")</f>
        <v>#NAME?</v>
      </c>
      <c r="T135" s="147" t="e">
        <f ca="1">_xludf.IFNA(J137/_xlfn.XLOOKUP($M137,'00_SKU_Master'!$B$2:$B$378,'00_SKU_Master'!$M$2:$M$378,0)/$M$2,"0")</f>
        <v>#NAME?</v>
      </c>
      <c r="U135" s="147" t="e">
        <f t="shared" ca="1" si="15"/>
        <v>#NAME?</v>
      </c>
      <c r="V135" s="4"/>
      <c r="W135" s="4" t="e">
        <f>_xlfn.XLOOKUP(M137,'00_SKU_Master'!$B$2:$B$378,'00_SKU_Master'!D:D)</f>
        <v>#VALUE!</v>
      </c>
      <c r="X135" s="14">
        <f>'05_Daily_Orders'!B136</f>
        <v>7240</v>
      </c>
      <c r="Y135" s="554"/>
      <c r="Z135" s="555"/>
      <c r="AA135" s="555"/>
      <c r="AB135" s="555"/>
      <c r="AC135" s="555">
        <v>0</v>
      </c>
      <c r="AD135" s="555">
        <v>0</v>
      </c>
      <c r="AE135" s="555">
        <v>0</v>
      </c>
      <c r="AF135" s="553">
        <f t="shared" si="16"/>
        <v>0</v>
      </c>
      <c r="AQ135" s="23">
        <v>0</v>
      </c>
      <c r="AR135" s="23">
        <v>0</v>
      </c>
      <c r="AS135" s="23">
        <f t="shared" si="17"/>
        <v>0</v>
      </c>
    </row>
    <row r="136" spans="1:45">
      <c r="A136" s="138">
        <f>_xlfn.XLOOKUP(C138,'00_SKU_Master'!$B$2:$B$378,'00_SKU_Master'!$C$2:$C$378)</f>
        <v>203151</v>
      </c>
      <c r="B136" s="138"/>
      <c r="C136" s="138">
        <f t="shared" si="12"/>
        <v>7245</v>
      </c>
      <c r="D136" s="552" t="e">
        <f ca="1">_xludf.IFNA(_xlfn.XLOOKUP(C138,'00_SKU_Master'!$B$2:$B$378,'00_SKU_Master'!$F$2:$F$378,0)*Y138,"")</f>
        <v>#NAME?</v>
      </c>
      <c r="E136" s="552" t="e">
        <f ca="1">_xludf.IFNA(_xlfn.XLOOKUP(C138,'00_SKU_Master'!$B$2:$B$378,'00_SKU_Master'!$F$2:$F$378,0)*Z138,"")</f>
        <v>#NAME?</v>
      </c>
      <c r="F136" s="552" t="e">
        <f ca="1">_xludf.IFNA(_xlfn.XLOOKUP(C138,'00_SKU_Master'!$B$2:$B$378,'00_SKU_Master'!$F$2:$F$378,0)*AA138,"")</f>
        <v>#NAME?</v>
      </c>
      <c r="G136" s="552" t="e">
        <f ca="1">_xludf.IFNA(_xlfn.XLOOKUP(C138,'00_SKU_Master'!$B$2:$B$378,'00_SKU_Master'!$F$2:$F$378,0)*AB138,"")</f>
        <v>#NAME?</v>
      </c>
      <c r="H136" s="552" t="e">
        <f ca="1">_xludf.IFNA(_xlfn.XLOOKUP(C138,'00_SKU_Master'!$B$2:$B$378,'00_SKU_Master'!$F$2:$F$378,0)*AC138,"")</f>
        <v>#NAME?</v>
      </c>
      <c r="I136" s="552" t="e">
        <f ca="1">_xludf.IFNA(_xlfn.XLOOKUP(C138,'00_SKU_Master'!$B$2:$B$378,'00_SKU_Master'!$F$2:$F$378,0)*AD138,"")</f>
        <v>#NAME?</v>
      </c>
      <c r="J136" s="552" t="e">
        <f ca="1">_xludf.IFNA(_xlfn.XLOOKUP(C138,'00_SKU_Master'!$B$2:$B$378,'00_SKU_Master'!$F$2:$F$378,0)*AE138,"")</f>
        <v>#NAME?</v>
      </c>
      <c r="K136" s="553" t="e">
        <f t="shared" ca="1" si="13"/>
        <v>#NAME?</v>
      </c>
      <c r="L136" s="187" t="e">
        <f>_xlfn.XLOOKUP(C138,'00_SKU_Master'!$B$2:$B$378,'00_SKU_Master'!K:K)</f>
        <v>#VALUE!</v>
      </c>
      <c r="M136" s="14">
        <f t="shared" si="14"/>
        <v>7245</v>
      </c>
      <c r="N136" s="147" t="e">
        <f ca="1">_xludf.IFNA(D138/_xlfn.XLOOKUP($M138,'00_SKU_Master'!$B$2:$B$378,'00_SKU_Master'!$M$2:$M$378,0)/$M$2,"0")</f>
        <v>#NAME?</v>
      </c>
      <c r="O136" s="147" t="e">
        <f ca="1">_xludf.IFNA(E138/_xlfn.XLOOKUP($M138,'00_SKU_Master'!$B$2:$B$378,'00_SKU_Master'!$M$2:$M$378,0)/$M$2,"0")</f>
        <v>#NAME?</v>
      </c>
      <c r="P136" s="147" t="e">
        <f ca="1">_xludf.IFNA(F138/_xlfn.XLOOKUP($M138,'00_SKU_Master'!$B$2:$B$378,'00_SKU_Master'!$M$2:$M$378,0)/$M$2,"0")</f>
        <v>#NAME?</v>
      </c>
      <c r="Q136" s="147" t="e">
        <f ca="1">_xludf.IFNA(G138/_xlfn.XLOOKUP($M138,'00_SKU_Master'!$B$2:$B$378,'00_SKU_Master'!$M$2:$M$378,0)/$M$2,"0")</f>
        <v>#NAME?</v>
      </c>
      <c r="R136" s="147" t="e">
        <f ca="1">_xludf.IFNA(H138/_xlfn.XLOOKUP($M138,'00_SKU_Master'!$B$2:$B$378,'00_SKU_Master'!$M$2:$M$378,0)/$M$2,"0")</f>
        <v>#NAME?</v>
      </c>
      <c r="S136" s="147" t="e">
        <f ca="1">_xludf.IFNA(I138/_xlfn.XLOOKUP($M138,'00_SKU_Master'!$B$2:$B$378,'00_SKU_Master'!$M$2:$M$378,0)/$M$2,"0")</f>
        <v>#NAME?</v>
      </c>
      <c r="T136" s="147" t="e">
        <f ca="1">_xludf.IFNA(J138/_xlfn.XLOOKUP($M138,'00_SKU_Master'!$B$2:$B$378,'00_SKU_Master'!$M$2:$M$378,0)/$M$2,"0")</f>
        <v>#NAME?</v>
      </c>
      <c r="U136" s="147" t="e">
        <f t="shared" ca="1" si="15"/>
        <v>#NAME?</v>
      </c>
      <c r="V136" s="4"/>
      <c r="W136" s="4" t="e">
        <f>_xlfn.XLOOKUP(M138,'00_SKU_Master'!$B$2:$B$378,'00_SKU_Master'!D:D)</f>
        <v>#VALUE!</v>
      </c>
      <c r="X136" s="14">
        <f>'05_Daily_Orders'!B137</f>
        <v>7241</v>
      </c>
      <c r="Y136" s="554"/>
      <c r="Z136" s="555"/>
      <c r="AA136" s="555"/>
      <c r="AB136" s="555"/>
      <c r="AC136" s="555">
        <v>0</v>
      </c>
      <c r="AD136" s="555">
        <v>0</v>
      </c>
      <c r="AE136" s="555">
        <v>0</v>
      </c>
      <c r="AF136" s="553">
        <f t="shared" si="16"/>
        <v>0</v>
      </c>
      <c r="AQ136" s="23">
        <v>0</v>
      </c>
      <c r="AR136" s="23">
        <v>0</v>
      </c>
      <c r="AS136" s="23">
        <f t="shared" si="17"/>
        <v>0</v>
      </c>
    </row>
    <row r="137" spans="1:45">
      <c r="A137" s="138">
        <f>_xlfn.XLOOKUP(C139,'00_SKU_Master'!$B$2:$B$378,'00_SKU_Master'!$C$2:$C$378)</f>
        <v>61087</v>
      </c>
      <c r="B137" s="138"/>
      <c r="C137" s="138">
        <f t="shared" si="12"/>
        <v>7246</v>
      </c>
      <c r="D137" s="552" t="e">
        <f ca="1">_xludf.IFNA(_xlfn.XLOOKUP(C139,'00_SKU_Master'!$B$2:$B$378,'00_SKU_Master'!$F$2:$F$378,0)*Y139,"")</f>
        <v>#NAME?</v>
      </c>
      <c r="E137" s="552" t="e">
        <f ca="1">_xludf.IFNA(_xlfn.XLOOKUP(C139,'00_SKU_Master'!$B$2:$B$378,'00_SKU_Master'!$F$2:$F$378,0)*Z139,"")</f>
        <v>#NAME?</v>
      </c>
      <c r="F137" s="552" t="e">
        <f ca="1">_xludf.IFNA(_xlfn.XLOOKUP(C139,'00_SKU_Master'!$B$2:$B$378,'00_SKU_Master'!$F$2:$F$378,0)*AA139,"")</f>
        <v>#NAME?</v>
      </c>
      <c r="G137" s="552" t="e">
        <f ca="1">_xludf.IFNA(_xlfn.XLOOKUP(C139,'00_SKU_Master'!$B$2:$B$378,'00_SKU_Master'!$F$2:$F$378,0)*AB139,"")</f>
        <v>#NAME?</v>
      </c>
      <c r="H137" s="552" t="e">
        <f ca="1">_xludf.IFNA(_xlfn.XLOOKUP(C139,'00_SKU_Master'!$B$2:$B$378,'00_SKU_Master'!$F$2:$F$378,0)*AC139,"")</f>
        <v>#NAME?</v>
      </c>
      <c r="I137" s="552" t="e">
        <f ca="1">_xludf.IFNA(_xlfn.XLOOKUP(C139,'00_SKU_Master'!$B$2:$B$378,'00_SKU_Master'!$F$2:$F$378,0)*AD139,"")</f>
        <v>#NAME?</v>
      </c>
      <c r="J137" s="552" t="e">
        <f ca="1">_xludf.IFNA(_xlfn.XLOOKUP(C139,'00_SKU_Master'!$B$2:$B$378,'00_SKU_Master'!$F$2:$F$378,0)*AE139,"")</f>
        <v>#NAME?</v>
      </c>
      <c r="K137" s="553" t="e">
        <f t="shared" ca="1" si="13"/>
        <v>#NAME?</v>
      </c>
      <c r="L137" s="187" t="e">
        <f>_xlfn.XLOOKUP(C139,'00_SKU_Master'!$B$2:$B$378,'00_SKU_Master'!K:K)</f>
        <v>#VALUE!</v>
      </c>
      <c r="M137" s="14">
        <f t="shared" si="14"/>
        <v>7246</v>
      </c>
      <c r="N137" s="147" t="e">
        <f ca="1">_xludf.IFNA(D139/_xlfn.XLOOKUP($M139,'00_SKU_Master'!$B$2:$B$378,'00_SKU_Master'!$M$2:$M$378,0)/$M$2,"0")</f>
        <v>#NAME?</v>
      </c>
      <c r="O137" s="147" t="e">
        <f ca="1">_xludf.IFNA(E139/_xlfn.XLOOKUP($M139,'00_SKU_Master'!$B$2:$B$378,'00_SKU_Master'!$M$2:$M$378,0)/$M$2,"0")</f>
        <v>#NAME?</v>
      </c>
      <c r="P137" s="147" t="e">
        <f ca="1">_xludf.IFNA(F139/_xlfn.XLOOKUP($M139,'00_SKU_Master'!$B$2:$B$378,'00_SKU_Master'!$M$2:$M$378,0)/$M$2,"0")</f>
        <v>#NAME?</v>
      </c>
      <c r="Q137" s="147" t="e">
        <f ca="1">_xludf.IFNA(G139/_xlfn.XLOOKUP($M139,'00_SKU_Master'!$B$2:$B$378,'00_SKU_Master'!$M$2:$M$378,0)/$M$2,"0")</f>
        <v>#NAME?</v>
      </c>
      <c r="R137" s="147" t="e">
        <f ca="1">_xludf.IFNA(H139/_xlfn.XLOOKUP($M139,'00_SKU_Master'!$B$2:$B$378,'00_SKU_Master'!$M$2:$M$378,0)/$M$2,"0")</f>
        <v>#NAME?</v>
      </c>
      <c r="S137" s="147" t="e">
        <f ca="1">_xludf.IFNA(I139/_xlfn.XLOOKUP($M139,'00_SKU_Master'!$B$2:$B$378,'00_SKU_Master'!$M$2:$M$378,0)/$M$2,"0")</f>
        <v>#NAME?</v>
      </c>
      <c r="T137" s="147" t="e">
        <f ca="1">_xludf.IFNA(J139/_xlfn.XLOOKUP($M139,'00_SKU_Master'!$B$2:$B$378,'00_SKU_Master'!$M$2:$M$378,0)/$M$2,"0")</f>
        <v>#NAME?</v>
      </c>
      <c r="U137" s="147" t="e">
        <f t="shared" ca="1" si="15"/>
        <v>#NAME?</v>
      </c>
      <c r="V137" s="4"/>
      <c r="W137" s="4" t="e">
        <f>_xlfn.XLOOKUP(M139,'00_SKU_Master'!$B$2:$B$378,'00_SKU_Master'!D:D)</f>
        <v>#VALUE!</v>
      </c>
      <c r="X137" s="14">
        <f>'05_Daily_Orders'!B138</f>
        <v>7242</v>
      </c>
      <c r="Y137" s="554"/>
      <c r="Z137" s="555"/>
      <c r="AA137" s="555"/>
      <c r="AB137" s="555"/>
      <c r="AC137" s="555">
        <v>0</v>
      </c>
      <c r="AD137" s="555">
        <v>0</v>
      </c>
      <c r="AE137" s="555">
        <v>0</v>
      </c>
      <c r="AF137" s="553">
        <f t="shared" si="16"/>
        <v>0</v>
      </c>
      <c r="AQ137" s="23">
        <v>0</v>
      </c>
      <c r="AR137" s="23">
        <v>0</v>
      </c>
      <c r="AS137" s="23">
        <f t="shared" si="17"/>
        <v>0</v>
      </c>
    </row>
    <row r="138" spans="1:45">
      <c r="A138" s="138">
        <f>_xlfn.XLOOKUP(C140,'00_SKU_Master'!$B$2:$B$378,'00_SKU_Master'!$C$2:$C$378)</f>
        <v>61016</v>
      </c>
      <c r="B138" s="138"/>
      <c r="C138" s="138">
        <f t="shared" si="12"/>
        <v>7247</v>
      </c>
      <c r="D138" s="552" t="e">
        <f ca="1">_xludf.IFNA(_xlfn.XLOOKUP(C140,'00_SKU_Master'!$B$2:$B$378,'00_SKU_Master'!$F$2:$F$378,0)*Y140,"")</f>
        <v>#NAME?</v>
      </c>
      <c r="E138" s="552" t="e">
        <f ca="1">_xludf.IFNA(_xlfn.XLOOKUP(C140,'00_SKU_Master'!$B$2:$B$378,'00_SKU_Master'!$F$2:$F$378,0)*Z140,"")</f>
        <v>#NAME?</v>
      </c>
      <c r="F138" s="552" t="e">
        <f ca="1">_xludf.IFNA(_xlfn.XLOOKUP(C140,'00_SKU_Master'!$B$2:$B$378,'00_SKU_Master'!$F$2:$F$378,0)*AA140,"")</f>
        <v>#NAME?</v>
      </c>
      <c r="G138" s="552" t="e">
        <f ca="1">_xludf.IFNA(_xlfn.XLOOKUP(C140,'00_SKU_Master'!$B$2:$B$378,'00_SKU_Master'!$F$2:$F$378,0)*AB140,"")</f>
        <v>#NAME?</v>
      </c>
      <c r="H138" s="552" t="e">
        <f ca="1">_xludf.IFNA(_xlfn.XLOOKUP(C140,'00_SKU_Master'!$B$2:$B$378,'00_SKU_Master'!$F$2:$F$378,0)*AC140,"")</f>
        <v>#NAME?</v>
      </c>
      <c r="I138" s="552" t="e">
        <f ca="1">_xludf.IFNA(_xlfn.XLOOKUP(C140,'00_SKU_Master'!$B$2:$B$378,'00_SKU_Master'!$F$2:$F$378,0)*AD140,"")</f>
        <v>#NAME?</v>
      </c>
      <c r="J138" s="552" t="e">
        <f ca="1">_xludf.IFNA(_xlfn.XLOOKUP(C140,'00_SKU_Master'!$B$2:$B$378,'00_SKU_Master'!$F$2:$F$378,0)*AE140,"")</f>
        <v>#NAME?</v>
      </c>
      <c r="K138" s="553" t="e">
        <f t="shared" ca="1" si="13"/>
        <v>#NAME?</v>
      </c>
      <c r="L138" s="187" t="e">
        <f>_xlfn.XLOOKUP(C140,'00_SKU_Master'!$B$2:$B$378,'00_SKU_Master'!K:K)</f>
        <v>#VALUE!</v>
      </c>
      <c r="M138" s="14">
        <f t="shared" si="14"/>
        <v>7247</v>
      </c>
      <c r="N138" s="147" t="e">
        <f ca="1">_xludf.IFNA(D140/_xlfn.XLOOKUP($M140,'00_SKU_Master'!$B$2:$B$378,'00_SKU_Master'!$M$2:$M$378,0)/$M$2,"0")</f>
        <v>#NAME?</v>
      </c>
      <c r="O138" s="147" t="e">
        <f ca="1">_xludf.IFNA(E140/_xlfn.XLOOKUP($M140,'00_SKU_Master'!$B$2:$B$378,'00_SKU_Master'!$M$2:$M$378,0)/$M$2,"0")</f>
        <v>#NAME?</v>
      </c>
      <c r="P138" s="147" t="e">
        <f ca="1">_xludf.IFNA(F140/_xlfn.XLOOKUP($M140,'00_SKU_Master'!$B$2:$B$378,'00_SKU_Master'!$M$2:$M$378,0)/$M$2,"0")</f>
        <v>#NAME?</v>
      </c>
      <c r="Q138" s="147" t="e">
        <f ca="1">_xludf.IFNA(G140/_xlfn.XLOOKUP($M140,'00_SKU_Master'!$B$2:$B$378,'00_SKU_Master'!$M$2:$M$378,0)/$M$2,"0")</f>
        <v>#NAME?</v>
      </c>
      <c r="R138" s="147" t="e">
        <f ca="1">_xludf.IFNA(H140/_xlfn.XLOOKUP($M140,'00_SKU_Master'!$B$2:$B$378,'00_SKU_Master'!$M$2:$M$378,0)/$M$2,"0")</f>
        <v>#NAME?</v>
      </c>
      <c r="S138" s="147" t="e">
        <f ca="1">_xludf.IFNA(I140/_xlfn.XLOOKUP($M140,'00_SKU_Master'!$B$2:$B$378,'00_SKU_Master'!$M$2:$M$378,0)/$M$2,"0")</f>
        <v>#NAME?</v>
      </c>
      <c r="T138" s="147" t="e">
        <f ca="1">_xludf.IFNA(J140/_xlfn.XLOOKUP($M140,'00_SKU_Master'!$B$2:$B$378,'00_SKU_Master'!$M$2:$M$378,0)/$M$2,"0")</f>
        <v>#NAME?</v>
      </c>
      <c r="U138" s="147" t="e">
        <f t="shared" ca="1" si="15"/>
        <v>#NAME?</v>
      </c>
      <c r="V138" s="4"/>
      <c r="W138" s="4" t="e">
        <f>_xlfn.XLOOKUP(M140,'00_SKU_Master'!$B$2:$B$378,'00_SKU_Master'!D:D)</f>
        <v>#VALUE!</v>
      </c>
      <c r="X138" s="14">
        <f>'05_Daily_Orders'!B139</f>
        <v>7245</v>
      </c>
      <c r="Y138" s="554"/>
      <c r="Z138" s="555"/>
      <c r="AA138" s="555"/>
      <c r="AB138" s="555"/>
      <c r="AC138" s="555">
        <v>0</v>
      </c>
      <c r="AD138" s="555">
        <v>0</v>
      </c>
      <c r="AE138" s="555">
        <v>0</v>
      </c>
      <c r="AF138" s="553">
        <f t="shared" si="16"/>
        <v>0</v>
      </c>
      <c r="AQ138" s="23">
        <v>0</v>
      </c>
      <c r="AR138" s="23">
        <v>0</v>
      </c>
      <c r="AS138" s="23">
        <f t="shared" si="17"/>
        <v>0</v>
      </c>
    </row>
    <row r="139" spans="1:45">
      <c r="A139" s="138">
        <f>_xlfn.XLOOKUP(C141,'00_SKU_Master'!$B$2:$B$378,'00_SKU_Master'!$C$2:$C$378)</f>
        <v>61074</v>
      </c>
      <c r="B139" s="138"/>
      <c r="C139" s="138">
        <f t="shared" si="12"/>
        <v>7248</v>
      </c>
      <c r="D139" s="552" t="e">
        <f ca="1">_xludf.IFNA(_xlfn.XLOOKUP(C141,'00_SKU_Master'!$B$2:$B$378,'00_SKU_Master'!$F$2:$F$378,0)*Y141,"")</f>
        <v>#NAME?</v>
      </c>
      <c r="E139" s="552" t="e">
        <f ca="1">_xludf.IFNA(_xlfn.XLOOKUP(C141,'00_SKU_Master'!$B$2:$B$378,'00_SKU_Master'!$F$2:$F$378,0)*Z141,"")</f>
        <v>#NAME?</v>
      </c>
      <c r="F139" s="552" t="e">
        <f ca="1">_xludf.IFNA(_xlfn.XLOOKUP(C141,'00_SKU_Master'!$B$2:$B$378,'00_SKU_Master'!$F$2:$F$378,0)*AA141,"")</f>
        <v>#NAME?</v>
      </c>
      <c r="G139" s="552" t="e">
        <f ca="1">_xludf.IFNA(_xlfn.XLOOKUP(C141,'00_SKU_Master'!$B$2:$B$378,'00_SKU_Master'!$F$2:$F$378,0)*AB141,"")</f>
        <v>#NAME?</v>
      </c>
      <c r="H139" s="552" t="e">
        <f ca="1">_xludf.IFNA(_xlfn.XLOOKUP(C141,'00_SKU_Master'!$B$2:$B$378,'00_SKU_Master'!$F$2:$F$378,0)*AC141,"")</f>
        <v>#NAME?</v>
      </c>
      <c r="I139" s="552" t="e">
        <f ca="1">_xludf.IFNA(_xlfn.XLOOKUP(C141,'00_SKU_Master'!$B$2:$B$378,'00_SKU_Master'!$F$2:$F$378,0)*AD141,"")</f>
        <v>#NAME?</v>
      </c>
      <c r="J139" s="552" t="e">
        <f ca="1">_xludf.IFNA(_xlfn.XLOOKUP(C141,'00_SKU_Master'!$B$2:$B$378,'00_SKU_Master'!$F$2:$F$378,0)*AE141,"")</f>
        <v>#NAME?</v>
      </c>
      <c r="K139" s="553" t="e">
        <f t="shared" ca="1" si="13"/>
        <v>#NAME?</v>
      </c>
      <c r="L139" s="187" t="e">
        <f>_xlfn.XLOOKUP(C141,'00_SKU_Master'!$B$2:$B$378,'00_SKU_Master'!K:K)</f>
        <v>#VALUE!</v>
      </c>
      <c r="M139" s="14">
        <f t="shared" si="14"/>
        <v>7248</v>
      </c>
      <c r="N139" s="147" t="e">
        <f ca="1">_xludf.IFNA(D141/_xlfn.XLOOKUP($M141,'00_SKU_Master'!$B$2:$B$378,'00_SKU_Master'!$M$2:$M$378,0)/$M$2,"0")</f>
        <v>#NAME?</v>
      </c>
      <c r="O139" s="147" t="e">
        <f ca="1">_xludf.IFNA(E141/_xlfn.XLOOKUP($M141,'00_SKU_Master'!$B$2:$B$378,'00_SKU_Master'!$M$2:$M$378,0)/$M$2,"0")</f>
        <v>#NAME?</v>
      </c>
      <c r="P139" s="147" t="e">
        <f ca="1">_xludf.IFNA(F141/_xlfn.XLOOKUP($M141,'00_SKU_Master'!$B$2:$B$378,'00_SKU_Master'!$M$2:$M$378,0)/$M$2,"0")</f>
        <v>#NAME?</v>
      </c>
      <c r="Q139" s="147" t="e">
        <f ca="1">_xludf.IFNA(G141/_xlfn.XLOOKUP($M141,'00_SKU_Master'!$B$2:$B$378,'00_SKU_Master'!$M$2:$M$378,0)/$M$2,"0")</f>
        <v>#NAME?</v>
      </c>
      <c r="R139" s="147" t="e">
        <f ca="1">_xludf.IFNA(H141/_xlfn.XLOOKUP($M141,'00_SKU_Master'!$B$2:$B$378,'00_SKU_Master'!$M$2:$M$378,0)/$M$2,"0")</f>
        <v>#NAME?</v>
      </c>
      <c r="S139" s="147" t="e">
        <f ca="1">_xludf.IFNA(I141/_xlfn.XLOOKUP($M141,'00_SKU_Master'!$B$2:$B$378,'00_SKU_Master'!$M$2:$M$378,0)/$M$2,"0")</f>
        <v>#NAME?</v>
      </c>
      <c r="T139" s="147" t="e">
        <f ca="1">_xludf.IFNA(J141/_xlfn.XLOOKUP($M141,'00_SKU_Master'!$B$2:$B$378,'00_SKU_Master'!$M$2:$M$378,0)/$M$2,"0")</f>
        <v>#NAME?</v>
      </c>
      <c r="U139" s="147" t="e">
        <f t="shared" ca="1" si="15"/>
        <v>#NAME?</v>
      </c>
      <c r="V139" s="4"/>
      <c r="W139" s="4" t="e">
        <f>_xlfn.XLOOKUP(M141,'00_SKU_Master'!$B$2:$B$378,'00_SKU_Master'!D:D)</f>
        <v>#VALUE!</v>
      </c>
      <c r="X139" s="14">
        <f>'05_Daily_Orders'!B140</f>
        <v>7246</v>
      </c>
      <c r="Y139" s="554"/>
      <c r="Z139" s="555"/>
      <c r="AA139" s="555"/>
      <c r="AB139" s="555"/>
      <c r="AC139" s="555">
        <v>0</v>
      </c>
      <c r="AD139" s="555">
        <v>0</v>
      </c>
      <c r="AE139" s="555">
        <v>0</v>
      </c>
      <c r="AF139" s="553">
        <f t="shared" si="16"/>
        <v>0</v>
      </c>
      <c r="AQ139" s="23">
        <v>0</v>
      </c>
      <c r="AR139" s="23">
        <v>0</v>
      </c>
      <c r="AS139" s="23">
        <f t="shared" si="17"/>
        <v>0</v>
      </c>
    </row>
    <row r="140" spans="1:45">
      <c r="A140" s="138">
        <f>_xlfn.XLOOKUP(C142,'00_SKU_Master'!$B$2:$B$378,'00_SKU_Master'!$C$2:$C$378)</f>
        <v>61079</v>
      </c>
      <c r="B140" s="138"/>
      <c r="C140" s="138">
        <f t="shared" si="12"/>
        <v>7249</v>
      </c>
      <c r="D140" s="552" t="e">
        <f ca="1">_xludf.IFNA(_xlfn.XLOOKUP(C142,'00_SKU_Master'!$B$2:$B$378,'00_SKU_Master'!$F$2:$F$378,0)*Y142,"")</f>
        <v>#NAME?</v>
      </c>
      <c r="E140" s="552" t="e">
        <f ca="1">_xludf.IFNA(_xlfn.XLOOKUP(C142,'00_SKU_Master'!$B$2:$B$378,'00_SKU_Master'!$F$2:$F$378,0)*Z142,"")</f>
        <v>#NAME?</v>
      </c>
      <c r="F140" s="552" t="e">
        <f ca="1">_xludf.IFNA(_xlfn.XLOOKUP(C142,'00_SKU_Master'!$B$2:$B$378,'00_SKU_Master'!$F$2:$F$378,0)*AA142,"")</f>
        <v>#NAME?</v>
      </c>
      <c r="G140" s="552" t="e">
        <f ca="1">_xludf.IFNA(_xlfn.XLOOKUP(C142,'00_SKU_Master'!$B$2:$B$378,'00_SKU_Master'!$F$2:$F$378,0)*AB142,"")</f>
        <v>#NAME?</v>
      </c>
      <c r="H140" s="552" t="e">
        <f ca="1">_xludf.IFNA(_xlfn.XLOOKUP(C142,'00_SKU_Master'!$B$2:$B$378,'00_SKU_Master'!$F$2:$F$378,0)*AC142,"")</f>
        <v>#NAME?</v>
      </c>
      <c r="I140" s="552" t="e">
        <f ca="1">_xludf.IFNA(_xlfn.XLOOKUP(C142,'00_SKU_Master'!$B$2:$B$378,'00_SKU_Master'!$F$2:$F$378,0)*AD142,"")</f>
        <v>#NAME?</v>
      </c>
      <c r="J140" s="552" t="e">
        <f ca="1">_xludf.IFNA(_xlfn.XLOOKUP(C142,'00_SKU_Master'!$B$2:$B$378,'00_SKU_Master'!$F$2:$F$378,0)*AE142,"")</f>
        <v>#NAME?</v>
      </c>
      <c r="K140" s="553" t="e">
        <f t="shared" ca="1" si="13"/>
        <v>#NAME?</v>
      </c>
      <c r="L140" s="187" t="e">
        <f>_xlfn.XLOOKUP(C142,'00_SKU_Master'!$B$2:$B$378,'00_SKU_Master'!K:K)</f>
        <v>#VALUE!</v>
      </c>
      <c r="M140" s="14">
        <f t="shared" si="14"/>
        <v>7249</v>
      </c>
      <c r="N140" s="147" t="e">
        <f ca="1">_xludf.IFNA(D142/_xlfn.XLOOKUP($M142,'00_SKU_Master'!$B$2:$B$378,'00_SKU_Master'!$M$2:$M$378,0)/$M$2,"0")</f>
        <v>#NAME?</v>
      </c>
      <c r="O140" s="147" t="e">
        <f ca="1">_xludf.IFNA(E142/_xlfn.XLOOKUP($M142,'00_SKU_Master'!$B$2:$B$378,'00_SKU_Master'!$M$2:$M$378,0)/$M$2,"0")</f>
        <v>#NAME?</v>
      </c>
      <c r="P140" s="147" t="e">
        <f ca="1">_xludf.IFNA(F142/_xlfn.XLOOKUP($M142,'00_SKU_Master'!$B$2:$B$378,'00_SKU_Master'!$M$2:$M$378,0)/$M$2,"0")</f>
        <v>#NAME?</v>
      </c>
      <c r="Q140" s="147" t="e">
        <f ca="1">_xludf.IFNA(G142/_xlfn.XLOOKUP($M142,'00_SKU_Master'!$B$2:$B$378,'00_SKU_Master'!$M$2:$M$378,0)/$M$2,"0")</f>
        <v>#NAME?</v>
      </c>
      <c r="R140" s="147" t="e">
        <f ca="1">_xludf.IFNA(H142/_xlfn.XLOOKUP($M142,'00_SKU_Master'!$B$2:$B$378,'00_SKU_Master'!$M$2:$M$378,0)/$M$2,"0")</f>
        <v>#NAME?</v>
      </c>
      <c r="S140" s="147" t="e">
        <f ca="1">_xludf.IFNA(I142/_xlfn.XLOOKUP($M142,'00_SKU_Master'!$B$2:$B$378,'00_SKU_Master'!$M$2:$M$378,0)/$M$2,"0")</f>
        <v>#NAME?</v>
      </c>
      <c r="T140" s="147" t="e">
        <f ca="1">_xludf.IFNA(J142/_xlfn.XLOOKUP($M142,'00_SKU_Master'!$B$2:$B$378,'00_SKU_Master'!$M$2:$M$378,0)/$M$2,"0")</f>
        <v>#NAME?</v>
      </c>
      <c r="U140" s="147" t="e">
        <f t="shared" ca="1" si="15"/>
        <v>#NAME?</v>
      </c>
      <c r="V140" s="4"/>
      <c r="W140" s="4" t="e">
        <f>_xlfn.XLOOKUP(M142,'00_SKU_Master'!$B$2:$B$378,'00_SKU_Master'!D:D)</f>
        <v>#VALUE!</v>
      </c>
      <c r="X140" s="14">
        <f>'05_Daily_Orders'!B141</f>
        <v>7247</v>
      </c>
      <c r="Y140" s="554"/>
      <c r="Z140" s="555"/>
      <c r="AA140" s="555"/>
      <c r="AB140" s="555"/>
      <c r="AC140" s="555">
        <v>0</v>
      </c>
      <c r="AD140" s="555">
        <v>0</v>
      </c>
      <c r="AE140" s="555">
        <v>0</v>
      </c>
      <c r="AF140" s="553">
        <f t="shared" si="16"/>
        <v>0</v>
      </c>
      <c r="AQ140" s="23">
        <v>0</v>
      </c>
      <c r="AR140" s="23">
        <v>0</v>
      </c>
      <c r="AS140" s="23">
        <f t="shared" si="17"/>
        <v>0</v>
      </c>
    </row>
    <row r="141" spans="1:45">
      <c r="A141" s="138">
        <f>_xlfn.XLOOKUP(C143,'00_SKU_Master'!$B$2:$B$378,'00_SKU_Master'!$C$2:$C$378)</f>
        <v>61051</v>
      </c>
      <c r="B141" s="138"/>
      <c r="C141" s="138">
        <f t="shared" si="12"/>
        <v>7250</v>
      </c>
      <c r="D141" s="552" t="e">
        <f ca="1">_xludf.IFNA(_xlfn.XLOOKUP(C143,'00_SKU_Master'!$B$2:$B$378,'00_SKU_Master'!$F$2:$F$378,0)*Y143,"")</f>
        <v>#NAME?</v>
      </c>
      <c r="E141" s="552" t="e">
        <f ca="1">_xludf.IFNA(_xlfn.XLOOKUP(C143,'00_SKU_Master'!$B$2:$B$378,'00_SKU_Master'!$F$2:$F$378,0)*Z143,"")</f>
        <v>#NAME?</v>
      </c>
      <c r="F141" s="552" t="e">
        <f ca="1">_xludf.IFNA(_xlfn.XLOOKUP(C143,'00_SKU_Master'!$B$2:$B$378,'00_SKU_Master'!$F$2:$F$378,0)*AA143,"")</f>
        <v>#NAME?</v>
      </c>
      <c r="G141" s="552" t="e">
        <f ca="1">_xludf.IFNA(_xlfn.XLOOKUP(C143,'00_SKU_Master'!$B$2:$B$378,'00_SKU_Master'!$F$2:$F$378,0)*AB143,"")</f>
        <v>#NAME?</v>
      </c>
      <c r="H141" s="552" t="e">
        <f ca="1">_xludf.IFNA(_xlfn.XLOOKUP(C143,'00_SKU_Master'!$B$2:$B$378,'00_SKU_Master'!$F$2:$F$378,0)*AC143,"")</f>
        <v>#NAME?</v>
      </c>
      <c r="I141" s="552" t="e">
        <f ca="1">_xludf.IFNA(_xlfn.XLOOKUP(C143,'00_SKU_Master'!$B$2:$B$378,'00_SKU_Master'!$F$2:$F$378,0)*AD143,"")</f>
        <v>#NAME?</v>
      </c>
      <c r="J141" s="552" t="e">
        <f ca="1">_xludf.IFNA(_xlfn.XLOOKUP(C143,'00_SKU_Master'!$B$2:$B$378,'00_SKU_Master'!$F$2:$F$378,0)*AE143,"")</f>
        <v>#NAME?</v>
      </c>
      <c r="K141" s="553" t="e">
        <f t="shared" ca="1" si="13"/>
        <v>#NAME?</v>
      </c>
      <c r="L141" s="187" t="e">
        <f>_xlfn.XLOOKUP(C143,'00_SKU_Master'!$B$2:$B$378,'00_SKU_Master'!K:K)</f>
        <v>#VALUE!</v>
      </c>
      <c r="M141" s="14">
        <f t="shared" si="14"/>
        <v>7250</v>
      </c>
      <c r="N141" s="147" t="e">
        <f ca="1">_xludf.IFNA(D143/_xlfn.XLOOKUP($M143,'00_SKU_Master'!$B$2:$B$378,'00_SKU_Master'!$M$2:$M$378,0)/$M$2,"0")</f>
        <v>#NAME?</v>
      </c>
      <c r="O141" s="147" t="e">
        <f ca="1">_xludf.IFNA(E143/_xlfn.XLOOKUP($M143,'00_SKU_Master'!$B$2:$B$378,'00_SKU_Master'!$M$2:$M$378,0)/$M$2,"0")</f>
        <v>#NAME?</v>
      </c>
      <c r="P141" s="147" t="e">
        <f ca="1">_xludf.IFNA(F143/_xlfn.XLOOKUP($M143,'00_SKU_Master'!$B$2:$B$378,'00_SKU_Master'!$M$2:$M$378,0)/$M$2,"0")</f>
        <v>#NAME?</v>
      </c>
      <c r="Q141" s="147" t="e">
        <f ca="1">_xludf.IFNA(G143/_xlfn.XLOOKUP($M143,'00_SKU_Master'!$B$2:$B$378,'00_SKU_Master'!$M$2:$M$378,0)/$M$2,"0")</f>
        <v>#NAME?</v>
      </c>
      <c r="R141" s="147" t="e">
        <f ca="1">_xludf.IFNA(H143/_xlfn.XLOOKUP($M143,'00_SKU_Master'!$B$2:$B$378,'00_SKU_Master'!$M$2:$M$378,0)/$M$2,"0")</f>
        <v>#NAME?</v>
      </c>
      <c r="S141" s="147" t="e">
        <f ca="1">_xludf.IFNA(I143/_xlfn.XLOOKUP($M143,'00_SKU_Master'!$B$2:$B$378,'00_SKU_Master'!$M$2:$M$378,0)/$M$2,"0")</f>
        <v>#NAME?</v>
      </c>
      <c r="T141" s="147" t="e">
        <f ca="1">_xludf.IFNA(J143/_xlfn.XLOOKUP($M143,'00_SKU_Master'!$B$2:$B$378,'00_SKU_Master'!$M$2:$M$378,0)/$M$2,"0")</f>
        <v>#NAME?</v>
      </c>
      <c r="U141" s="147" t="e">
        <f t="shared" ca="1" si="15"/>
        <v>#NAME?</v>
      </c>
      <c r="V141" s="4"/>
      <c r="W141" s="4" t="e">
        <f>_xlfn.XLOOKUP(M143,'00_SKU_Master'!$B$2:$B$378,'00_SKU_Master'!D:D)</f>
        <v>#VALUE!</v>
      </c>
      <c r="X141" s="14">
        <f>'05_Daily_Orders'!B142</f>
        <v>7248</v>
      </c>
      <c r="Y141" s="554"/>
      <c r="Z141" s="555"/>
      <c r="AA141" s="555"/>
      <c r="AB141" s="555"/>
      <c r="AC141" s="555">
        <v>0</v>
      </c>
      <c r="AD141" s="555">
        <v>0</v>
      </c>
      <c r="AE141" s="555">
        <v>0</v>
      </c>
      <c r="AF141" s="553">
        <f t="shared" si="16"/>
        <v>0</v>
      </c>
      <c r="AQ141" s="23">
        <v>0</v>
      </c>
      <c r="AR141" s="23">
        <v>0</v>
      </c>
      <c r="AS141" s="23">
        <f t="shared" si="17"/>
        <v>0</v>
      </c>
    </row>
    <row r="142" spans="1:45">
      <c r="A142" s="138">
        <f>_xlfn.XLOOKUP(C144,'00_SKU_Master'!$B$2:$B$378,'00_SKU_Master'!$C$2:$C$378)</f>
        <v>61079</v>
      </c>
      <c r="B142" s="138"/>
      <c r="C142" s="138">
        <f t="shared" si="12"/>
        <v>7251</v>
      </c>
      <c r="D142" s="552" t="e">
        <f ca="1">_xludf.IFNA(_xlfn.XLOOKUP(C144,'00_SKU_Master'!$B$2:$B$378,'00_SKU_Master'!$F$2:$F$378,0)*Y144,"")</f>
        <v>#NAME?</v>
      </c>
      <c r="E142" s="552" t="e">
        <f ca="1">_xludf.IFNA(_xlfn.XLOOKUP(C144,'00_SKU_Master'!$B$2:$B$378,'00_SKU_Master'!$F$2:$F$378,0)*Z144,"")</f>
        <v>#NAME?</v>
      </c>
      <c r="F142" s="552" t="e">
        <f ca="1">_xludf.IFNA(_xlfn.XLOOKUP(C144,'00_SKU_Master'!$B$2:$B$378,'00_SKU_Master'!$F$2:$F$378,0)*AA144,"")</f>
        <v>#NAME?</v>
      </c>
      <c r="G142" s="552" t="e">
        <f ca="1">_xludf.IFNA(_xlfn.XLOOKUP(C144,'00_SKU_Master'!$B$2:$B$378,'00_SKU_Master'!$F$2:$F$378,0)*AB144,"")</f>
        <v>#NAME?</v>
      </c>
      <c r="H142" s="552" t="e">
        <f ca="1">_xludf.IFNA(_xlfn.XLOOKUP(C144,'00_SKU_Master'!$B$2:$B$378,'00_SKU_Master'!$F$2:$F$378,0)*AC144,"")</f>
        <v>#NAME?</v>
      </c>
      <c r="I142" s="552" t="e">
        <f ca="1">_xludf.IFNA(_xlfn.XLOOKUP(C144,'00_SKU_Master'!$B$2:$B$378,'00_SKU_Master'!$F$2:$F$378,0)*AD144,"")</f>
        <v>#NAME?</v>
      </c>
      <c r="J142" s="552" t="e">
        <f ca="1">_xludf.IFNA(_xlfn.XLOOKUP(C144,'00_SKU_Master'!$B$2:$B$378,'00_SKU_Master'!$F$2:$F$378,0)*AE144,"")</f>
        <v>#NAME?</v>
      </c>
      <c r="K142" s="553" t="e">
        <f t="shared" ca="1" si="13"/>
        <v>#NAME?</v>
      </c>
      <c r="L142" s="187" t="e">
        <f>_xlfn.XLOOKUP(C144,'00_SKU_Master'!$B$2:$B$378,'00_SKU_Master'!K:K)</f>
        <v>#VALUE!</v>
      </c>
      <c r="M142" s="14">
        <f t="shared" si="14"/>
        <v>7251</v>
      </c>
      <c r="N142" s="147" t="e">
        <f ca="1">_xludf.IFNA(D144/_xlfn.XLOOKUP($M144,'00_SKU_Master'!$B$2:$B$378,'00_SKU_Master'!$M$2:$M$378,0)/$M$2,"0")</f>
        <v>#NAME?</v>
      </c>
      <c r="O142" s="147" t="e">
        <f ca="1">_xludf.IFNA(E144/_xlfn.XLOOKUP($M144,'00_SKU_Master'!$B$2:$B$378,'00_SKU_Master'!$M$2:$M$378,0)/$M$2,"0")</f>
        <v>#NAME?</v>
      </c>
      <c r="P142" s="147" t="e">
        <f ca="1">_xludf.IFNA(F144/_xlfn.XLOOKUP($M144,'00_SKU_Master'!$B$2:$B$378,'00_SKU_Master'!$M$2:$M$378,0)/$M$2,"0")</f>
        <v>#NAME?</v>
      </c>
      <c r="Q142" s="147" t="e">
        <f ca="1">_xludf.IFNA(G144/_xlfn.XLOOKUP($M144,'00_SKU_Master'!$B$2:$B$378,'00_SKU_Master'!$M$2:$M$378,0)/$M$2,"0")</f>
        <v>#NAME?</v>
      </c>
      <c r="R142" s="147" t="e">
        <f ca="1">_xludf.IFNA(H144/_xlfn.XLOOKUP($M144,'00_SKU_Master'!$B$2:$B$378,'00_SKU_Master'!$M$2:$M$378,0)/$M$2,"0")</f>
        <v>#NAME?</v>
      </c>
      <c r="S142" s="147" t="e">
        <f ca="1">_xludf.IFNA(I144/_xlfn.XLOOKUP($M144,'00_SKU_Master'!$B$2:$B$378,'00_SKU_Master'!$M$2:$M$378,0)/$M$2,"0")</f>
        <v>#NAME?</v>
      </c>
      <c r="T142" s="147" t="e">
        <f ca="1">_xludf.IFNA(J144/_xlfn.XLOOKUP($M144,'00_SKU_Master'!$B$2:$B$378,'00_SKU_Master'!$M$2:$M$378,0)/$M$2,"0")</f>
        <v>#NAME?</v>
      </c>
      <c r="U142" s="147" t="e">
        <f t="shared" ca="1" si="15"/>
        <v>#NAME?</v>
      </c>
      <c r="V142" s="4"/>
      <c r="W142" s="4" t="e">
        <f>_xlfn.XLOOKUP(M144,'00_SKU_Master'!$B$2:$B$378,'00_SKU_Master'!D:D)</f>
        <v>#VALUE!</v>
      </c>
      <c r="X142" s="14">
        <f>'05_Daily_Orders'!B143</f>
        <v>7249</v>
      </c>
      <c r="Y142" s="554"/>
      <c r="Z142" s="555"/>
      <c r="AA142" s="555"/>
      <c r="AB142" s="555"/>
      <c r="AC142" s="555">
        <v>0</v>
      </c>
      <c r="AD142" s="555">
        <v>0</v>
      </c>
      <c r="AE142" s="555">
        <v>0</v>
      </c>
      <c r="AF142" s="553">
        <f t="shared" si="16"/>
        <v>0</v>
      </c>
      <c r="AQ142" s="23">
        <v>0</v>
      </c>
      <c r="AR142" s="23">
        <v>0</v>
      </c>
      <c r="AS142" s="23">
        <f t="shared" si="17"/>
        <v>0</v>
      </c>
    </row>
    <row r="143" spans="1:45">
      <c r="A143" s="138">
        <f>_xlfn.XLOOKUP(C145,'00_SKU_Master'!$B$2:$B$378,'00_SKU_Master'!$C$2:$C$378)</f>
        <v>61074</v>
      </c>
      <c r="B143" s="138"/>
      <c r="C143" s="138">
        <f t="shared" si="12"/>
        <v>7252</v>
      </c>
      <c r="D143" s="552" t="e">
        <f ca="1">_xludf.IFNA(_xlfn.XLOOKUP(C145,'00_SKU_Master'!$B$2:$B$378,'00_SKU_Master'!$F$2:$F$378,0)*Y145,"")</f>
        <v>#NAME?</v>
      </c>
      <c r="E143" s="552" t="e">
        <f ca="1">_xludf.IFNA(_xlfn.XLOOKUP(C145,'00_SKU_Master'!$B$2:$B$378,'00_SKU_Master'!$F$2:$F$378,0)*Z145,"")</f>
        <v>#NAME?</v>
      </c>
      <c r="F143" s="552" t="e">
        <f ca="1">_xludf.IFNA(_xlfn.XLOOKUP(C145,'00_SKU_Master'!$B$2:$B$378,'00_SKU_Master'!$F$2:$F$378,0)*AA145,"")</f>
        <v>#NAME?</v>
      </c>
      <c r="G143" s="552" t="e">
        <f ca="1">_xludf.IFNA(_xlfn.XLOOKUP(C145,'00_SKU_Master'!$B$2:$B$378,'00_SKU_Master'!$F$2:$F$378,0)*AB145,"")</f>
        <v>#NAME?</v>
      </c>
      <c r="H143" s="552" t="e">
        <f ca="1">_xludf.IFNA(_xlfn.XLOOKUP(C145,'00_SKU_Master'!$B$2:$B$378,'00_SKU_Master'!$F$2:$F$378,0)*AC145,"")</f>
        <v>#NAME?</v>
      </c>
      <c r="I143" s="552" t="e">
        <f ca="1">_xludf.IFNA(_xlfn.XLOOKUP(C145,'00_SKU_Master'!$B$2:$B$378,'00_SKU_Master'!$F$2:$F$378,0)*AD145,"")</f>
        <v>#NAME?</v>
      </c>
      <c r="J143" s="552" t="e">
        <f ca="1">_xludf.IFNA(_xlfn.XLOOKUP(C145,'00_SKU_Master'!$B$2:$B$378,'00_SKU_Master'!$F$2:$F$378,0)*AE145,"")</f>
        <v>#NAME?</v>
      </c>
      <c r="K143" s="553" t="e">
        <f t="shared" ca="1" si="13"/>
        <v>#NAME?</v>
      </c>
      <c r="L143" s="187" t="e">
        <f>_xlfn.XLOOKUP(C145,'00_SKU_Master'!$B$2:$B$378,'00_SKU_Master'!K:K)</f>
        <v>#VALUE!</v>
      </c>
      <c r="M143" s="14">
        <f t="shared" si="14"/>
        <v>7252</v>
      </c>
      <c r="N143" s="147" t="e">
        <f ca="1">_xludf.IFNA(D145/_xlfn.XLOOKUP($M145,'00_SKU_Master'!$B$2:$B$378,'00_SKU_Master'!$M$2:$M$378,0)/$M$2,"0")</f>
        <v>#NAME?</v>
      </c>
      <c r="O143" s="147" t="e">
        <f ca="1">_xludf.IFNA(E145/_xlfn.XLOOKUP($M145,'00_SKU_Master'!$B$2:$B$378,'00_SKU_Master'!$M$2:$M$378,0)/$M$2,"0")</f>
        <v>#NAME?</v>
      </c>
      <c r="P143" s="147" t="e">
        <f ca="1">_xludf.IFNA(F145/_xlfn.XLOOKUP($M145,'00_SKU_Master'!$B$2:$B$378,'00_SKU_Master'!$M$2:$M$378,0)/$M$2,"0")</f>
        <v>#NAME?</v>
      </c>
      <c r="Q143" s="147" t="e">
        <f ca="1">_xludf.IFNA(G145/_xlfn.XLOOKUP($M145,'00_SKU_Master'!$B$2:$B$378,'00_SKU_Master'!$M$2:$M$378,0)/$M$2,"0")</f>
        <v>#NAME?</v>
      </c>
      <c r="R143" s="147" t="e">
        <f ca="1">_xludf.IFNA(H145/_xlfn.XLOOKUP($M145,'00_SKU_Master'!$B$2:$B$378,'00_SKU_Master'!$M$2:$M$378,0)/$M$2,"0")</f>
        <v>#NAME?</v>
      </c>
      <c r="S143" s="147" t="e">
        <f ca="1">_xludf.IFNA(I145/_xlfn.XLOOKUP($M145,'00_SKU_Master'!$B$2:$B$378,'00_SKU_Master'!$M$2:$M$378,0)/$M$2,"0")</f>
        <v>#NAME?</v>
      </c>
      <c r="T143" s="147" t="e">
        <f ca="1">_xludf.IFNA(J145/_xlfn.XLOOKUP($M145,'00_SKU_Master'!$B$2:$B$378,'00_SKU_Master'!$M$2:$M$378,0)/$M$2,"0")</f>
        <v>#NAME?</v>
      </c>
      <c r="U143" s="147" t="e">
        <f t="shared" ca="1" si="15"/>
        <v>#NAME?</v>
      </c>
      <c r="V143" s="4"/>
      <c r="W143" s="4" t="e">
        <f>_xlfn.XLOOKUP(M145,'00_SKU_Master'!$B$2:$B$378,'00_SKU_Master'!D:D)</f>
        <v>#VALUE!</v>
      </c>
      <c r="X143" s="14">
        <f>'05_Daily_Orders'!B144</f>
        <v>7250</v>
      </c>
      <c r="Y143" s="554"/>
      <c r="Z143" s="555"/>
      <c r="AA143" s="555"/>
      <c r="AB143" s="555"/>
      <c r="AC143" s="555">
        <v>0</v>
      </c>
      <c r="AD143" s="555">
        <v>0</v>
      </c>
      <c r="AE143" s="555">
        <v>0</v>
      </c>
      <c r="AF143" s="553">
        <f t="shared" si="16"/>
        <v>0</v>
      </c>
      <c r="AQ143" s="23">
        <v>0</v>
      </c>
      <c r="AR143" s="23">
        <v>0</v>
      </c>
      <c r="AS143" s="23">
        <f t="shared" si="17"/>
        <v>0</v>
      </c>
    </row>
    <row r="144" spans="1:45">
      <c r="A144" s="138" t="str">
        <f>_xlfn.XLOOKUP(C146,'00_SKU_Master'!$B$2:$B$378,'00_SKU_Master'!$C$2:$C$378)</f>
        <v>61050#2</v>
      </c>
      <c r="B144" s="138"/>
      <c r="C144" s="138">
        <f t="shared" si="12"/>
        <v>7253</v>
      </c>
      <c r="D144" s="552" t="e">
        <f ca="1">_xludf.IFNA(_xlfn.XLOOKUP(C146,'00_SKU_Master'!$B$2:$B$378,'00_SKU_Master'!$F$2:$F$378,0)*Y146,"")</f>
        <v>#NAME?</v>
      </c>
      <c r="E144" s="552" t="e">
        <f ca="1">_xludf.IFNA(_xlfn.XLOOKUP(C146,'00_SKU_Master'!$B$2:$B$378,'00_SKU_Master'!$F$2:$F$378,0)*Z146,"")</f>
        <v>#NAME?</v>
      </c>
      <c r="F144" s="552" t="e">
        <f ca="1">_xludf.IFNA(_xlfn.XLOOKUP(C146,'00_SKU_Master'!$B$2:$B$378,'00_SKU_Master'!$F$2:$F$378,0)*AA146,"")</f>
        <v>#NAME?</v>
      </c>
      <c r="G144" s="552" t="e">
        <f ca="1">_xludf.IFNA(_xlfn.XLOOKUP(C146,'00_SKU_Master'!$B$2:$B$378,'00_SKU_Master'!$F$2:$F$378,0)*AB146,"")</f>
        <v>#NAME?</v>
      </c>
      <c r="H144" s="552" t="e">
        <f ca="1">_xludf.IFNA(_xlfn.XLOOKUP(C146,'00_SKU_Master'!$B$2:$B$378,'00_SKU_Master'!$F$2:$F$378,0)*AC146,"")</f>
        <v>#NAME?</v>
      </c>
      <c r="I144" s="552" t="e">
        <f ca="1">_xludf.IFNA(_xlfn.XLOOKUP(C146,'00_SKU_Master'!$B$2:$B$378,'00_SKU_Master'!$F$2:$F$378,0)*AD146,"")</f>
        <v>#NAME?</v>
      </c>
      <c r="J144" s="552" t="e">
        <f ca="1">_xludf.IFNA(_xlfn.XLOOKUP(C146,'00_SKU_Master'!$B$2:$B$378,'00_SKU_Master'!$F$2:$F$378,0)*AE146,"")</f>
        <v>#NAME?</v>
      </c>
      <c r="K144" s="553" t="e">
        <f t="shared" ca="1" si="13"/>
        <v>#NAME?</v>
      </c>
      <c r="L144" s="187" t="e">
        <f>_xlfn.XLOOKUP(C146,'00_SKU_Master'!$B$2:$B$378,'00_SKU_Master'!K:K)</f>
        <v>#VALUE!</v>
      </c>
      <c r="M144" s="14">
        <f t="shared" si="14"/>
        <v>7253</v>
      </c>
      <c r="N144" s="147" t="e">
        <f ca="1">_xludf.IFNA(D146/_xlfn.XLOOKUP($M146,'00_SKU_Master'!$B$2:$B$378,'00_SKU_Master'!$M$2:$M$378,0)/$M$2,"0")</f>
        <v>#NAME?</v>
      </c>
      <c r="O144" s="147" t="e">
        <f ca="1">_xludf.IFNA(E146/_xlfn.XLOOKUP($M146,'00_SKU_Master'!$B$2:$B$378,'00_SKU_Master'!$M$2:$M$378,0)/$M$2,"0")</f>
        <v>#NAME?</v>
      </c>
      <c r="P144" s="147" t="e">
        <f ca="1">_xludf.IFNA(F146/_xlfn.XLOOKUP($M146,'00_SKU_Master'!$B$2:$B$378,'00_SKU_Master'!$M$2:$M$378,0)/$M$2,"0")</f>
        <v>#NAME?</v>
      </c>
      <c r="Q144" s="147" t="e">
        <f ca="1">_xludf.IFNA(G146/_xlfn.XLOOKUP($M146,'00_SKU_Master'!$B$2:$B$378,'00_SKU_Master'!$M$2:$M$378,0)/$M$2,"0")</f>
        <v>#NAME?</v>
      </c>
      <c r="R144" s="147" t="e">
        <f ca="1">_xludf.IFNA(H146/_xlfn.XLOOKUP($M146,'00_SKU_Master'!$B$2:$B$378,'00_SKU_Master'!$M$2:$M$378,0)/$M$2,"0")</f>
        <v>#NAME?</v>
      </c>
      <c r="S144" s="147" t="e">
        <f ca="1">_xludf.IFNA(I146/_xlfn.XLOOKUP($M146,'00_SKU_Master'!$B$2:$B$378,'00_SKU_Master'!$M$2:$M$378,0)/$M$2,"0")</f>
        <v>#NAME?</v>
      </c>
      <c r="T144" s="147" t="e">
        <f ca="1">_xludf.IFNA(J146/_xlfn.XLOOKUP($M146,'00_SKU_Master'!$B$2:$B$378,'00_SKU_Master'!$M$2:$M$378,0)/$M$2,"0")</f>
        <v>#NAME?</v>
      </c>
      <c r="U144" s="147" t="e">
        <f t="shared" ca="1" si="15"/>
        <v>#NAME?</v>
      </c>
      <c r="V144" s="4"/>
      <c r="W144" s="4" t="e">
        <f>_xlfn.XLOOKUP(M146,'00_SKU_Master'!$B$2:$B$378,'00_SKU_Master'!D:D)</f>
        <v>#VALUE!</v>
      </c>
      <c r="X144" s="14">
        <f>'05_Daily_Orders'!B145</f>
        <v>7251</v>
      </c>
      <c r="Y144" s="554"/>
      <c r="Z144" s="555"/>
      <c r="AA144" s="555"/>
      <c r="AB144" s="555"/>
      <c r="AC144" s="555">
        <v>0</v>
      </c>
      <c r="AD144" s="555">
        <v>0</v>
      </c>
      <c r="AE144" s="555">
        <v>0</v>
      </c>
      <c r="AF144" s="553">
        <f t="shared" si="16"/>
        <v>0</v>
      </c>
      <c r="AQ144" s="23">
        <v>0</v>
      </c>
      <c r="AR144" s="23">
        <v>0</v>
      </c>
      <c r="AS144" s="23">
        <f t="shared" si="17"/>
        <v>0</v>
      </c>
    </row>
    <row r="145" spans="1:45">
      <c r="A145" s="138">
        <f>_xlfn.XLOOKUP(C147,'00_SKU_Master'!$B$2:$B$378,'00_SKU_Master'!$C$2:$C$378)</f>
        <v>203136</v>
      </c>
      <c r="B145" s="138"/>
      <c r="C145" s="138">
        <f t="shared" si="12"/>
        <v>7254</v>
      </c>
      <c r="D145" s="552" t="e">
        <f ca="1">_xludf.IFNA(_xlfn.XLOOKUP(C147,'00_SKU_Master'!$B$2:$B$378,'00_SKU_Master'!$F$2:$F$378,0)*Y147,"")</f>
        <v>#NAME?</v>
      </c>
      <c r="E145" s="552" t="e">
        <f ca="1">_xludf.IFNA(_xlfn.XLOOKUP(C147,'00_SKU_Master'!$B$2:$B$378,'00_SKU_Master'!$F$2:$F$378,0)*Z147,"")</f>
        <v>#NAME?</v>
      </c>
      <c r="F145" s="552" t="e">
        <f ca="1">_xludf.IFNA(_xlfn.XLOOKUP(C147,'00_SKU_Master'!$B$2:$B$378,'00_SKU_Master'!$F$2:$F$378,0)*AA147,"")</f>
        <v>#NAME?</v>
      </c>
      <c r="G145" s="552" t="e">
        <f ca="1">_xludf.IFNA(_xlfn.XLOOKUP(C147,'00_SKU_Master'!$B$2:$B$378,'00_SKU_Master'!$F$2:$F$378,0)*AB147,"")</f>
        <v>#NAME?</v>
      </c>
      <c r="H145" s="552" t="e">
        <f ca="1">_xludf.IFNA(_xlfn.XLOOKUP(C147,'00_SKU_Master'!$B$2:$B$378,'00_SKU_Master'!$F$2:$F$378,0)*AC147,"")</f>
        <v>#NAME?</v>
      </c>
      <c r="I145" s="552" t="e">
        <f ca="1">_xludf.IFNA(_xlfn.XLOOKUP(C147,'00_SKU_Master'!$B$2:$B$378,'00_SKU_Master'!$F$2:$F$378,0)*AD147,"")</f>
        <v>#NAME?</v>
      </c>
      <c r="J145" s="552" t="e">
        <f ca="1">_xludf.IFNA(_xlfn.XLOOKUP(C147,'00_SKU_Master'!$B$2:$B$378,'00_SKU_Master'!$F$2:$F$378,0)*AE147,"")</f>
        <v>#NAME?</v>
      </c>
      <c r="K145" s="553" t="e">
        <f t="shared" ca="1" si="13"/>
        <v>#NAME?</v>
      </c>
      <c r="L145" s="187" t="e">
        <f>_xlfn.XLOOKUP(C147,'00_SKU_Master'!$B$2:$B$378,'00_SKU_Master'!K:K)</f>
        <v>#VALUE!</v>
      </c>
      <c r="M145" s="14">
        <f t="shared" si="14"/>
        <v>7254</v>
      </c>
      <c r="N145" s="147" t="e">
        <f ca="1">_xludf.IFNA(D147/_xlfn.XLOOKUP($M147,'00_SKU_Master'!$B$2:$B$378,'00_SKU_Master'!$M$2:$M$378,0)/$M$2,"0")</f>
        <v>#NAME?</v>
      </c>
      <c r="O145" s="147" t="e">
        <f ca="1">_xludf.IFNA(E147/_xlfn.XLOOKUP($M147,'00_SKU_Master'!$B$2:$B$378,'00_SKU_Master'!$M$2:$M$378,0)/$M$2,"0")</f>
        <v>#NAME?</v>
      </c>
      <c r="P145" s="147" t="e">
        <f ca="1">_xludf.IFNA(F147/_xlfn.XLOOKUP($M147,'00_SKU_Master'!$B$2:$B$378,'00_SKU_Master'!$M$2:$M$378,0)/$M$2,"0")</f>
        <v>#NAME?</v>
      </c>
      <c r="Q145" s="147" t="e">
        <f ca="1">_xludf.IFNA(G147/_xlfn.XLOOKUP($M147,'00_SKU_Master'!$B$2:$B$378,'00_SKU_Master'!$M$2:$M$378,0)/$M$2,"0")</f>
        <v>#NAME?</v>
      </c>
      <c r="R145" s="147" t="e">
        <f ca="1">_xludf.IFNA(H147/_xlfn.XLOOKUP($M147,'00_SKU_Master'!$B$2:$B$378,'00_SKU_Master'!$M$2:$M$378,0)/$M$2,"0")</f>
        <v>#NAME?</v>
      </c>
      <c r="S145" s="147" t="e">
        <f ca="1">_xludf.IFNA(I147/_xlfn.XLOOKUP($M147,'00_SKU_Master'!$B$2:$B$378,'00_SKU_Master'!$M$2:$M$378,0)/$M$2,"0")</f>
        <v>#NAME?</v>
      </c>
      <c r="T145" s="147" t="e">
        <f ca="1">_xludf.IFNA(J147/_xlfn.XLOOKUP($M147,'00_SKU_Master'!$B$2:$B$378,'00_SKU_Master'!$M$2:$M$378,0)/$M$2,"0")</f>
        <v>#NAME?</v>
      </c>
      <c r="U145" s="147" t="e">
        <f t="shared" ca="1" si="15"/>
        <v>#NAME?</v>
      </c>
      <c r="V145" s="4"/>
      <c r="W145" s="4" t="e">
        <f>_xlfn.XLOOKUP(M147,'00_SKU_Master'!$B$2:$B$378,'00_SKU_Master'!D:D)</f>
        <v>#VALUE!</v>
      </c>
      <c r="X145" s="14">
        <f>'05_Daily_Orders'!B146</f>
        <v>7252</v>
      </c>
      <c r="Y145" s="554"/>
      <c r="Z145" s="555"/>
      <c r="AA145" s="555"/>
      <c r="AB145" s="555"/>
      <c r="AC145" s="555">
        <v>0</v>
      </c>
      <c r="AD145" s="555">
        <v>0</v>
      </c>
      <c r="AE145" s="555">
        <v>0</v>
      </c>
      <c r="AF145" s="553">
        <f t="shared" si="16"/>
        <v>0</v>
      </c>
      <c r="AQ145" s="23">
        <v>0</v>
      </c>
      <c r="AR145" s="23">
        <v>0</v>
      </c>
      <c r="AS145" s="23">
        <f t="shared" si="17"/>
        <v>0</v>
      </c>
    </row>
    <row r="146" spans="1:45">
      <c r="A146" s="138">
        <f>_xlfn.XLOOKUP(C148,'00_SKU_Master'!$B$2:$B$378,'00_SKU_Master'!$C$2:$C$378)</f>
        <v>61014</v>
      </c>
      <c r="B146" s="138"/>
      <c r="C146" s="138">
        <f t="shared" si="12"/>
        <v>7260</v>
      </c>
      <c r="D146" s="552" t="e">
        <f ca="1">_xludf.IFNA(_xlfn.XLOOKUP(C148,'00_SKU_Master'!$B$2:$B$378,'00_SKU_Master'!$F$2:$F$378,0)*Y148,"")</f>
        <v>#NAME?</v>
      </c>
      <c r="E146" s="552" t="e">
        <f ca="1">_xludf.IFNA(_xlfn.XLOOKUP(C148,'00_SKU_Master'!$B$2:$B$378,'00_SKU_Master'!$F$2:$F$378,0)*Z148,"")</f>
        <v>#NAME?</v>
      </c>
      <c r="F146" s="552" t="e">
        <f ca="1">_xludf.IFNA(_xlfn.XLOOKUP(C148,'00_SKU_Master'!$B$2:$B$378,'00_SKU_Master'!$F$2:$F$378,0)*AA148,"")</f>
        <v>#NAME?</v>
      </c>
      <c r="G146" s="552" t="e">
        <f ca="1">_xludf.IFNA(_xlfn.XLOOKUP(C148,'00_SKU_Master'!$B$2:$B$378,'00_SKU_Master'!$F$2:$F$378,0)*AB148,"")</f>
        <v>#NAME?</v>
      </c>
      <c r="H146" s="552" t="e">
        <f ca="1">_xludf.IFNA(_xlfn.XLOOKUP(C148,'00_SKU_Master'!$B$2:$B$378,'00_SKU_Master'!$F$2:$F$378,0)*AC148,"")</f>
        <v>#NAME?</v>
      </c>
      <c r="I146" s="552" t="e">
        <f ca="1">_xludf.IFNA(_xlfn.XLOOKUP(C148,'00_SKU_Master'!$B$2:$B$378,'00_SKU_Master'!$F$2:$F$378,0)*AD148,"")</f>
        <v>#NAME?</v>
      </c>
      <c r="J146" s="552" t="e">
        <f ca="1">_xludf.IFNA(_xlfn.XLOOKUP(C148,'00_SKU_Master'!$B$2:$B$378,'00_SKU_Master'!$F$2:$F$378,0)*AE148,"")</f>
        <v>#NAME?</v>
      </c>
      <c r="K146" s="553" t="e">
        <f t="shared" ca="1" si="13"/>
        <v>#NAME?</v>
      </c>
      <c r="L146" s="187" t="e">
        <f>_xlfn.XLOOKUP(C148,'00_SKU_Master'!$B$2:$B$378,'00_SKU_Master'!K:K)</f>
        <v>#VALUE!</v>
      </c>
      <c r="M146" s="14">
        <f t="shared" si="14"/>
        <v>7260</v>
      </c>
      <c r="N146" s="147" t="e">
        <f ca="1">_xludf.IFNA(D148/_xlfn.XLOOKUP($M148,'00_SKU_Master'!$B$2:$B$378,'00_SKU_Master'!$M$2:$M$378,0)/$M$2,"0")</f>
        <v>#NAME?</v>
      </c>
      <c r="O146" s="147" t="e">
        <f ca="1">_xludf.IFNA(E148/_xlfn.XLOOKUP($M148,'00_SKU_Master'!$B$2:$B$378,'00_SKU_Master'!$M$2:$M$378,0)/$M$2,"0")</f>
        <v>#NAME?</v>
      </c>
      <c r="P146" s="147" t="e">
        <f ca="1">_xludf.IFNA(F148/_xlfn.XLOOKUP($M148,'00_SKU_Master'!$B$2:$B$378,'00_SKU_Master'!$M$2:$M$378,0)/$M$2,"0")</f>
        <v>#NAME?</v>
      </c>
      <c r="Q146" s="147" t="e">
        <f ca="1">_xludf.IFNA(G148/_xlfn.XLOOKUP($M148,'00_SKU_Master'!$B$2:$B$378,'00_SKU_Master'!$M$2:$M$378,0)/$M$2,"0")</f>
        <v>#NAME?</v>
      </c>
      <c r="R146" s="147" t="e">
        <f ca="1">_xludf.IFNA(H148/_xlfn.XLOOKUP($M148,'00_SKU_Master'!$B$2:$B$378,'00_SKU_Master'!$M$2:$M$378,0)/$M$2,"0")</f>
        <v>#NAME?</v>
      </c>
      <c r="S146" s="147" t="e">
        <f ca="1">_xludf.IFNA(I148/_xlfn.XLOOKUP($M148,'00_SKU_Master'!$B$2:$B$378,'00_SKU_Master'!$M$2:$M$378,0)/$M$2,"0")</f>
        <v>#NAME?</v>
      </c>
      <c r="T146" s="147" t="e">
        <f ca="1">_xludf.IFNA(J148/_xlfn.XLOOKUP($M148,'00_SKU_Master'!$B$2:$B$378,'00_SKU_Master'!$M$2:$M$378,0)/$M$2,"0")</f>
        <v>#NAME?</v>
      </c>
      <c r="U146" s="147" t="e">
        <f t="shared" ca="1" si="15"/>
        <v>#NAME?</v>
      </c>
      <c r="V146" s="4"/>
      <c r="W146" s="4" t="e">
        <f>_xlfn.XLOOKUP(M148,'00_SKU_Master'!$B$2:$B$378,'00_SKU_Master'!D:D)</f>
        <v>#VALUE!</v>
      </c>
      <c r="X146" s="14">
        <f>'05_Daily_Orders'!B147</f>
        <v>7253</v>
      </c>
      <c r="Y146" s="554"/>
      <c r="Z146" s="555"/>
      <c r="AA146" s="555"/>
      <c r="AB146" s="555"/>
      <c r="AC146" s="555">
        <v>0</v>
      </c>
      <c r="AD146" s="555">
        <v>0</v>
      </c>
      <c r="AE146" s="555">
        <v>0</v>
      </c>
      <c r="AF146" s="553">
        <f t="shared" si="16"/>
        <v>0</v>
      </c>
      <c r="AQ146" s="23">
        <v>0</v>
      </c>
      <c r="AR146" s="23">
        <v>0</v>
      </c>
      <c r="AS146" s="23">
        <f t="shared" si="17"/>
        <v>0</v>
      </c>
    </row>
    <row r="147" spans="1:45">
      <c r="A147" s="138">
        <f>_xlfn.XLOOKUP(C149,'00_SKU_Master'!$B$2:$B$378,'00_SKU_Master'!$C$2:$C$378)</f>
        <v>61048</v>
      </c>
      <c r="B147" s="138"/>
      <c r="C147" s="138">
        <f t="shared" si="12"/>
        <v>7268</v>
      </c>
      <c r="D147" s="552" t="e">
        <f ca="1">_xludf.IFNA(_xlfn.XLOOKUP(C149,'00_SKU_Master'!$B$2:$B$378,'00_SKU_Master'!$F$2:$F$378,0)*Y149,"")</f>
        <v>#NAME?</v>
      </c>
      <c r="E147" s="552" t="e">
        <f ca="1">_xludf.IFNA(_xlfn.XLOOKUP(C149,'00_SKU_Master'!$B$2:$B$378,'00_SKU_Master'!$F$2:$F$378,0)*Z149,"")</f>
        <v>#NAME?</v>
      </c>
      <c r="F147" s="552" t="e">
        <f ca="1">_xludf.IFNA(_xlfn.XLOOKUP(C149,'00_SKU_Master'!$B$2:$B$378,'00_SKU_Master'!$F$2:$F$378,0)*AA149,"")</f>
        <v>#NAME?</v>
      </c>
      <c r="G147" s="552" t="e">
        <f ca="1">_xludf.IFNA(_xlfn.XLOOKUP(C149,'00_SKU_Master'!$B$2:$B$378,'00_SKU_Master'!$F$2:$F$378,0)*AB149,"")</f>
        <v>#NAME?</v>
      </c>
      <c r="H147" s="552" t="e">
        <f ca="1">_xludf.IFNA(_xlfn.XLOOKUP(C149,'00_SKU_Master'!$B$2:$B$378,'00_SKU_Master'!$F$2:$F$378,0)*AC149,"")</f>
        <v>#NAME?</v>
      </c>
      <c r="I147" s="552" t="e">
        <f ca="1">_xludf.IFNA(_xlfn.XLOOKUP(C149,'00_SKU_Master'!$B$2:$B$378,'00_SKU_Master'!$F$2:$F$378,0)*AD149,"")</f>
        <v>#NAME?</v>
      </c>
      <c r="J147" s="552" t="e">
        <f ca="1">_xludf.IFNA(_xlfn.XLOOKUP(C149,'00_SKU_Master'!$B$2:$B$378,'00_SKU_Master'!$F$2:$F$378,0)*AE149,"")</f>
        <v>#NAME?</v>
      </c>
      <c r="K147" s="553" t="e">
        <f t="shared" ca="1" si="13"/>
        <v>#NAME?</v>
      </c>
      <c r="L147" s="187" t="e">
        <f>_xlfn.XLOOKUP(C149,'00_SKU_Master'!$B$2:$B$378,'00_SKU_Master'!K:K)</f>
        <v>#VALUE!</v>
      </c>
      <c r="M147" s="14">
        <f t="shared" si="14"/>
        <v>7268</v>
      </c>
      <c r="N147" s="147" t="e">
        <f ca="1">_xludf.IFNA(D149/_xlfn.XLOOKUP($M149,'00_SKU_Master'!$B$2:$B$378,'00_SKU_Master'!$M$2:$M$378,0)/$M$2,"0")</f>
        <v>#NAME?</v>
      </c>
      <c r="O147" s="147" t="e">
        <f ca="1">_xludf.IFNA(E149/_xlfn.XLOOKUP($M149,'00_SKU_Master'!$B$2:$B$378,'00_SKU_Master'!$M$2:$M$378,0)/$M$2,"0")</f>
        <v>#NAME?</v>
      </c>
      <c r="P147" s="147" t="e">
        <f ca="1">_xludf.IFNA(F149/_xlfn.XLOOKUP($M149,'00_SKU_Master'!$B$2:$B$378,'00_SKU_Master'!$M$2:$M$378,0)/$M$2,"0")</f>
        <v>#NAME?</v>
      </c>
      <c r="Q147" s="147" t="e">
        <f ca="1">_xludf.IFNA(G149/_xlfn.XLOOKUP($M149,'00_SKU_Master'!$B$2:$B$378,'00_SKU_Master'!$M$2:$M$378,0)/$M$2,"0")</f>
        <v>#NAME?</v>
      </c>
      <c r="R147" s="147" t="e">
        <f ca="1">_xludf.IFNA(H149/_xlfn.XLOOKUP($M149,'00_SKU_Master'!$B$2:$B$378,'00_SKU_Master'!$M$2:$M$378,0)/$M$2,"0")</f>
        <v>#NAME?</v>
      </c>
      <c r="S147" s="147" t="e">
        <f ca="1">_xludf.IFNA(I149/_xlfn.XLOOKUP($M149,'00_SKU_Master'!$B$2:$B$378,'00_SKU_Master'!$M$2:$M$378,0)/$M$2,"0")</f>
        <v>#NAME?</v>
      </c>
      <c r="T147" s="147" t="e">
        <f ca="1">_xludf.IFNA(J149/_xlfn.XLOOKUP($M149,'00_SKU_Master'!$B$2:$B$378,'00_SKU_Master'!$M$2:$M$378,0)/$M$2,"0")</f>
        <v>#NAME?</v>
      </c>
      <c r="U147" s="147" t="e">
        <f t="shared" ca="1" si="15"/>
        <v>#NAME?</v>
      </c>
      <c r="V147" s="4"/>
      <c r="W147" s="4" t="e">
        <f>_xlfn.XLOOKUP(M149,'00_SKU_Master'!$B$2:$B$378,'00_SKU_Master'!D:D)</f>
        <v>#VALUE!</v>
      </c>
      <c r="X147" s="14">
        <f>'05_Daily_Orders'!B148</f>
        <v>7254</v>
      </c>
      <c r="Y147" s="554"/>
      <c r="Z147" s="555"/>
      <c r="AA147" s="555"/>
      <c r="AB147" s="555"/>
      <c r="AC147" s="555">
        <v>0</v>
      </c>
      <c r="AD147" s="555">
        <v>0</v>
      </c>
      <c r="AE147" s="555">
        <v>0</v>
      </c>
      <c r="AF147" s="553">
        <f t="shared" si="16"/>
        <v>0</v>
      </c>
      <c r="AQ147" s="23">
        <v>0</v>
      </c>
      <c r="AR147" s="23">
        <v>0</v>
      </c>
      <c r="AS147" s="23">
        <f t="shared" si="17"/>
        <v>0</v>
      </c>
    </row>
    <row r="148" spans="1:45">
      <c r="A148" s="138" t="str">
        <f>_xlfn.XLOOKUP(C150,'00_SKU_Master'!$B$2:$B$378,'00_SKU_Master'!$C$2:$C$378)</f>
        <v>61086#2</v>
      </c>
      <c r="B148" s="138"/>
      <c r="C148" s="138">
        <f t="shared" si="12"/>
        <v>7269</v>
      </c>
      <c r="D148" s="552" t="e">
        <f ca="1">_xludf.IFNA(_xlfn.XLOOKUP(C150,'00_SKU_Master'!$B$2:$B$378,'00_SKU_Master'!$F$2:$F$378,0)*Y150,"")</f>
        <v>#NAME?</v>
      </c>
      <c r="E148" s="552" t="e">
        <f ca="1">_xludf.IFNA(_xlfn.XLOOKUP(C150,'00_SKU_Master'!$B$2:$B$378,'00_SKU_Master'!$F$2:$F$378,0)*Z150,"")</f>
        <v>#NAME?</v>
      </c>
      <c r="F148" s="552" t="e">
        <f ca="1">_xludf.IFNA(_xlfn.XLOOKUP(C150,'00_SKU_Master'!$B$2:$B$378,'00_SKU_Master'!$F$2:$F$378,0)*AA150,"")</f>
        <v>#NAME?</v>
      </c>
      <c r="G148" s="552" t="e">
        <f ca="1">_xludf.IFNA(_xlfn.XLOOKUP(C150,'00_SKU_Master'!$B$2:$B$378,'00_SKU_Master'!$F$2:$F$378,0)*AB150,"")</f>
        <v>#NAME?</v>
      </c>
      <c r="H148" s="552" t="e">
        <f ca="1">_xludf.IFNA(_xlfn.XLOOKUP(C150,'00_SKU_Master'!$B$2:$B$378,'00_SKU_Master'!$F$2:$F$378,0)*AC150,"")</f>
        <v>#NAME?</v>
      </c>
      <c r="I148" s="552" t="e">
        <f ca="1">_xludf.IFNA(_xlfn.XLOOKUP(C150,'00_SKU_Master'!$B$2:$B$378,'00_SKU_Master'!$F$2:$F$378,0)*AD150,"")</f>
        <v>#NAME?</v>
      </c>
      <c r="J148" s="552" t="e">
        <f ca="1">_xludf.IFNA(_xlfn.XLOOKUP(C150,'00_SKU_Master'!$B$2:$B$378,'00_SKU_Master'!$F$2:$F$378,0)*AE150,"")</f>
        <v>#NAME?</v>
      </c>
      <c r="K148" s="553" t="e">
        <f t="shared" ca="1" si="13"/>
        <v>#NAME?</v>
      </c>
      <c r="L148" s="187" t="e">
        <f>_xlfn.XLOOKUP(C150,'00_SKU_Master'!$B$2:$B$378,'00_SKU_Master'!K:K)</f>
        <v>#VALUE!</v>
      </c>
      <c r="M148" s="14">
        <f t="shared" si="14"/>
        <v>7269</v>
      </c>
      <c r="N148" s="147" t="e">
        <f ca="1">_xludf.IFNA(D150/_xlfn.XLOOKUP($M150,'00_SKU_Master'!$B$2:$B$378,'00_SKU_Master'!$M$2:$M$378,0)/$M$2,"0")</f>
        <v>#NAME?</v>
      </c>
      <c r="O148" s="147" t="e">
        <f ca="1">_xludf.IFNA(E150/_xlfn.XLOOKUP($M150,'00_SKU_Master'!$B$2:$B$378,'00_SKU_Master'!$M$2:$M$378,0)/$M$2,"0")</f>
        <v>#NAME?</v>
      </c>
      <c r="P148" s="147" t="e">
        <f ca="1">_xludf.IFNA(F150/_xlfn.XLOOKUP($M150,'00_SKU_Master'!$B$2:$B$378,'00_SKU_Master'!$M$2:$M$378,0)/$M$2,"0")</f>
        <v>#NAME?</v>
      </c>
      <c r="Q148" s="147" t="e">
        <f ca="1">_xludf.IFNA(G150/_xlfn.XLOOKUP($M150,'00_SKU_Master'!$B$2:$B$378,'00_SKU_Master'!$M$2:$M$378,0)/$M$2,"0")</f>
        <v>#NAME?</v>
      </c>
      <c r="R148" s="147" t="e">
        <f ca="1">_xludf.IFNA(H150/_xlfn.XLOOKUP($M150,'00_SKU_Master'!$B$2:$B$378,'00_SKU_Master'!$M$2:$M$378,0)/$M$2,"0")</f>
        <v>#NAME?</v>
      </c>
      <c r="S148" s="147" t="e">
        <f ca="1">_xludf.IFNA(I150/_xlfn.XLOOKUP($M150,'00_SKU_Master'!$B$2:$B$378,'00_SKU_Master'!$M$2:$M$378,0)/$M$2,"0")</f>
        <v>#NAME?</v>
      </c>
      <c r="T148" s="147" t="e">
        <f ca="1">_xludf.IFNA(J150/_xlfn.XLOOKUP($M150,'00_SKU_Master'!$B$2:$B$378,'00_SKU_Master'!$M$2:$M$378,0)/$M$2,"0")</f>
        <v>#NAME?</v>
      </c>
      <c r="U148" s="147" t="e">
        <f t="shared" ca="1" si="15"/>
        <v>#NAME?</v>
      </c>
      <c r="V148" s="4"/>
      <c r="W148" s="4" t="e">
        <f>_xlfn.XLOOKUP(M150,'00_SKU_Master'!$B$2:$B$378,'00_SKU_Master'!D:D)</f>
        <v>#VALUE!</v>
      </c>
      <c r="X148" s="14">
        <f>'05_Daily_Orders'!B149</f>
        <v>7260</v>
      </c>
      <c r="Y148" s="554"/>
      <c r="Z148" s="555"/>
      <c r="AA148" s="555"/>
      <c r="AB148" s="555"/>
      <c r="AC148" s="555">
        <v>0</v>
      </c>
      <c r="AD148" s="555">
        <v>0</v>
      </c>
      <c r="AE148" s="555">
        <v>0</v>
      </c>
      <c r="AF148" s="553">
        <f t="shared" si="16"/>
        <v>0</v>
      </c>
      <c r="AQ148" s="23">
        <v>0</v>
      </c>
      <c r="AR148" s="23">
        <v>0</v>
      </c>
      <c r="AS148" s="23">
        <f t="shared" si="17"/>
        <v>0</v>
      </c>
    </row>
    <row r="149" spans="1:45">
      <c r="A149" s="138" t="str">
        <f>_xlfn.XLOOKUP(C151,'00_SKU_Master'!$B$2:$B$378,'00_SKU_Master'!$C$2:$C$378)</f>
        <v>61014#2</v>
      </c>
      <c r="B149" s="138"/>
      <c r="C149" s="138">
        <f t="shared" si="12"/>
        <v>7275</v>
      </c>
      <c r="D149" s="552" t="e">
        <f ca="1">_xludf.IFNA(_xlfn.XLOOKUP(C151,'00_SKU_Master'!$B$2:$B$378,'00_SKU_Master'!$F$2:$F$378,0)*Y151,"")</f>
        <v>#NAME?</v>
      </c>
      <c r="E149" s="552" t="e">
        <f ca="1">_xludf.IFNA(_xlfn.XLOOKUP(C151,'00_SKU_Master'!$B$2:$B$378,'00_SKU_Master'!$F$2:$F$378,0)*Z151,"")</f>
        <v>#NAME?</v>
      </c>
      <c r="F149" s="552" t="e">
        <f ca="1">_xludf.IFNA(_xlfn.XLOOKUP(C151,'00_SKU_Master'!$B$2:$B$378,'00_SKU_Master'!$F$2:$F$378,0)*AA151,"")</f>
        <v>#NAME?</v>
      </c>
      <c r="G149" s="552" t="e">
        <f ca="1">_xludf.IFNA(_xlfn.XLOOKUP(C151,'00_SKU_Master'!$B$2:$B$378,'00_SKU_Master'!$F$2:$F$378,0)*AB151,"")</f>
        <v>#NAME?</v>
      </c>
      <c r="H149" s="552" t="e">
        <f ca="1">_xludf.IFNA(_xlfn.XLOOKUP(C151,'00_SKU_Master'!$B$2:$B$378,'00_SKU_Master'!$F$2:$F$378,0)*AC151,"")</f>
        <v>#NAME?</v>
      </c>
      <c r="I149" s="552" t="e">
        <f ca="1">_xludf.IFNA(_xlfn.XLOOKUP(C151,'00_SKU_Master'!$B$2:$B$378,'00_SKU_Master'!$F$2:$F$378,0)*AD151,"")</f>
        <v>#NAME?</v>
      </c>
      <c r="J149" s="552" t="e">
        <f ca="1">_xludf.IFNA(_xlfn.XLOOKUP(C151,'00_SKU_Master'!$B$2:$B$378,'00_SKU_Master'!$F$2:$F$378,0)*AE151,"")</f>
        <v>#NAME?</v>
      </c>
      <c r="K149" s="553" t="e">
        <f t="shared" ca="1" si="13"/>
        <v>#NAME?</v>
      </c>
      <c r="L149" s="187" t="e">
        <f>_xlfn.XLOOKUP(C151,'00_SKU_Master'!$B$2:$B$378,'00_SKU_Master'!K:K)</f>
        <v>#VALUE!</v>
      </c>
      <c r="M149" s="14">
        <f t="shared" si="14"/>
        <v>7275</v>
      </c>
      <c r="N149" s="147" t="e">
        <f ca="1">_xludf.IFNA(D151/_xlfn.XLOOKUP($M151,'00_SKU_Master'!$B$2:$B$378,'00_SKU_Master'!$M$2:$M$378,0)/$M$2,"0")</f>
        <v>#NAME?</v>
      </c>
      <c r="O149" s="147" t="e">
        <f ca="1">_xludf.IFNA(E151/_xlfn.XLOOKUP($M151,'00_SKU_Master'!$B$2:$B$378,'00_SKU_Master'!$M$2:$M$378,0)/$M$2,"0")</f>
        <v>#NAME?</v>
      </c>
      <c r="P149" s="147" t="e">
        <f ca="1">_xludf.IFNA(F151/_xlfn.XLOOKUP($M151,'00_SKU_Master'!$B$2:$B$378,'00_SKU_Master'!$M$2:$M$378,0)/$M$2,"0")</f>
        <v>#NAME?</v>
      </c>
      <c r="Q149" s="147" t="e">
        <f ca="1">_xludf.IFNA(G151/_xlfn.XLOOKUP($M151,'00_SKU_Master'!$B$2:$B$378,'00_SKU_Master'!$M$2:$M$378,0)/$M$2,"0")</f>
        <v>#NAME?</v>
      </c>
      <c r="R149" s="147" t="e">
        <f ca="1">_xludf.IFNA(H151/_xlfn.XLOOKUP($M151,'00_SKU_Master'!$B$2:$B$378,'00_SKU_Master'!$M$2:$M$378,0)/$M$2,"0")</f>
        <v>#NAME?</v>
      </c>
      <c r="S149" s="147" t="e">
        <f ca="1">_xludf.IFNA(I151/_xlfn.XLOOKUP($M151,'00_SKU_Master'!$B$2:$B$378,'00_SKU_Master'!$M$2:$M$378,0)/$M$2,"0")</f>
        <v>#NAME?</v>
      </c>
      <c r="T149" s="147" t="e">
        <f ca="1">_xludf.IFNA(J151/_xlfn.XLOOKUP($M151,'00_SKU_Master'!$B$2:$B$378,'00_SKU_Master'!$M$2:$M$378,0)/$M$2,"0")</f>
        <v>#NAME?</v>
      </c>
      <c r="U149" s="147" t="e">
        <f t="shared" ca="1" si="15"/>
        <v>#NAME?</v>
      </c>
      <c r="V149" s="4"/>
      <c r="W149" s="4" t="e">
        <f>_xlfn.XLOOKUP(M151,'00_SKU_Master'!$B$2:$B$378,'00_SKU_Master'!D:D)</f>
        <v>#VALUE!</v>
      </c>
      <c r="X149" s="14">
        <f>'05_Daily_Orders'!B150</f>
        <v>7268</v>
      </c>
      <c r="Y149" s="554"/>
      <c r="Z149" s="555"/>
      <c r="AA149" s="555"/>
      <c r="AB149" s="555"/>
      <c r="AC149" s="555">
        <v>0</v>
      </c>
      <c r="AD149" s="555">
        <v>0</v>
      </c>
      <c r="AE149" s="555">
        <v>0</v>
      </c>
      <c r="AF149" s="553">
        <f t="shared" si="16"/>
        <v>0</v>
      </c>
      <c r="AQ149" s="23">
        <v>0</v>
      </c>
      <c r="AR149" s="23">
        <v>0</v>
      </c>
      <c r="AS149" s="23">
        <f t="shared" si="17"/>
        <v>0</v>
      </c>
    </row>
    <row r="150" spans="1:45">
      <c r="A150" s="138">
        <f>_xlfn.XLOOKUP(C152,'00_SKU_Master'!$B$2:$B$378,'00_SKU_Master'!$C$2:$C$378)</f>
        <v>61014</v>
      </c>
      <c r="B150" s="138"/>
      <c r="C150" s="138">
        <f t="shared" si="12"/>
        <v>7278</v>
      </c>
      <c r="D150" s="552" t="e">
        <f ca="1">_xludf.IFNA(_xlfn.XLOOKUP(C152,'00_SKU_Master'!$B$2:$B$378,'00_SKU_Master'!$F$2:$F$378,0)*Y152,"")</f>
        <v>#NAME?</v>
      </c>
      <c r="E150" s="552" t="e">
        <f ca="1">_xludf.IFNA(_xlfn.XLOOKUP(C152,'00_SKU_Master'!$B$2:$B$378,'00_SKU_Master'!$F$2:$F$378,0)*Z152,"")</f>
        <v>#NAME?</v>
      </c>
      <c r="F150" s="552" t="e">
        <f ca="1">_xludf.IFNA(_xlfn.XLOOKUP(C152,'00_SKU_Master'!$B$2:$B$378,'00_SKU_Master'!$F$2:$F$378,0)*AA152,"")</f>
        <v>#NAME?</v>
      </c>
      <c r="G150" s="552" t="e">
        <f ca="1">_xludf.IFNA(_xlfn.XLOOKUP(C152,'00_SKU_Master'!$B$2:$B$378,'00_SKU_Master'!$F$2:$F$378,0)*AB152,"")</f>
        <v>#NAME?</v>
      </c>
      <c r="H150" s="552" t="e">
        <f ca="1">_xludf.IFNA(_xlfn.XLOOKUP(C152,'00_SKU_Master'!$B$2:$B$378,'00_SKU_Master'!$F$2:$F$378,0)*AC152,"")</f>
        <v>#NAME?</v>
      </c>
      <c r="I150" s="552" t="e">
        <f ca="1">_xludf.IFNA(_xlfn.XLOOKUP(C152,'00_SKU_Master'!$B$2:$B$378,'00_SKU_Master'!$F$2:$F$378,0)*AD152,"")</f>
        <v>#NAME?</v>
      </c>
      <c r="J150" s="552" t="e">
        <f ca="1">_xludf.IFNA(_xlfn.XLOOKUP(C152,'00_SKU_Master'!$B$2:$B$378,'00_SKU_Master'!$F$2:$F$378,0)*AE152,"")</f>
        <v>#NAME?</v>
      </c>
      <c r="K150" s="553" t="e">
        <f t="shared" ca="1" si="13"/>
        <v>#NAME?</v>
      </c>
      <c r="L150" s="187" t="e">
        <f>_xlfn.XLOOKUP(C152,'00_SKU_Master'!$B$2:$B$378,'00_SKU_Master'!K:K)</f>
        <v>#VALUE!</v>
      </c>
      <c r="M150" s="14">
        <f t="shared" si="14"/>
        <v>7278</v>
      </c>
      <c r="N150" s="147" t="e">
        <f ca="1">_xludf.IFNA(D152/_xlfn.XLOOKUP($M152,'00_SKU_Master'!$B$2:$B$378,'00_SKU_Master'!$M$2:$M$378,0)/$M$2,"0")</f>
        <v>#NAME?</v>
      </c>
      <c r="O150" s="147" t="e">
        <f ca="1">_xludf.IFNA(E152/_xlfn.XLOOKUP($M152,'00_SKU_Master'!$B$2:$B$378,'00_SKU_Master'!$M$2:$M$378,0)/$M$2,"0")</f>
        <v>#NAME?</v>
      </c>
      <c r="P150" s="147" t="e">
        <f ca="1">_xludf.IFNA(F152/_xlfn.XLOOKUP($M152,'00_SKU_Master'!$B$2:$B$378,'00_SKU_Master'!$M$2:$M$378,0)/$M$2,"0")</f>
        <v>#NAME?</v>
      </c>
      <c r="Q150" s="147" t="e">
        <f ca="1">_xludf.IFNA(G152/_xlfn.XLOOKUP($M152,'00_SKU_Master'!$B$2:$B$378,'00_SKU_Master'!$M$2:$M$378,0)/$M$2,"0")</f>
        <v>#NAME?</v>
      </c>
      <c r="R150" s="147" t="e">
        <f ca="1">_xludf.IFNA(H152/_xlfn.XLOOKUP($M152,'00_SKU_Master'!$B$2:$B$378,'00_SKU_Master'!$M$2:$M$378,0)/$M$2,"0")</f>
        <v>#NAME?</v>
      </c>
      <c r="S150" s="147" t="e">
        <f ca="1">_xludf.IFNA(I152/_xlfn.XLOOKUP($M152,'00_SKU_Master'!$B$2:$B$378,'00_SKU_Master'!$M$2:$M$378,0)/$M$2,"0")</f>
        <v>#NAME?</v>
      </c>
      <c r="T150" s="147" t="e">
        <f ca="1">_xludf.IFNA(J152/_xlfn.XLOOKUP($M152,'00_SKU_Master'!$B$2:$B$378,'00_SKU_Master'!$M$2:$M$378,0)/$M$2,"0")</f>
        <v>#NAME?</v>
      </c>
      <c r="U150" s="147" t="e">
        <f t="shared" ca="1" si="15"/>
        <v>#NAME?</v>
      </c>
      <c r="V150" s="4"/>
      <c r="W150" s="4" t="e">
        <f>_xlfn.XLOOKUP(M152,'00_SKU_Master'!$B$2:$B$378,'00_SKU_Master'!D:D)</f>
        <v>#VALUE!</v>
      </c>
      <c r="X150" s="14">
        <f>'05_Daily_Orders'!B151</f>
        <v>7269</v>
      </c>
      <c r="Y150" s="554"/>
      <c r="Z150" s="555"/>
      <c r="AA150" s="555"/>
      <c r="AB150" s="555"/>
      <c r="AC150" s="555">
        <v>0</v>
      </c>
      <c r="AD150" s="555">
        <v>0</v>
      </c>
      <c r="AE150" s="555">
        <v>0</v>
      </c>
      <c r="AF150" s="553">
        <f t="shared" si="16"/>
        <v>0</v>
      </c>
      <c r="AQ150" s="23">
        <v>0</v>
      </c>
      <c r="AR150" s="23">
        <v>0</v>
      </c>
      <c r="AS150" s="23">
        <f t="shared" si="17"/>
        <v>0</v>
      </c>
    </row>
    <row r="151" spans="1:45">
      <c r="A151" s="138">
        <f>_xlfn.XLOOKUP(C153,'00_SKU_Master'!$B$2:$B$378,'00_SKU_Master'!$C$2:$C$378)</f>
        <v>61054</v>
      </c>
      <c r="B151" s="138"/>
      <c r="C151" s="138">
        <f t="shared" si="12"/>
        <v>7287</v>
      </c>
      <c r="D151" s="552" t="e">
        <f ca="1">_xludf.IFNA(_xlfn.XLOOKUP(C153,'00_SKU_Master'!$B$2:$B$378,'00_SKU_Master'!$F$2:$F$378,0)*Y153,"")</f>
        <v>#NAME?</v>
      </c>
      <c r="E151" s="552" t="e">
        <f ca="1">_xludf.IFNA(_xlfn.XLOOKUP(C153,'00_SKU_Master'!$B$2:$B$378,'00_SKU_Master'!$F$2:$F$378,0)*Z153,"")</f>
        <v>#NAME?</v>
      </c>
      <c r="F151" s="552" t="e">
        <f ca="1">_xludf.IFNA(_xlfn.XLOOKUP(C153,'00_SKU_Master'!$B$2:$B$378,'00_SKU_Master'!$F$2:$F$378,0)*AA153,"")</f>
        <v>#NAME?</v>
      </c>
      <c r="G151" s="552" t="e">
        <f ca="1">_xludf.IFNA(_xlfn.XLOOKUP(C153,'00_SKU_Master'!$B$2:$B$378,'00_SKU_Master'!$F$2:$F$378,0)*AB153,"")</f>
        <v>#NAME?</v>
      </c>
      <c r="H151" s="552" t="e">
        <f ca="1">_xludf.IFNA(_xlfn.XLOOKUP(C153,'00_SKU_Master'!$B$2:$B$378,'00_SKU_Master'!$F$2:$F$378,0)*AC153,"")</f>
        <v>#NAME?</v>
      </c>
      <c r="I151" s="552" t="e">
        <f ca="1">_xludf.IFNA(_xlfn.XLOOKUP(C153,'00_SKU_Master'!$B$2:$B$378,'00_SKU_Master'!$F$2:$F$378,0)*AD153,"")</f>
        <v>#NAME?</v>
      </c>
      <c r="J151" s="552" t="e">
        <f ca="1">_xludf.IFNA(_xlfn.XLOOKUP(C153,'00_SKU_Master'!$B$2:$B$378,'00_SKU_Master'!$F$2:$F$378,0)*AE153,"")</f>
        <v>#NAME?</v>
      </c>
      <c r="K151" s="553" t="e">
        <f t="shared" ca="1" si="13"/>
        <v>#NAME?</v>
      </c>
      <c r="L151" s="187" t="e">
        <f>_xlfn.XLOOKUP(C153,'00_SKU_Master'!$B$2:$B$378,'00_SKU_Master'!K:K)</f>
        <v>#VALUE!</v>
      </c>
      <c r="M151" s="14">
        <f t="shared" si="14"/>
        <v>7287</v>
      </c>
      <c r="N151" s="147" t="e">
        <f ca="1">_xludf.IFNA(D153/_xlfn.XLOOKUP($M153,'00_SKU_Master'!$B$2:$B$378,'00_SKU_Master'!$M$2:$M$378,0)/$M$2,"0")</f>
        <v>#NAME?</v>
      </c>
      <c r="O151" s="147" t="e">
        <f ca="1">_xludf.IFNA(E153/_xlfn.XLOOKUP($M153,'00_SKU_Master'!$B$2:$B$378,'00_SKU_Master'!$M$2:$M$378,0)/$M$2,"0")</f>
        <v>#NAME?</v>
      </c>
      <c r="P151" s="147" t="e">
        <f ca="1">_xludf.IFNA(F153/_xlfn.XLOOKUP($M153,'00_SKU_Master'!$B$2:$B$378,'00_SKU_Master'!$M$2:$M$378,0)/$M$2,"0")</f>
        <v>#NAME?</v>
      </c>
      <c r="Q151" s="147" t="e">
        <f ca="1">_xludf.IFNA(G153/_xlfn.XLOOKUP($M153,'00_SKU_Master'!$B$2:$B$378,'00_SKU_Master'!$M$2:$M$378,0)/$M$2,"0")</f>
        <v>#NAME?</v>
      </c>
      <c r="R151" s="147" t="e">
        <f ca="1">_xludf.IFNA(H153/_xlfn.XLOOKUP($M153,'00_SKU_Master'!$B$2:$B$378,'00_SKU_Master'!$M$2:$M$378,0)/$M$2,"0")</f>
        <v>#NAME?</v>
      </c>
      <c r="S151" s="147" t="e">
        <f ca="1">_xludf.IFNA(I153/_xlfn.XLOOKUP($M153,'00_SKU_Master'!$B$2:$B$378,'00_SKU_Master'!$M$2:$M$378,0)/$M$2,"0")</f>
        <v>#NAME?</v>
      </c>
      <c r="T151" s="147" t="e">
        <f ca="1">_xludf.IFNA(J153/_xlfn.XLOOKUP($M153,'00_SKU_Master'!$B$2:$B$378,'00_SKU_Master'!$M$2:$M$378,0)/$M$2,"0")</f>
        <v>#NAME?</v>
      </c>
      <c r="U151" s="147" t="e">
        <f t="shared" ca="1" si="15"/>
        <v>#NAME?</v>
      </c>
      <c r="V151" s="4"/>
      <c r="W151" s="4" t="e">
        <f>_xlfn.XLOOKUP(M153,'00_SKU_Master'!$B$2:$B$378,'00_SKU_Master'!D:D)</f>
        <v>#VALUE!</v>
      </c>
      <c r="X151" s="14">
        <f>'05_Daily_Orders'!B152</f>
        <v>7275</v>
      </c>
      <c r="Y151" s="554"/>
      <c r="Z151" s="555"/>
      <c r="AA151" s="555"/>
      <c r="AB151" s="555"/>
      <c r="AC151" s="555">
        <v>0</v>
      </c>
      <c r="AD151" s="555">
        <v>0</v>
      </c>
      <c r="AE151" s="555">
        <v>0</v>
      </c>
      <c r="AF151" s="553">
        <f t="shared" si="16"/>
        <v>0</v>
      </c>
      <c r="AQ151" s="23">
        <v>0</v>
      </c>
      <c r="AR151" s="23">
        <v>0</v>
      </c>
      <c r="AS151" s="23">
        <f t="shared" si="17"/>
        <v>0</v>
      </c>
    </row>
    <row r="152" spans="1:45">
      <c r="A152" s="138">
        <f>_xlfn.XLOOKUP(C154,'00_SKU_Master'!$B$2:$B$378,'00_SKU_Master'!$C$2:$C$378)</f>
        <v>61054</v>
      </c>
      <c r="B152" s="138"/>
      <c r="C152" s="138">
        <f t="shared" si="12"/>
        <v>7289</v>
      </c>
      <c r="D152" s="552" t="e">
        <f ca="1">_xludf.IFNA(_xlfn.XLOOKUP(C154,'00_SKU_Master'!$B$2:$B$378,'00_SKU_Master'!$F$2:$F$378,0)*Y154,"")</f>
        <v>#NAME?</v>
      </c>
      <c r="E152" s="552" t="e">
        <f ca="1">_xludf.IFNA(_xlfn.XLOOKUP(C154,'00_SKU_Master'!$B$2:$B$378,'00_SKU_Master'!$F$2:$F$378,0)*Z154,"")</f>
        <v>#NAME?</v>
      </c>
      <c r="F152" s="552" t="e">
        <f ca="1">_xludf.IFNA(_xlfn.XLOOKUP(C154,'00_SKU_Master'!$B$2:$B$378,'00_SKU_Master'!$F$2:$F$378,0)*AA154,"")</f>
        <v>#NAME?</v>
      </c>
      <c r="G152" s="552" t="e">
        <f ca="1">_xludf.IFNA(_xlfn.XLOOKUP(C154,'00_SKU_Master'!$B$2:$B$378,'00_SKU_Master'!$F$2:$F$378,0)*AB154,"")</f>
        <v>#NAME?</v>
      </c>
      <c r="H152" s="552" t="e">
        <f ca="1">_xludf.IFNA(_xlfn.XLOOKUP(C154,'00_SKU_Master'!$B$2:$B$378,'00_SKU_Master'!$F$2:$F$378,0)*AC154,"")</f>
        <v>#NAME?</v>
      </c>
      <c r="I152" s="552" t="e">
        <f ca="1">_xludf.IFNA(_xlfn.XLOOKUP(C154,'00_SKU_Master'!$B$2:$B$378,'00_SKU_Master'!$F$2:$F$378,0)*AD154,"")</f>
        <v>#NAME?</v>
      </c>
      <c r="J152" s="552" t="e">
        <f ca="1">_xludf.IFNA(_xlfn.XLOOKUP(C154,'00_SKU_Master'!$B$2:$B$378,'00_SKU_Master'!$F$2:$F$378,0)*AE154,"")</f>
        <v>#NAME?</v>
      </c>
      <c r="K152" s="553" t="e">
        <f t="shared" ca="1" si="13"/>
        <v>#NAME?</v>
      </c>
      <c r="L152" s="187" t="e">
        <f>_xlfn.XLOOKUP(C154,'00_SKU_Master'!$B$2:$B$378,'00_SKU_Master'!K:K)</f>
        <v>#VALUE!</v>
      </c>
      <c r="M152" s="14">
        <f t="shared" si="14"/>
        <v>7289</v>
      </c>
      <c r="N152" s="147" t="e">
        <f ca="1">_xludf.IFNA(D154/_xlfn.XLOOKUP($M154,'00_SKU_Master'!$B$2:$B$378,'00_SKU_Master'!$M$2:$M$378,0)/$M$2,"0")</f>
        <v>#NAME?</v>
      </c>
      <c r="O152" s="147" t="e">
        <f ca="1">_xludf.IFNA(E154/_xlfn.XLOOKUP($M154,'00_SKU_Master'!$B$2:$B$378,'00_SKU_Master'!$M$2:$M$378,0)/$M$2,"0")</f>
        <v>#NAME?</v>
      </c>
      <c r="P152" s="147" t="e">
        <f ca="1">_xludf.IFNA(F154/_xlfn.XLOOKUP($M154,'00_SKU_Master'!$B$2:$B$378,'00_SKU_Master'!$M$2:$M$378,0)/$M$2,"0")</f>
        <v>#NAME?</v>
      </c>
      <c r="Q152" s="147" t="e">
        <f ca="1">_xludf.IFNA(G154/_xlfn.XLOOKUP($M154,'00_SKU_Master'!$B$2:$B$378,'00_SKU_Master'!$M$2:$M$378,0)/$M$2,"0")</f>
        <v>#NAME?</v>
      </c>
      <c r="R152" s="147" t="e">
        <f ca="1">_xludf.IFNA(H154/_xlfn.XLOOKUP($M154,'00_SKU_Master'!$B$2:$B$378,'00_SKU_Master'!$M$2:$M$378,0)/$M$2,"0")</f>
        <v>#NAME?</v>
      </c>
      <c r="S152" s="147" t="e">
        <f ca="1">_xludf.IFNA(I154/_xlfn.XLOOKUP($M154,'00_SKU_Master'!$B$2:$B$378,'00_SKU_Master'!$M$2:$M$378,0)/$M$2,"0")</f>
        <v>#NAME?</v>
      </c>
      <c r="T152" s="147" t="e">
        <f ca="1">_xludf.IFNA(J154/_xlfn.XLOOKUP($M154,'00_SKU_Master'!$B$2:$B$378,'00_SKU_Master'!$M$2:$M$378,0)/$M$2,"0")</f>
        <v>#NAME?</v>
      </c>
      <c r="U152" s="147" t="e">
        <f t="shared" ca="1" si="15"/>
        <v>#NAME?</v>
      </c>
      <c r="V152" s="4"/>
      <c r="W152" s="4" t="e">
        <f>_xlfn.XLOOKUP(M154,'00_SKU_Master'!$B$2:$B$378,'00_SKU_Master'!D:D)</f>
        <v>#VALUE!</v>
      </c>
      <c r="X152" s="14">
        <f>'05_Daily_Orders'!B153</f>
        <v>7278</v>
      </c>
      <c r="Y152" s="554"/>
      <c r="Z152" s="555"/>
      <c r="AA152" s="555"/>
      <c r="AB152" s="555"/>
      <c r="AC152" s="555">
        <v>0</v>
      </c>
      <c r="AD152" s="555">
        <v>0</v>
      </c>
      <c r="AE152" s="555">
        <v>0</v>
      </c>
      <c r="AF152" s="553">
        <f t="shared" si="16"/>
        <v>0</v>
      </c>
      <c r="AQ152" s="23">
        <v>0</v>
      </c>
      <c r="AR152" s="23">
        <v>0</v>
      </c>
      <c r="AS152" s="23">
        <f t="shared" si="17"/>
        <v>0</v>
      </c>
    </row>
    <row r="153" spans="1:45">
      <c r="A153" s="138">
        <f>_xlfn.XLOOKUP(C155,'00_SKU_Master'!$B$2:$B$378,'00_SKU_Master'!$C$2:$C$378)</f>
        <v>61054</v>
      </c>
      <c r="B153" s="138"/>
      <c r="C153" s="138">
        <f t="shared" si="12"/>
        <v>7300</v>
      </c>
      <c r="D153" s="552" t="e">
        <f ca="1">_xludf.IFNA(_xlfn.XLOOKUP(C155,'00_SKU_Master'!$B$2:$B$378,'00_SKU_Master'!$F$2:$F$378,0)*Y155,"")</f>
        <v>#NAME?</v>
      </c>
      <c r="E153" s="552" t="e">
        <f ca="1">_xludf.IFNA(_xlfn.XLOOKUP(C155,'00_SKU_Master'!$B$2:$B$378,'00_SKU_Master'!$F$2:$F$378,0)*Z155,"")</f>
        <v>#NAME?</v>
      </c>
      <c r="F153" s="552" t="e">
        <f ca="1">_xludf.IFNA(_xlfn.XLOOKUP(C155,'00_SKU_Master'!$B$2:$B$378,'00_SKU_Master'!$F$2:$F$378,0)*AA155,"")</f>
        <v>#NAME?</v>
      </c>
      <c r="G153" s="552" t="e">
        <f ca="1">_xludf.IFNA(_xlfn.XLOOKUP(C155,'00_SKU_Master'!$B$2:$B$378,'00_SKU_Master'!$F$2:$F$378,0)*AB155,"")</f>
        <v>#NAME?</v>
      </c>
      <c r="H153" s="552" t="e">
        <f ca="1">_xludf.IFNA(_xlfn.XLOOKUP(C155,'00_SKU_Master'!$B$2:$B$378,'00_SKU_Master'!$F$2:$F$378,0)*AC155,"")</f>
        <v>#NAME?</v>
      </c>
      <c r="I153" s="552" t="e">
        <f ca="1">_xludf.IFNA(_xlfn.XLOOKUP(C155,'00_SKU_Master'!$B$2:$B$378,'00_SKU_Master'!$F$2:$F$378,0)*AD155,"")</f>
        <v>#NAME?</v>
      </c>
      <c r="J153" s="552" t="e">
        <f ca="1">_xludf.IFNA(_xlfn.XLOOKUP(C155,'00_SKU_Master'!$B$2:$B$378,'00_SKU_Master'!$F$2:$F$378,0)*AE155,"")</f>
        <v>#NAME?</v>
      </c>
      <c r="K153" s="553" t="e">
        <f t="shared" ca="1" si="13"/>
        <v>#NAME?</v>
      </c>
      <c r="L153" s="187" t="e">
        <f>_xlfn.XLOOKUP(C155,'00_SKU_Master'!$B$2:$B$378,'00_SKU_Master'!K:K)</f>
        <v>#VALUE!</v>
      </c>
      <c r="M153" s="14">
        <f t="shared" si="14"/>
        <v>7300</v>
      </c>
      <c r="N153" s="147" t="e">
        <f ca="1">_xludf.IFNA(D155/_xlfn.XLOOKUP($M155,'00_SKU_Master'!$B$2:$B$378,'00_SKU_Master'!$M$2:$M$378,0)/$M$2,"0")</f>
        <v>#NAME?</v>
      </c>
      <c r="O153" s="147" t="e">
        <f ca="1">_xludf.IFNA(E155/_xlfn.XLOOKUP($M155,'00_SKU_Master'!$B$2:$B$378,'00_SKU_Master'!$M$2:$M$378,0)/$M$2,"0")</f>
        <v>#NAME?</v>
      </c>
      <c r="P153" s="147" t="e">
        <f ca="1">_xludf.IFNA(F155/_xlfn.XLOOKUP($M155,'00_SKU_Master'!$B$2:$B$378,'00_SKU_Master'!$M$2:$M$378,0)/$M$2,"0")</f>
        <v>#NAME?</v>
      </c>
      <c r="Q153" s="147" t="e">
        <f ca="1">_xludf.IFNA(G155/_xlfn.XLOOKUP($M155,'00_SKU_Master'!$B$2:$B$378,'00_SKU_Master'!$M$2:$M$378,0)/$M$2,"0")</f>
        <v>#NAME?</v>
      </c>
      <c r="R153" s="147" t="e">
        <f ca="1">_xludf.IFNA(H155/_xlfn.XLOOKUP($M155,'00_SKU_Master'!$B$2:$B$378,'00_SKU_Master'!$M$2:$M$378,0)/$M$2,"0")</f>
        <v>#NAME?</v>
      </c>
      <c r="S153" s="147" t="e">
        <f ca="1">_xludf.IFNA(I155/_xlfn.XLOOKUP($M155,'00_SKU_Master'!$B$2:$B$378,'00_SKU_Master'!$M$2:$M$378,0)/$M$2,"0")</f>
        <v>#NAME?</v>
      </c>
      <c r="T153" s="147" t="e">
        <f ca="1">_xludf.IFNA(J155/_xlfn.XLOOKUP($M155,'00_SKU_Master'!$B$2:$B$378,'00_SKU_Master'!$M$2:$M$378,0)/$M$2,"0")</f>
        <v>#NAME?</v>
      </c>
      <c r="U153" s="147" t="e">
        <f t="shared" ca="1" si="15"/>
        <v>#NAME?</v>
      </c>
      <c r="V153" s="4"/>
      <c r="W153" s="4" t="e">
        <f>_xlfn.XLOOKUP(M155,'00_SKU_Master'!$B$2:$B$378,'00_SKU_Master'!D:D)</f>
        <v>#VALUE!</v>
      </c>
      <c r="X153" s="14">
        <f>'05_Daily_Orders'!B154</f>
        <v>7287</v>
      </c>
      <c r="Y153" s="554"/>
      <c r="Z153" s="555"/>
      <c r="AA153" s="555"/>
      <c r="AB153" s="555"/>
      <c r="AC153" s="555">
        <v>0</v>
      </c>
      <c r="AD153" s="555">
        <v>0</v>
      </c>
      <c r="AE153" s="555">
        <v>0</v>
      </c>
      <c r="AF153" s="553">
        <f t="shared" si="16"/>
        <v>0</v>
      </c>
      <c r="AQ153" s="23">
        <v>0</v>
      </c>
      <c r="AR153" s="23">
        <v>0</v>
      </c>
      <c r="AS153" s="23">
        <f t="shared" si="17"/>
        <v>0</v>
      </c>
    </row>
    <row r="154" spans="1:45">
      <c r="A154" s="138">
        <f>_xlfn.XLOOKUP(C156,'00_SKU_Master'!$B$2:$B$378,'00_SKU_Master'!$C$2:$C$378)</f>
        <v>61104</v>
      </c>
      <c r="B154" s="138"/>
      <c r="C154" s="138">
        <f t="shared" si="12"/>
        <v>7303</v>
      </c>
      <c r="D154" s="552" t="e">
        <f ca="1">_xludf.IFNA(_xlfn.XLOOKUP(C156,'00_SKU_Master'!$B$2:$B$378,'00_SKU_Master'!$F$2:$F$378,0)*Y156,"")</f>
        <v>#NAME?</v>
      </c>
      <c r="E154" s="552" t="e">
        <f ca="1">_xludf.IFNA(_xlfn.XLOOKUP(C156,'00_SKU_Master'!$B$2:$B$378,'00_SKU_Master'!$F$2:$F$378,0)*Z156,"")</f>
        <v>#NAME?</v>
      </c>
      <c r="F154" s="552" t="e">
        <f ca="1">_xludf.IFNA(_xlfn.XLOOKUP(C156,'00_SKU_Master'!$B$2:$B$378,'00_SKU_Master'!$F$2:$F$378,0)*AA156,"")</f>
        <v>#NAME?</v>
      </c>
      <c r="G154" s="552" t="e">
        <f ca="1">_xludf.IFNA(_xlfn.XLOOKUP(C156,'00_SKU_Master'!$B$2:$B$378,'00_SKU_Master'!$F$2:$F$378,0)*AB156,"")</f>
        <v>#NAME?</v>
      </c>
      <c r="H154" s="552" t="e">
        <f ca="1">_xludf.IFNA(_xlfn.XLOOKUP(C156,'00_SKU_Master'!$B$2:$B$378,'00_SKU_Master'!$F$2:$F$378,0)*AC156,"")</f>
        <v>#NAME?</v>
      </c>
      <c r="I154" s="552" t="e">
        <f ca="1">_xludf.IFNA(_xlfn.XLOOKUP(C156,'00_SKU_Master'!$B$2:$B$378,'00_SKU_Master'!$F$2:$F$378,0)*AD156,"")</f>
        <v>#NAME?</v>
      </c>
      <c r="J154" s="552" t="e">
        <f ca="1">_xludf.IFNA(_xlfn.XLOOKUP(C156,'00_SKU_Master'!$B$2:$B$378,'00_SKU_Master'!$F$2:$F$378,0)*AE156,"")</f>
        <v>#NAME?</v>
      </c>
      <c r="K154" s="553" t="e">
        <f t="shared" ca="1" si="13"/>
        <v>#NAME?</v>
      </c>
      <c r="L154" s="187" t="e">
        <f>_xlfn.XLOOKUP(C156,'00_SKU_Master'!$B$2:$B$378,'00_SKU_Master'!K:K)</f>
        <v>#VALUE!</v>
      </c>
      <c r="M154" s="14">
        <f t="shared" si="14"/>
        <v>7303</v>
      </c>
      <c r="N154" s="147" t="e">
        <f ca="1">_xludf.IFNA(D156/_xlfn.XLOOKUP($M156,'00_SKU_Master'!$B$2:$B$378,'00_SKU_Master'!$M$2:$M$378,0)/$M$2,"0")</f>
        <v>#NAME?</v>
      </c>
      <c r="O154" s="147" t="e">
        <f ca="1">_xludf.IFNA(E156/_xlfn.XLOOKUP($M156,'00_SKU_Master'!$B$2:$B$378,'00_SKU_Master'!$M$2:$M$378,0)/$M$2,"0")</f>
        <v>#NAME?</v>
      </c>
      <c r="P154" s="147" t="e">
        <f ca="1">_xludf.IFNA(F156/_xlfn.XLOOKUP($M156,'00_SKU_Master'!$B$2:$B$378,'00_SKU_Master'!$M$2:$M$378,0)/$M$2,"0")</f>
        <v>#NAME?</v>
      </c>
      <c r="Q154" s="147" t="e">
        <f ca="1">_xludf.IFNA(G156/_xlfn.XLOOKUP($M156,'00_SKU_Master'!$B$2:$B$378,'00_SKU_Master'!$M$2:$M$378,0)/$M$2,"0")</f>
        <v>#NAME?</v>
      </c>
      <c r="R154" s="147" t="e">
        <f ca="1">_xludf.IFNA(H156/_xlfn.XLOOKUP($M156,'00_SKU_Master'!$B$2:$B$378,'00_SKU_Master'!$M$2:$M$378,0)/$M$2,"0")</f>
        <v>#NAME?</v>
      </c>
      <c r="S154" s="147" t="e">
        <f ca="1">_xludf.IFNA(I156/_xlfn.XLOOKUP($M156,'00_SKU_Master'!$B$2:$B$378,'00_SKU_Master'!$M$2:$M$378,0)/$M$2,"0")</f>
        <v>#NAME?</v>
      </c>
      <c r="T154" s="147" t="e">
        <f ca="1">_xludf.IFNA(J156/_xlfn.XLOOKUP($M156,'00_SKU_Master'!$B$2:$B$378,'00_SKU_Master'!$M$2:$M$378,0)/$M$2,"0")</f>
        <v>#NAME?</v>
      </c>
      <c r="U154" s="147" t="e">
        <f t="shared" ca="1" si="15"/>
        <v>#NAME?</v>
      </c>
      <c r="V154" s="4"/>
      <c r="W154" s="4" t="e">
        <f>_xlfn.XLOOKUP(M156,'00_SKU_Master'!$B$2:$B$378,'00_SKU_Master'!D:D)</f>
        <v>#VALUE!</v>
      </c>
      <c r="X154" s="14">
        <f>'05_Daily_Orders'!B155</f>
        <v>7289</v>
      </c>
      <c r="Y154" s="554"/>
      <c r="Z154" s="555"/>
      <c r="AA154" s="555"/>
      <c r="AB154" s="555"/>
      <c r="AC154" s="555">
        <v>0</v>
      </c>
      <c r="AD154" s="555">
        <v>0</v>
      </c>
      <c r="AE154" s="555">
        <v>0</v>
      </c>
      <c r="AF154" s="553">
        <f t="shared" si="16"/>
        <v>0</v>
      </c>
      <c r="AQ154" s="23">
        <v>0</v>
      </c>
      <c r="AR154" s="23">
        <v>0</v>
      </c>
      <c r="AS154" s="23">
        <f t="shared" si="17"/>
        <v>0</v>
      </c>
    </row>
    <row r="155" spans="1:45">
      <c r="A155" s="138">
        <f>_xlfn.XLOOKUP(C157,'00_SKU_Master'!$B$2:$B$378,'00_SKU_Master'!$C$2:$C$378)</f>
        <v>203891</v>
      </c>
      <c r="B155" s="138"/>
      <c r="C155" s="138">
        <f t="shared" si="12"/>
        <v>7304</v>
      </c>
      <c r="D155" s="552" t="e">
        <f ca="1">_xludf.IFNA(_xlfn.XLOOKUP(C157,'00_SKU_Master'!$B$2:$B$378,'00_SKU_Master'!$F$2:$F$378,0)*Y157,"")</f>
        <v>#NAME?</v>
      </c>
      <c r="E155" s="552" t="e">
        <f ca="1">_xludf.IFNA(_xlfn.XLOOKUP(C157,'00_SKU_Master'!$B$2:$B$378,'00_SKU_Master'!$F$2:$F$378,0)*Z157,"")</f>
        <v>#NAME?</v>
      </c>
      <c r="F155" s="552" t="e">
        <f ca="1">_xludf.IFNA(_xlfn.XLOOKUP(C157,'00_SKU_Master'!$B$2:$B$378,'00_SKU_Master'!$F$2:$F$378,0)*AA157,"")</f>
        <v>#NAME?</v>
      </c>
      <c r="G155" s="552" t="e">
        <f ca="1">_xludf.IFNA(_xlfn.XLOOKUP(C157,'00_SKU_Master'!$B$2:$B$378,'00_SKU_Master'!$F$2:$F$378,0)*AB157,"")</f>
        <v>#NAME?</v>
      </c>
      <c r="H155" s="552" t="e">
        <f ca="1">_xludf.IFNA(_xlfn.XLOOKUP(C157,'00_SKU_Master'!$B$2:$B$378,'00_SKU_Master'!$F$2:$F$378,0)*AC157,"")</f>
        <v>#NAME?</v>
      </c>
      <c r="I155" s="552" t="e">
        <f ca="1">_xludf.IFNA(_xlfn.XLOOKUP(C157,'00_SKU_Master'!$B$2:$B$378,'00_SKU_Master'!$F$2:$F$378,0)*AD157,"")</f>
        <v>#NAME?</v>
      </c>
      <c r="J155" s="552" t="e">
        <f ca="1">_xludf.IFNA(_xlfn.XLOOKUP(C157,'00_SKU_Master'!$B$2:$B$378,'00_SKU_Master'!$F$2:$F$378,0)*AE157,"")</f>
        <v>#NAME?</v>
      </c>
      <c r="K155" s="553" t="e">
        <f t="shared" ca="1" si="13"/>
        <v>#NAME?</v>
      </c>
      <c r="L155" s="187" t="e">
        <f>_xlfn.XLOOKUP(C157,'00_SKU_Master'!$B$2:$B$378,'00_SKU_Master'!K:K)</f>
        <v>#VALUE!</v>
      </c>
      <c r="M155" s="14">
        <f t="shared" si="14"/>
        <v>7304</v>
      </c>
      <c r="N155" s="147" t="e">
        <f ca="1">_xludf.IFNA(D157/_xlfn.XLOOKUP($M157,'00_SKU_Master'!$B$2:$B$378,'00_SKU_Master'!$M$2:$M$378,0)/$M$2,"0")</f>
        <v>#NAME?</v>
      </c>
      <c r="O155" s="147" t="e">
        <f ca="1">_xludf.IFNA(E157/_xlfn.XLOOKUP($M157,'00_SKU_Master'!$B$2:$B$378,'00_SKU_Master'!$M$2:$M$378,0)/$M$2,"0")</f>
        <v>#NAME?</v>
      </c>
      <c r="P155" s="147" t="e">
        <f ca="1">_xludf.IFNA(F157/_xlfn.XLOOKUP($M157,'00_SKU_Master'!$B$2:$B$378,'00_SKU_Master'!$M$2:$M$378,0)/$M$2,"0")</f>
        <v>#NAME?</v>
      </c>
      <c r="Q155" s="147" t="e">
        <f ca="1">_xludf.IFNA(G157/_xlfn.XLOOKUP($M157,'00_SKU_Master'!$B$2:$B$378,'00_SKU_Master'!$M$2:$M$378,0)/$M$2,"0")</f>
        <v>#NAME?</v>
      </c>
      <c r="R155" s="147" t="e">
        <f ca="1">_xludf.IFNA(H157/_xlfn.XLOOKUP($M157,'00_SKU_Master'!$B$2:$B$378,'00_SKU_Master'!$M$2:$M$378,0)/$M$2,"0")</f>
        <v>#NAME?</v>
      </c>
      <c r="S155" s="147" t="e">
        <f ca="1">_xludf.IFNA(I157/_xlfn.XLOOKUP($M157,'00_SKU_Master'!$B$2:$B$378,'00_SKU_Master'!$M$2:$M$378,0)/$M$2,"0")</f>
        <v>#NAME?</v>
      </c>
      <c r="T155" s="147" t="e">
        <f ca="1">_xludf.IFNA(J157/_xlfn.XLOOKUP($M157,'00_SKU_Master'!$B$2:$B$378,'00_SKU_Master'!$M$2:$M$378,0)/$M$2,"0")</f>
        <v>#NAME?</v>
      </c>
      <c r="U155" s="147" t="e">
        <f t="shared" ca="1" si="15"/>
        <v>#NAME?</v>
      </c>
      <c r="V155" s="4"/>
      <c r="W155" s="4" t="e">
        <f>_xlfn.XLOOKUP(M157,'00_SKU_Master'!$B$2:$B$378,'00_SKU_Master'!D:D)</f>
        <v>#VALUE!</v>
      </c>
      <c r="X155" s="14">
        <f>'05_Daily_Orders'!B156</f>
        <v>7300</v>
      </c>
      <c r="Y155" s="554"/>
      <c r="Z155" s="555"/>
      <c r="AA155" s="555"/>
      <c r="AB155" s="555"/>
      <c r="AC155" s="555">
        <v>0</v>
      </c>
      <c r="AD155" s="555">
        <v>0</v>
      </c>
      <c r="AE155" s="555">
        <v>0</v>
      </c>
      <c r="AF155" s="553">
        <f t="shared" si="16"/>
        <v>0</v>
      </c>
      <c r="AQ155" s="23">
        <v>0</v>
      </c>
      <c r="AR155" s="23">
        <v>0</v>
      </c>
      <c r="AS155" s="23">
        <f t="shared" si="17"/>
        <v>0</v>
      </c>
    </row>
    <row r="156" spans="1:45">
      <c r="A156" s="138">
        <f>_xlfn.XLOOKUP(C158,'00_SKU_Master'!$B$2:$B$378,'00_SKU_Master'!$C$2:$C$378)</f>
        <v>203891</v>
      </c>
      <c r="B156" s="138"/>
      <c r="C156" s="138">
        <f t="shared" si="12"/>
        <v>7310</v>
      </c>
      <c r="D156" s="552" t="e">
        <f ca="1">_xludf.IFNA(_xlfn.XLOOKUP(C158,'00_SKU_Master'!$B$2:$B$378,'00_SKU_Master'!$F$2:$F$378,0)*Y158,"")</f>
        <v>#NAME?</v>
      </c>
      <c r="E156" s="552" t="e">
        <f ca="1">_xludf.IFNA(_xlfn.XLOOKUP(C158,'00_SKU_Master'!$B$2:$B$378,'00_SKU_Master'!$F$2:$F$378,0)*Z158,"")</f>
        <v>#NAME?</v>
      </c>
      <c r="F156" s="552" t="e">
        <f ca="1">_xludf.IFNA(_xlfn.XLOOKUP(C158,'00_SKU_Master'!$B$2:$B$378,'00_SKU_Master'!$F$2:$F$378,0)*AA158,"")</f>
        <v>#NAME?</v>
      </c>
      <c r="G156" s="552" t="e">
        <f ca="1">_xludf.IFNA(_xlfn.XLOOKUP(C158,'00_SKU_Master'!$B$2:$B$378,'00_SKU_Master'!$F$2:$F$378,0)*AB158,"")</f>
        <v>#NAME?</v>
      </c>
      <c r="H156" s="552" t="e">
        <f ca="1">_xludf.IFNA(_xlfn.XLOOKUP(C158,'00_SKU_Master'!$B$2:$B$378,'00_SKU_Master'!$F$2:$F$378,0)*AC158,"")</f>
        <v>#NAME?</v>
      </c>
      <c r="I156" s="552" t="e">
        <f ca="1">_xludf.IFNA(_xlfn.XLOOKUP(C158,'00_SKU_Master'!$B$2:$B$378,'00_SKU_Master'!$F$2:$F$378,0)*AD158,"")</f>
        <v>#NAME?</v>
      </c>
      <c r="J156" s="552" t="e">
        <f ca="1">_xludf.IFNA(_xlfn.XLOOKUP(C158,'00_SKU_Master'!$B$2:$B$378,'00_SKU_Master'!$F$2:$F$378,0)*AE158,"")</f>
        <v>#NAME?</v>
      </c>
      <c r="K156" s="553" t="e">
        <f t="shared" ca="1" si="13"/>
        <v>#NAME?</v>
      </c>
      <c r="L156" s="187" t="e">
        <f>_xlfn.XLOOKUP(C158,'00_SKU_Master'!$B$2:$B$378,'00_SKU_Master'!K:K)</f>
        <v>#VALUE!</v>
      </c>
      <c r="M156" s="14">
        <f t="shared" si="14"/>
        <v>7310</v>
      </c>
      <c r="N156" s="147" t="e">
        <f ca="1">_xludf.IFNA(D158/_xlfn.XLOOKUP($M158,'00_SKU_Master'!$B$2:$B$378,'00_SKU_Master'!$M$2:$M$378,0)/$M$2,"0")</f>
        <v>#NAME?</v>
      </c>
      <c r="O156" s="147" t="e">
        <f ca="1">_xludf.IFNA(E158/_xlfn.XLOOKUP($M158,'00_SKU_Master'!$B$2:$B$378,'00_SKU_Master'!$M$2:$M$378,0)/$M$2,"0")</f>
        <v>#NAME?</v>
      </c>
      <c r="P156" s="147" t="e">
        <f ca="1">_xludf.IFNA(F158/_xlfn.XLOOKUP($M158,'00_SKU_Master'!$B$2:$B$378,'00_SKU_Master'!$M$2:$M$378,0)/$M$2,"0")</f>
        <v>#NAME?</v>
      </c>
      <c r="Q156" s="147" t="e">
        <f ca="1">_xludf.IFNA(G158/_xlfn.XLOOKUP($M158,'00_SKU_Master'!$B$2:$B$378,'00_SKU_Master'!$M$2:$M$378,0)/$M$2,"0")</f>
        <v>#NAME?</v>
      </c>
      <c r="R156" s="147" t="e">
        <f ca="1">_xludf.IFNA(H158/_xlfn.XLOOKUP($M158,'00_SKU_Master'!$B$2:$B$378,'00_SKU_Master'!$M$2:$M$378,0)/$M$2,"0")</f>
        <v>#NAME?</v>
      </c>
      <c r="S156" s="147" t="e">
        <f ca="1">_xludf.IFNA(I158/_xlfn.XLOOKUP($M158,'00_SKU_Master'!$B$2:$B$378,'00_SKU_Master'!$M$2:$M$378,0)/$M$2,"0")</f>
        <v>#NAME?</v>
      </c>
      <c r="T156" s="147" t="e">
        <f ca="1">_xludf.IFNA(J158/_xlfn.XLOOKUP($M158,'00_SKU_Master'!$B$2:$B$378,'00_SKU_Master'!$M$2:$M$378,0)/$M$2,"0")</f>
        <v>#NAME?</v>
      </c>
      <c r="U156" s="147" t="e">
        <f t="shared" ca="1" si="15"/>
        <v>#NAME?</v>
      </c>
      <c r="V156" s="4"/>
      <c r="W156" s="4" t="e">
        <f>_xlfn.XLOOKUP(M158,'00_SKU_Master'!$B$2:$B$378,'00_SKU_Master'!D:D)</f>
        <v>#VALUE!</v>
      </c>
      <c r="X156" s="14">
        <f>'05_Daily_Orders'!B157</f>
        <v>7303</v>
      </c>
      <c r="Y156" s="554"/>
      <c r="Z156" s="555"/>
      <c r="AA156" s="555"/>
      <c r="AB156" s="555"/>
      <c r="AC156" s="555">
        <v>0</v>
      </c>
      <c r="AD156" s="555">
        <v>0</v>
      </c>
      <c r="AE156" s="555">
        <v>0</v>
      </c>
      <c r="AF156" s="553">
        <f t="shared" si="16"/>
        <v>0</v>
      </c>
      <c r="AQ156" s="23">
        <v>0</v>
      </c>
      <c r="AR156" s="23">
        <v>0</v>
      </c>
      <c r="AS156" s="23">
        <f t="shared" si="17"/>
        <v>0</v>
      </c>
    </row>
    <row r="157" spans="1:45">
      <c r="A157" s="138">
        <f>_xlfn.XLOOKUP(C159,'00_SKU_Master'!$B$2:$B$378,'00_SKU_Master'!$C$2:$C$378)</f>
        <v>61061</v>
      </c>
      <c r="B157" s="138"/>
      <c r="C157" s="138">
        <f t="shared" si="12"/>
        <v>7340</v>
      </c>
      <c r="D157" s="552" t="e">
        <f ca="1">_xludf.IFNA(_xlfn.XLOOKUP(C159,'00_SKU_Master'!$B$2:$B$378,'00_SKU_Master'!$F$2:$F$378,0)*Y159,"")</f>
        <v>#NAME?</v>
      </c>
      <c r="E157" s="552" t="e">
        <f ca="1">_xludf.IFNA(_xlfn.XLOOKUP(C159,'00_SKU_Master'!$B$2:$B$378,'00_SKU_Master'!$F$2:$F$378,0)*Z159,"")</f>
        <v>#NAME?</v>
      </c>
      <c r="F157" s="552" t="e">
        <f ca="1">_xludf.IFNA(_xlfn.XLOOKUP(C159,'00_SKU_Master'!$B$2:$B$378,'00_SKU_Master'!$F$2:$F$378,0)*AA159,"")</f>
        <v>#NAME?</v>
      </c>
      <c r="G157" s="552" t="e">
        <f ca="1">_xludf.IFNA(_xlfn.XLOOKUP(C159,'00_SKU_Master'!$B$2:$B$378,'00_SKU_Master'!$F$2:$F$378,0)*AB159,"")</f>
        <v>#NAME?</v>
      </c>
      <c r="H157" s="552" t="e">
        <f ca="1">_xludf.IFNA(_xlfn.XLOOKUP(C159,'00_SKU_Master'!$B$2:$B$378,'00_SKU_Master'!$F$2:$F$378,0)*AC159,"")</f>
        <v>#NAME?</v>
      </c>
      <c r="I157" s="552" t="e">
        <f ca="1">_xludf.IFNA(_xlfn.XLOOKUP(C159,'00_SKU_Master'!$B$2:$B$378,'00_SKU_Master'!$F$2:$F$378,0)*AD159,"")</f>
        <v>#NAME?</v>
      </c>
      <c r="J157" s="552" t="e">
        <f ca="1">_xludf.IFNA(_xlfn.XLOOKUP(C159,'00_SKU_Master'!$B$2:$B$378,'00_SKU_Master'!$F$2:$F$378,0)*AE159,"")</f>
        <v>#NAME?</v>
      </c>
      <c r="K157" s="553" t="e">
        <f t="shared" ca="1" si="13"/>
        <v>#NAME?</v>
      </c>
      <c r="L157" s="187" t="e">
        <f>_xlfn.XLOOKUP(C159,'00_SKU_Master'!$B$2:$B$378,'00_SKU_Master'!K:K)</f>
        <v>#VALUE!</v>
      </c>
      <c r="M157" s="14">
        <f t="shared" si="14"/>
        <v>7340</v>
      </c>
      <c r="N157" s="147" t="e">
        <f ca="1">_xludf.IFNA(D159/_xlfn.XLOOKUP($M159,'00_SKU_Master'!$B$2:$B$378,'00_SKU_Master'!$M$2:$M$378,0)/$M$2,"0")</f>
        <v>#NAME?</v>
      </c>
      <c r="O157" s="147" t="e">
        <f ca="1">_xludf.IFNA(E159/_xlfn.XLOOKUP($M159,'00_SKU_Master'!$B$2:$B$378,'00_SKU_Master'!$M$2:$M$378,0)/$M$2,"0")</f>
        <v>#NAME?</v>
      </c>
      <c r="P157" s="147" t="e">
        <f ca="1">_xludf.IFNA(F159/_xlfn.XLOOKUP($M159,'00_SKU_Master'!$B$2:$B$378,'00_SKU_Master'!$M$2:$M$378,0)/$M$2,"0")</f>
        <v>#NAME?</v>
      </c>
      <c r="Q157" s="147" t="e">
        <f ca="1">_xludf.IFNA(G159/_xlfn.XLOOKUP($M159,'00_SKU_Master'!$B$2:$B$378,'00_SKU_Master'!$M$2:$M$378,0)/$M$2,"0")</f>
        <v>#NAME?</v>
      </c>
      <c r="R157" s="147" t="e">
        <f ca="1">_xludf.IFNA(H159/_xlfn.XLOOKUP($M159,'00_SKU_Master'!$B$2:$B$378,'00_SKU_Master'!$M$2:$M$378,0)/$M$2,"0")</f>
        <v>#NAME?</v>
      </c>
      <c r="S157" s="147" t="e">
        <f ca="1">_xludf.IFNA(I159/_xlfn.XLOOKUP($M159,'00_SKU_Master'!$B$2:$B$378,'00_SKU_Master'!$M$2:$M$378,0)/$M$2,"0")</f>
        <v>#NAME?</v>
      </c>
      <c r="T157" s="147" t="e">
        <f ca="1">_xludf.IFNA(J159/_xlfn.XLOOKUP($M159,'00_SKU_Master'!$B$2:$B$378,'00_SKU_Master'!$M$2:$M$378,0)/$M$2,"0")</f>
        <v>#NAME?</v>
      </c>
      <c r="U157" s="147" t="e">
        <f t="shared" ca="1" si="15"/>
        <v>#NAME?</v>
      </c>
      <c r="V157" s="4"/>
      <c r="W157" s="4" t="e">
        <f>_xlfn.XLOOKUP(M159,'00_SKU_Master'!$B$2:$B$378,'00_SKU_Master'!D:D)</f>
        <v>#VALUE!</v>
      </c>
      <c r="X157" s="14">
        <f>'05_Daily_Orders'!B158</f>
        <v>7304</v>
      </c>
      <c r="Y157" s="554"/>
      <c r="Z157" s="555"/>
      <c r="AA157" s="555"/>
      <c r="AB157" s="555"/>
      <c r="AC157" s="555">
        <v>0</v>
      </c>
      <c r="AD157" s="555">
        <v>0</v>
      </c>
      <c r="AE157" s="555">
        <v>0</v>
      </c>
      <c r="AF157" s="553">
        <f t="shared" si="16"/>
        <v>0</v>
      </c>
      <c r="AQ157" s="23">
        <v>0</v>
      </c>
      <c r="AR157" s="23">
        <v>0</v>
      </c>
      <c r="AS157" s="23">
        <f t="shared" si="17"/>
        <v>0</v>
      </c>
    </row>
    <row r="158" spans="1:45">
      <c r="A158" s="138" t="str">
        <f>_xlfn.XLOOKUP(C160,'00_SKU_Master'!$B$2:$B$378,'00_SKU_Master'!$C$2:$C$378)</f>
        <v>61050#2</v>
      </c>
      <c r="B158" s="138"/>
      <c r="C158" s="138">
        <f t="shared" si="12"/>
        <v>7341</v>
      </c>
      <c r="D158" s="552" t="e">
        <f ca="1">_xludf.IFNA(_xlfn.XLOOKUP(C160,'00_SKU_Master'!$B$2:$B$378,'00_SKU_Master'!$F$2:$F$378,0)*Y160,"")</f>
        <v>#NAME?</v>
      </c>
      <c r="E158" s="552" t="e">
        <f ca="1">_xludf.IFNA(_xlfn.XLOOKUP(C160,'00_SKU_Master'!$B$2:$B$378,'00_SKU_Master'!$F$2:$F$378,0)*Z160,"")</f>
        <v>#NAME?</v>
      </c>
      <c r="F158" s="552" t="e">
        <f ca="1">_xludf.IFNA(_xlfn.XLOOKUP(C160,'00_SKU_Master'!$B$2:$B$378,'00_SKU_Master'!$F$2:$F$378,0)*AA160,"")</f>
        <v>#NAME?</v>
      </c>
      <c r="G158" s="552" t="e">
        <f ca="1">_xludf.IFNA(_xlfn.XLOOKUP(C160,'00_SKU_Master'!$B$2:$B$378,'00_SKU_Master'!$F$2:$F$378,0)*AB160,"")</f>
        <v>#NAME?</v>
      </c>
      <c r="H158" s="552" t="e">
        <f ca="1">_xludf.IFNA(_xlfn.XLOOKUP(C160,'00_SKU_Master'!$B$2:$B$378,'00_SKU_Master'!$F$2:$F$378,0)*AC160,"")</f>
        <v>#NAME?</v>
      </c>
      <c r="I158" s="552" t="e">
        <f ca="1">_xludf.IFNA(_xlfn.XLOOKUP(C160,'00_SKU_Master'!$B$2:$B$378,'00_SKU_Master'!$F$2:$F$378,0)*AD160,"")</f>
        <v>#NAME?</v>
      </c>
      <c r="J158" s="552" t="e">
        <f ca="1">_xludf.IFNA(_xlfn.XLOOKUP(C160,'00_SKU_Master'!$B$2:$B$378,'00_SKU_Master'!$F$2:$F$378,0)*AE160,"")</f>
        <v>#NAME?</v>
      </c>
      <c r="K158" s="553" t="e">
        <f t="shared" ca="1" si="13"/>
        <v>#NAME?</v>
      </c>
      <c r="L158" s="187" t="e">
        <f>_xlfn.XLOOKUP(C160,'00_SKU_Master'!$B$2:$B$378,'00_SKU_Master'!K:K)</f>
        <v>#VALUE!</v>
      </c>
      <c r="M158" s="14">
        <f t="shared" si="14"/>
        <v>7341</v>
      </c>
      <c r="N158" s="147" t="e">
        <f ca="1">_xludf.IFNA(D160/_xlfn.XLOOKUP($M160,'00_SKU_Master'!$B$2:$B$378,'00_SKU_Master'!$M$2:$M$378,0)/$M$2,"0")</f>
        <v>#NAME?</v>
      </c>
      <c r="O158" s="147" t="e">
        <f ca="1">_xludf.IFNA(E160/_xlfn.XLOOKUP($M160,'00_SKU_Master'!$B$2:$B$378,'00_SKU_Master'!$M$2:$M$378,0)/$M$2,"0")</f>
        <v>#NAME?</v>
      </c>
      <c r="P158" s="147" t="e">
        <f ca="1">_xludf.IFNA(F160/_xlfn.XLOOKUP($M160,'00_SKU_Master'!$B$2:$B$378,'00_SKU_Master'!$M$2:$M$378,0)/$M$2,"0")</f>
        <v>#NAME?</v>
      </c>
      <c r="Q158" s="147" t="e">
        <f ca="1">_xludf.IFNA(G160/_xlfn.XLOOKUP($M160,'00_SKU_Master'!$B$2:$B$378,'00_SKU_Master'!$M$2:$M$378,0)/$M$2,"0")</f>
        <v>#NAME?</v>
      </c>
      <c r="R158" s="147" t="e">
        <f ca="1">_xludf.IFNA(H160/_xlfn.XLOOKUP($M160,'00_SKU_Master'!$B$2:$B$378,'00_SKU_Master'!$M$2:$M$378,0)/$M$2,"0")</f>
        <v>#NAME?</v>
      </c>
      <c r="S158" s="147" t="e">
        <f ca="1">_xludf.IFNA(I160/_xlfn.XLOOKUP($M160,'00_SKU_Master'!$B$2:$B$378,'00_SKU_Master'!$M$2:$M$378,0)/$M$2,"0")</f>
        <v>#NAME?</v>
      </c>
      <c r="T158" s="147" t="e">
        <f ca="1">_xludf.IFNA(J160/_xlfn.XLOOKUP($M160,'00_SKU_Master'!$B$2:$B$378,'00_SKU_Master'!$M$2:$M$378,0)/$M$2,"0")</f>
        <v>#NAME?</v>
      </c>
      <c r="U158" s="147" t="e">
        <f t="shared" ca="1" si="15"/>
        <v>#NAME?</v>
      </c>
      <c r="V158" s="4"/>
      <c r="W158" s="4" t="e">
        <f>_xlfn.XLOOKUP(M160,'00_SKU_Master'!$B$2:$B$378,'00_SKU_Master'!D:D)</f>
        <v>#VALUE!</v>
      </c>
      <c r="X158" s="14">
        <f>'05_Daily_Orders'!B159</f>
        <v>7310</v>
      </c>
      <c r="Y158" s="554"/>
      <c r="Z158" s="555"/>
      <c r="AA158" s="555"/>
      <c r="AB158" s="555"/>
      <c r="AC158" s="555">
        <v>0</v>
      </c>
      <c r="AD158" s="555">
        <v>0</v>
      </c>
      <c r="AE158" s="555">
        <v>0</v>
      </c>
      <c r="AF158" s="553">
        <f t="shared" si="16"/>
        <v>0</v>
      </c>
      <c r="AQ158" s="23">
        <v>0</v>
      </c>
      <c r="AR158" s="23">
        <v>0</v>
      </c>
      <c r="AS158" s="23">
        <f t="shared" si="17"/>
        <v>0</v>
      </c>
    </row>
    <row r="159" spans="1:45">
      <c r="A159" s="138">
        <f>_xlfn.XLOOKUP(C161,'00_SKU_Master'!$B$2:$B$378,'00_SKU_Master'!$C$2:$C$378)</f>
        <v>61061</v>
      </c>
      <c r="B159" s="138"/>
      <c r="C159" s="138">
        <f t="shared" si="12"/>
        <v>7342</v>
      </c>
      <c r="D159" s="552" t="e">
        <f ca="1">_xludf.IFNA(_xlfn.XLOOKUP(C161,'00_SKU_Master'!$B$2:$B$378,'00_SKU_Master'!$F$2:$F$378,0)*Y161,"")</f>
        <v>#NAME?</v>
      </c>
      <c r="E159" s="552" t="e">
        <f ca="1">_xludf.IFNA(_xlfn.XLOOKUP(C161,'00_SKU_Master'!$B$2:$B$378,'00_SKU_Master'!$F$2:$F$378,0)*Z161,"")</f>
        <v>#NAME?</v>
      </c>
      <c r="F159" s="552" t="e">
        <f ca="1">_xludf.IFNA(_xlfn.XLOOKUP(C161,'00_SKU_Master'!$B$2:$B$378,'00_SKU_Master'!$F$2:$F$378,0)*AA161,"")</f>
        <v>#NAME?</v>
      </c>
      <c r="G159" s="552" t="e">
        <f ca="1">_xludf.IFNA(_xlfn.XLOOKUP(C161,'00_SKU_Master'!$B$2:$B$378,'00_SKU_Master'!$F$2:$F$378,0)*AB161,"")</f>
        <v>#NAME?</v>
      </c>
      <c r="H159" s="552" t="e">
        <f ca="1">_xludf.IFNA(_xlfn.XLOOKUP(C161,'00_SKU_Master'!$B$2:$B$378,'00_SKU_Master'!$F$2:$F$378,0)*AC161,"")</f>
        <v>#NAME?</v>
      </c>
      <c r="I159" s="552" t="e">
        <f ca="1">_xludf.IFNA(_xlfn.XLOOKUP(C161,'00_SKU_Master'!$B$2:$B$378,'00_SKU_Master'!$F$2:$F$378,0)*AD161,"")</f>
        <v>#NAME?</v>
      </c>
      <c r="J159" s="552" t="e">
        <f ca="1">_xludf.IFNA(_xlfn.XLOOKUP(C161,'00_SKU_Master'!$B$2:$B$378,'00_SKU_Master'!$F$2:$F$378,0)*AE161,"")</f>
        <v>#NAME?</v>
      </c>
      <c r="K159" s="553" t="e">
        <f t="shared" ca="1" si="13"/>
        <v>#NAME?</v>
      </c>
      <c r="L159" s="187" t="e">
        <f>_xlfn.XLOOKUP(C161,'00_SKU_Master'!$B$2:$B$378,'00_SKU_Master'!K:K)</f>
        <v>#VALUE!</v>
      </c>
      <c r="M159" s="14">
        <f t="shared" si="14"/>
        <v>7342</v>
      </c>
      <c r="N159" s="147" t="e">
        <f ca="1">_xludf.IFNA(D161/_xlfn.XLOOKUP($M161,'00_SKU_Master'!$B$2:$B$378,'00_SKU_Master'!$M$2:$M$378,0)/$M$2,"0")</f>
        <v>#NAME?</v>
      </c>
      <c r="O159" s="147" t="e">
        <f ca="1">_xludf.IFNA(E161/_xlfn.XLOOKUP($M161,'00_SKU_Master'!$B$2:$B$378,'00_SKU_Master'!$M$2:$M$378,0)/$M$2,"0")</f>
        <v>#NAME?</v>
      </c>
      <c r="P159" s="147" t="e">
        <f ca="1">_xludf.IFNA(F161/_xlfn.XLOOKUP($M161,'00_SKU_Master'!$B$2:$B$378,'00_SKU_Master'!$M$2:$M$378,0)/$M$2,"0")</f>
        <v>#NAME?</v>
      </c>
      <c r="Q159" s="147" t="e">
        <f ca="1">_xludf.IFNA(G161/_xlfn.XLOOKUP($M161,'00_SKU_Master'!$B$2:$B$378,'00_SKU_Master'!$M$2:$M$378,0)/$M$2,"0")</f>
        <v>#NAME?</v>
      </c>
      <c r="R159" s="147" t="e">
        <f ca="1">_xludf.IFNA(H161/_xlfn.XLOOKUP($M161,'00_SKU_Master'!$B$2:$B$378,'00_SKU_Master'!$M$2:$M$378,0)/$M$2,"0")</f>
        <v>#NAME?</v>
      </c>
      <c r="S159" s="147" t="e">
        <f ca="1">_xludf.IFNA(I161/_xlfn.XLOOKUP($M161,'00_SKU_Master'!$B$2:$B$378,'00_SKU_Master'!$M$2:$M$378,0)/$M$2,"0")</f>
        <v>#NAME?</v>
      </c>
      <c r="T159" s="147" t="e">
        <f ca="1">_xludf.IFNA(J161/_xlfn.XLOOKUP($M161,'00_SKU_Master'!$B$2:$B$378,'00_SKU_Master'!$M$2:$M$378,0)/$M$2,"0")</f>
        <v>#NAME?</v>
      </c>
      <c r="U159" s="147" t="e">
        <f t="shared" ca="1" si="15"/>
        <v>#NAME?</v>
      </c>
      <c r="V159" s="4"/>
      <c r="W159" s="4" t="e">
        <f>_xlfn.XLOOKUP(M161,'00_SKU_Master'!$B$2:$B$378,'00_SKU_Master'!D:D)</f>
        <v>#VALUE!</v>
      </c>
      <c r="X159" s="14">
        <f>'05_Daily_Orders'!B160</f>
        <v>7340</v>
      </c>
      <c r="Y159" s="554"/>
      <c r="Z159" s="555"/>
      <c r="AA159" s="555"/>
      <c r="AB159" s="555"/>
      <c r="AC159" s="555">
        <v>0</v>
      </c>
      <c r="AD159" s="555">
        <v>0</v>
      </c>
      <c r="AE159" s="555">
        <v>0</v>
      </c>
      <c r="AF159" s="553">
        <f t="shared" si="16"/>
        <v>0</v>
      </c>
      <c r="AQ159" s="23">
        <v>0</v>
      </c>
      <c r="AR159" s="23">
        <v>0</v>
      </c>
      <c r="AS159" s="23">
        <f t="shared" si="17"/>
        <v>0</v>
      </c>
    </row>
    <row r="160" spans="1:45">
      <c r="A160" s="138" t="str">
        <f>_xlfn.XLOOKUP(C162,'00_SKU_Master'!$B$2:$B$378,'00_SKU_Master'!$C$2:$C$378)</f>
        <v>61072#2</v>
      </c>
      <c r="B160" s="138"/>
      <c r="C160" s="138">
        <f t="shared" si="12"/>
        <v>7343</v>
      </c>
      <c r="D160" s="552" t="e">
        <f ca="1">_xludf.IFNA(_xlfn.XLOOKUP(C162,'00_SKU_Master'!$B$2:$B$378,'00_SKU_Master'!$F$2:$F$378,0)*Y162,"")</f>
        <v>#NAME?</v>
      </c>
      <c r="E160" s="552" t="e">
        <f ca="1">_xludf.IFNA(_xlfn.XLOOKUP(C162,'00_SKU_Master'!$B$2:$B$378,'00_SKU_Master'!$F$2:$F$378,0)*Z162,"")</f>
        <v>#NAME?</v>
      </c>
      <c r="F160" s="552" t="e">
        <f ca="1">_xludf.IFNA(_xlfn.XLOOKUP(C162,'00_SKU_Master'!$B$2:$B$378,'00_SKU_Master'!$F$2:$F$378,0)*AA162,"")</f>
        <v>#NAME?</v>
      </c>
      <c r="G160" s="552" t="e">
        <f ca="1">_xludf.IFNA(_xlfn.XLOOKUP(C162,'00_SKU_Master'!$B$2:$B$378,'00_SKU_Master'!$F$2:$F$378,0)*AB162,"")</f>
        <v>#NAME?</v>
      </c>
      <c r="H160" s="552" t="e">
        <f ca="1">_xludf.IFNA(_xlfn.XLOOKUP(C162,'00_SKU_Master'!$B$2:$B$378,'00_SKU_Master'!$F$2:$F$378,0)*AC162,"")</f>
        <v>#NAME?</v>
      </c>
      <c r="I160" s="552" t="e">
        <f ca="1">_xludf.IFNA(_xlfn.XLOOKUP(C162,'00_SKU_Master'!$B$2:$B$378,'00_SKU_Master'!$F$2:$F$378,0)*AD162,"")</f>
        <v>#NAME?</v>
      </c>
      <c r="J160" s="552" t="e">
        <f ca="1">_xludf.IFNA(_xlfn.XLOOKUP(C162,'00_SKU_Master'!$B$2:$B$378,'00_SKU_Master'!$F$2:$F$378,0)*AE162,"")</f>
        <v>#NAME?</v>
      </c>
      <c r="K160" s="553" t="e">
        <f t="shared" ca="1" si="13"/>
        <v>#NAME?</v>
      </c>
      <c r="L160" s="187" t="e">
        <f>_xlfn.XLOOKUP(C162,'00_SKU_Master'!$B$2:$B$378,'00_SKU_Master'!K:K)</f>
        <v>#VALUE!</v>
      </c>
      <c r="M160" s="14">
        <f t="shared" si="14"/>
        <v>7343</v>
      </c>
      <c r="N160" s="147" t="e">
        <f ca="1">_xludf.IFNA(D162/_xlfn.XLOOKUP($M162,'00_SKU_Master'!$B$2:$B$378,'00_SKU_Master'!$M$2:$M$378,0)/$M$2,"0")</f>
        <v>#NAME?</v>
      </c>
      <c r="O160" s="147" t="e">
        <f ca="1">_xludf.IFNA(E162/_xlfn.XLOOKUP($M162,'00_SKU_Master'!$B$2:$B$378,'00_SKU_Master'!$M$2:$M$378,0)/$M$2,"0")</f>
        <v>#NAME?</v>
      </c>
      <c r="P160" s="147" t="e">
        <f ca="1">_xludf.IFNA(F162/_xlfn.XLOOKUP($M162,'00_SKU_Master'!$B$2:$B$378,'00_SKU_Master'!$M$2:$M$378,0)/$M$2,"0")</f>
        <v>#NAME?</v>
      </c>
      <c r="Q160" s="147" t="e">
        <f ca="1">_xludf.IFNA(G162/_xlfn.XLOOKUP($M162,'00_SKU_Master'!$B$2:$B$378,'00_SKU_Master'!$M$2:$M$378,0)/$M$2,"0")</f>
        <v>#NAME?</v>
      </c>
      <c r="R160" s="147" t="e">
        <f ca="1">_xludf.IFNA(H162/_xlfn.XLOOKUP($M162,'00_SKU_Master'!$B$2:$B$378,'00_SKU_Master'!$M$2:$M$378,0)/$M$2,"0")</f>
        <v>#NAME?</v>
      </c>
      <c r="S160" s="147" t="e">
        <f ca="1">_xludf.IFNA(I162/_xlfn.XLOOKUP($M162,'00_SKU_Master'!$B$2:$B$378,'00_SKU_Master'!$M$2:$M$378,0)/$M$2,"0")</f>
        <v>#NAME?</v>
      </c>
      <c r="T160" s="147" t="e">
        <f ca="1">_xludf.IFNA(J162/_xlfn.XLOOKUP($M162,'00_SKU_Master'!$B$2:$B$378,'00_SKU_Master'!$M$2:$M$378,0)/$M$2,"0")</f>
        <v>#NAME?</v>
      </c>
      <c r="U160" s="147" t="e">
        <f t="shared" ca="1" si="15"/>
        <v>#NAME?</v>
      </c>
      <c r="V160" s="4"/>
      <c r="W160" s="4" t="e">
        <f>_xlfn.XLOOKUP(M162,'00_SKU_Master'!$B$2:$B$378,'00_SKU_Master'!D:D)</f>
        <v>#VALUE!</v>
      </c>
      <c r="X160" s="14">
        <f>'05_Daily_Orders'!B161</f>
        <v>7341</v>
      </c>
      <c r="Y160" s="554"/>
      <c r="Z160" s="555"/>
      <c r="AA160" s="555"/>
      <c r="AB160" s="555"/>
      <c r="AC160" s="555">
        <v>0</v>
      </c>
      <c r="AD160" s="555">
        <v>0</v>
      </c>
      <c r="AE160" s="555">
        <v>0</v>
      </c>
      <c r="AF160" s="553">
        <f t="shared" si="16"/>
        <v>0</v>
      </c>
      <c r="AQ160" s="23">
        <v>0</v>
      </c>
      <c r="AR160" s="23">
        <v>0</v>
      </c>
      <c r="AS160" s="23">
        <f t="shared" si="17"/>
        <v>0</v>
      </c>
    </row>
    <row r="161" spans="1:45">
      <c r="A161" s="138">
        <f>_xlfn.XLOOKUP(C163,'00_SKU_Master'!$B$2:$B$378,'00_SKU_Master'!$C$2:$C$378)</f>
        <v>61082</v>
      </c>
      <c r="B161" s="138"/>
      <c r="C161" s="138">
        <f t="shared" si="12"/>
        <v>7378</v>
      </c>
      <c r="D161" s="552" t="e">
        <f ca="1">_xludf.IFNA(_xlfn.XLOOKUP(C163,'00_SKU_Master'!$B$2:$B$378,'00_SKU_Master'!$F$2:$F$378,0)*Y163,"")</f>
        <v>#NAME?</v>
      </c>
      <c r="E161" s="552" t="e">
        <f ca="1">_xludf.IFNA(_xlfn.XLOOKUP(C163,'00_SKU_Master'!$B$2:$B$378,'00_SKU_Master'!$F$2:$F$378,0)*Z163,"")</f>
        <v>#NAME?</v>
      </c>
      <c r="F161" s="552" t="e">
        <f ca="1">_xludf.IFNA(_xlfn.XLOOKUP(C163,'00_SKU_Master'!$B$2:$B$378,'00_SKU_Master'!$F$2:$F$378,0)*AA163,"")</f>
        <v>#NAME?</v>
      </c>
      <c r="G161" s="552" t="e">
        <f ca="1">_xludf.IFNA(_xlfn.XLOOKUP(C163,'00_SKU_Master'!$B$2:$B$378,'00_SKU_Master'!$F$2:$F$378,0)*AB163,"")</f>
        <v>#NAME?</v>
      </c>
      <c r="H161" s="552" t="e">
        <f ca="1">_xludf.IFNA(_xlfn.XLOOKUP(C163,'00_SKU_Master'!$B$2:$B$378,'00_SKU_Master'!$F$2:$F$378,0)*AC163,"")</f>
        <v>#NAME?</v>
      </c>
      <c r="I161" s="552" t="e">
        <f ca="1">_xludf.IFNA(_xlfn.XLOOKUP(C163,'00_SKU_Master'!$B$2:$B$378,'00_SKU_Master'!$F$2:$F$378,0)*AD163,"")</f>
        <v>#NAME?</v>
      </c>
      <c r="J161" s="552" t="e">
        <f ca="1">_xludf.IFNA(_xlfn.XLOOKUP(C163,'00_SKU_Master'!$B$2:$B$378,'00_SKU_Master'!$F$2:$F$378,0)*AE163,"")</f>
        <v>#NAME?</v>
      </c>
      <c r="K161" s="553" t="e">
        <f t="shared" ca="1" si="13"/>
        <v>#NAME?</v>
      </c>
      <c r="L161" s="187" t="e">
        <f>_xlfn.XLOOKUP(C163,'00_SKU_Master'!$B$2:$B$378,'00_SKU_Master'!K:K)</f>
        <v>#VALUE!</v>
      </c>
      <c r="M161" s="14">
        <f t="shared" si="14"/>
        <v>7378</v>
      </c>
      <c r="N161" s="147" t="e">
        <f ca="1">_xludf.IFNA(D163/_xlfn.XLOOKUP($M163,'00_SKU_Master'!$B$2:$B$378,'00_SKU_Master'!$M$2:$M$378,0)/$M$2,"0")</f>
        <v>#NAME?</v>
      </c>
      <c r="O161" s="147" t="e">
        <f ca="1">_xludf.IFNA(E163/_xlfn.XLOOKUP($M163,'00_SKU_Master'!$B$2:$B$378,'00_SKU_Master'!$M$2:$M$378,0)/$M$2,"0")</f>
        <v>#NAME?</v>
      </c>
      <c r="P161" s="147" t="e">
        <f ca="1">_xludf.IFNA(F163/_xlfn.XLOOKUP($M163,'00_SKU_Master'!$B$2:$B$378,'00_SKU_Master'!$M$2:$M$378,0)/$M$2,"0")</f>
        <v>#NAME?</v>
      </c>
      <c r="Q161" s="147" t="e">
        <f ca="1">_xludf.IFNA(G163/_xlfn.XLOOKUP($M163,'00_SKU_Master'!$B$2:$B$378,'00_SKU_Master'!$M$2:$M$378,0)/$M$2,"0")</f>
        <v>#NAME?</v>
      </c>
      <c r="R161" s="147" t="e">
        <f ca="1">_xludf.IFNA(H163/_xlfn.XLOOKUP($M163,'00_SKU_Master'!$B$2:$B$378,'00_SKU_Master'!$M$2:$M$378,0)/$M$2,"0")</f>
        <v>#NAME?</v>
      </c>
      <c r="S161" s="147" t="e">
        <f ca="1">_xludf.IFNA(I163/_xlfn.XLOOKUP($M163,'00_SKU_Master'!$B$2:$B$378,'00_SKU_Master'!$M$2:$M$378,0)/$M$2,"0")</f>
        <v>#NAME?</v>
      </c>
      <c r="T161" s="147" t="e">
        <f ca="1">_xludf.IFNA(J163/_xlfn.XLOOKUP($M163,'00_SKU_Master'!$B$2:$B$378,'00_SKU_Master'!$M$2:$M$378,0)/$M$2,"0")</f>
        <v>#NAME?</v>
      </c>
      <c r="U161" s="147" t="e">
        <f t="shared" ca="1" si="15"/>
        <v>#NAME?</v>
      </c>
      <c r="V161" s="4"/>
      <c r="W161" s="4" t="e">
        <f>_xlfn.XLOOKUP(M163,'00_SKU_Master'!$B$2:$B$378,'00_SKU_Master'!D:D)</f>
        <v>#VALUE!</v>
      </c>
      <c r="X161" s="14">
        <f>'05_Daily_Orders'!B162</f>
        <v>7342</v>
      </c>
      <c r="Y161" s="554"/>
      <c r="Z161" s="555"/>
      <c r="AA161" s="555"/>
      <c r="AB161" s="555"/>
      <c r="AC161" s="555">
        <v>0</v>
      </c>
      <c r="AD161" s="555">
        <v>0</v>
      </c>
      <c r="AE161" s="555">
        <v>0</v>
      </c>
      <c r="AF161" s="553">
        <f t="shared" si="16"/>
        <v>0</v>
      </c>
      <c r="AQ161" s="23">
        <v>0</v>
      </c>
      <c r="AR161" s="23">
        <v>0</v>
      </c>
      <c r="AS161" s="23">
        <f t="shared" si="17"/>
        <v>0</v>
      </c>
    </row>
    <row r="162" spans="1:45">
      <c r="A162" s="138" t="str">
        <f>_xlfn.XLOOKUP(C164,'00_SKU_Master'!$B$2:$B$378,'00_SKU_Master'!$C$2:$C$378)</f>
        <v>61050#2</v>
      </c>
      <c r="B162" s="138"/>
      <c r="C162" s="138">
        <f t="shared" si="12"/>
        <v>7396</v>
      </c>
      <c r="D162" s="552" t="e">
        <f ca="1">_xludf.IFNA(_xlfn.XLOOKUP(C164,'00_SKU_Master'!$B$2:$B$378,'00_SKU_Master'!$F$2:$F$378,0)*Y164,"")</f>
        <v>#NAME?</v>
      </c>
      <c r="E162" s="552" t="e">
        <f ca="1">_xludf.IFNA(_xlfn.XLOOKUP(C164,'00_SKU_Master'!$B$2:$B$378,'00_SKU_Master'!$F$2:$F$378,0)*Z164,"")</f>
        <v>#NAME?</v>
      </c>
      <c r="F162" s="552" t="e">
        <f ca="1">_xludf.IFNA(_xlfn.XLOOKUP(C164,'00_SKU_Master'!$B$2:$B$378,'00_SKU_Master'!$F$2:$F$378,0)*AA164,"")</f>
        <v>#NAME?</v>
      </c>
      <c r="G162" s="552" t="e">
        <f ca="1">_xludf.IFNA(_xlfn.XLOOKUP(C164,'00_SKU_Master'!$B$2:$B$378,'00_SKU_Master'!$F$2:$F$378,0)*AB164,"")</f>
        <v>#NAME?</v>
      </c>
      <c r="H162" s="552" t="e">
        <f ca="1">_xludf.IFNA(_xlfn.XLOOKUP(C164,'00_SKU_Master'!$B$2:$B$378,'00_SKU_Master'!$F$2:$F$378,0)*AC164,"")</f>
        <v>#NAME?</v>
      </c>
      <c r="I162" s="552" t="e">
        <f ca="1">_xludf.IFNA(_xlfn.XLOOKUP(C164,'00_SKU_Master'!$B$2:$B$378,'00_SKU_Master'!$F$2:$F$378,0)*AD164,"")</f>
        <v>#NAME?</v>
      </c>
      <c r="J162" s="552" t="e">
        <f ca="1">_xludf.IFNA(_xlfn.XLOOKUP(C164,'00_SKU_Master'!$B$2:$B$378,'00_SKU_Master'!$F$2:$F$378,0)*AE164,"")</f>
        <v>#NAME?</v>
      </c>
      <c r="K162" s="553" t="e">
        <f t="shared" ca="1" si="13"/>
        <v>#NAME?</v>
      </c>
      <c r="L162" s="187" t="e">
        <f>_xlfn.XLOOKUP(C164,'00_SKU_Master'!$B$2:$B$378,'00_SKU_Master'!K:K)</f>
        <v>#VALUE!</v>
      </c>
      <c r="M162" s="14">
        <f t="shared" si="14"/>
        <v>7396</v>
      </c>
      <c r="N162" s="147" t="e">
        <f ca="1">_xludf.IFNA(D164/_xlfn.XLOOKUP($M164,'00_SKU_Master'!$B$2:$B$378,'00_SKU_Master'!$M$2:$M$378,0)/$M$2,"0")</f>
        <v>#NAME?</v>
      </c>
      <c r="O162" s="147" t="e">
        <f ca="1">_xludf.IFNA(E164/_xlfn.XLOOKUP($M164,'00_SKU_Master'!$B$2:$B$378,'00_SKU_Master'!$M$2:$M$378,0)/$M$2,"0")</f>
        <v>#NAME?</v>
      </c>
      <c r="P162" s="147" t="e">
        <f ca="1">_xludf.IFNA(F164/_xlfn.XLOOKUP($M164,'00_SKU_Master'!$B$2:$B$378,'00_SKU_Master'!$M$2:$M$378,0)/$M$2,"0")</f>
        <v>#NAME?</v>
      </c>
      <c r="Q162" s="147" t="e">
        <f ca="1">_xludf.IFNA(G164/_xlfn.XLOOKUP($M164,'00_SKU_Master'!$B$2:$B$378,'00_SKU_Master'!$M$2:$M$378,0)/$M$2,"0")</f>
        <v>#NAME?</v>
      </c>
      <c r="R162" s="147" t="e">
        <f ca="1">_xludf.IFNA(H164/_xlfn.XLOOKUP($M164,'00_SKU_Master'!$B$2:$B$378,'00_SKU_Master'!$M$2:$M$378,0)/$M$2,"0")</f>
        <v>#NAME?</v>
      </c>
      <c r="S162" s="147" t="e">
        <f ca="1">_xludf.IFNA(I164/_xlfn.XLOOKUP($M164,'00_SKU_Master'!$B$2:$B$378,'00_SKU_Master'!$M$2:$M$378,0)/$M$2,"0")</f>
        <v>#NAME?</v>
      </c>
      <c r="T162" s="147" t="e">
        <f ca="1">_xludf.IFNA(J164/_xlfn.XLOOKUP($M164,'00_SKU_Master'!$B$2:$B$378,'00_SKU_Master'!$M$2:$M$378,0)/$M$2,"0")</f>
        <v>#NAME?</v>
      </c>
      <c r="U162" s="147" t="e">
        <f t="shared" ca="1" si="15"/>
        <v>#NAME?</v>
      </c>
      <c r="V162" s="4"/>
      <c r="W162" s="4" t="e">
        <f>_xlfn.XLOOKUP(M164,'00_SKU_Master'!$B$2:$B$378,'00_SKU_Master'!D:D)</f>
        <v>#VALUE!</v>
      </c>
      <c r="X162" s="14">
        <f>'05_Daily_Orders'!B163</f>
        <v>7343</v>
      </c>
      <c r="Y162" s="554"/>
      <c r="Z162" s="555"/>
      <c r="AA162" s="555"/>
      <c r="AB162" s="555"/>
      <c r="AC162" s="555">
        <v>0</v>
      </c>
      <c r="AD162" s="555">
        <v>0</v>
      </c>
      <c r="AE162" s="555">
        <v>0</v>
      </c>
      <c r="AF162" s="553">
        <f t="shared" si="16"/>
        <v>0</v>
      </c>
      <c r="AQ162" s="23">
        <v>0</v>
      </c>
      <c r="AR162" s="23">
        <v>0</v>
      </c>
      <c r="AS162" s="23">
        <f t="shared" si="17"/>
        <v>0</v>
      </c>
    </row>
    <row r="163" spans="1:45">
      <c r="A163" s="138">
        <f>_xlfn.XLOOKUP(C165,'00_SKU_Master'!$B$2:$B$378,'00_SKU_Master'!$C$2:$C$378)</f>
        <v>203891</v>
      </c>
      <c r="B163" s="138"/>
      <c r="C163" s="138">
        <f t="shared" si="12"/>
        <v>7397</v>
      </c>
      <c r="D163" s="552" t="e">
        <f ca="1">_xludf.IFNA(_xlfn.XLOOKUP(C165,'00_SKU_Master'!$B$2:$B$378,'00_SKU_Master'!$F$2:$F$378,0)*Y165,"")</f>
        <v>#NAME?</v>
      </c>
      <c r="E163" s="552" t="e">
        <f ca="1">_xludf.IFNA(_xlfn.XLOOKUP(C165,'00_SKU_Master'!$B$2:$B$378,'00_SKU_Master'!$F$2:$F$378,0)*Z165,"")</f>
        <v>#NAME?</v>
      </c>
      <c r="F163" s="552" t="e">
        <f ca="1">_xludf.IFNA(_xlfn.XLOOKUP(C165,'00_SKU_Master'!$B$2:$B$378,'00_SKU_Master'!$F$2:$F$378,0)*AA165,"")</f>
        <v>#NAME?</v>
      </c>
      <c r="G163" s="552" t="e">
        <f ca="1">_xludf.IFNA(_xlfn.XLOOKUP(C165,'00_SKU_Master'!$B$2:$B$378,'00_SKU_Master'!$F$2:$F$378,0)*AB165,"")</f>
        <v>#NAME?</v>
      </c>
      <c r="H163" s="552" t="e">
        <f ca="1">_xludf.IFNA(_xlfn.XLOOKUP(C165,'00_SKU_Master'!$B$2:$B$378,'00_SKU_Master'!$F$2:$F$378,0)*AC165,"")</f>
        <v>#NAME?</v>
      </c>
      <c r="I163" s="552" t="e">
        <f ca="1">_xludf.IFNA(_xlfn.XLOOKUP(C165,'00_SKU_Master'!$B$2:$B$378,'00_SKU_Master'!$F$2:$F$378,0)*AD165,"")</f>
        <v>#NAME?</v>
      </c>
      <c r="J163" s="552" t="e">
        <f ca="1">_xludf.IFNA(_xlfn.XLOOKUP(C165,'00_SKU_Master'!$B$2:$B$378,'00_SKU_Master'!$F$2:$F$378,0)*AE165,"")</f>
        <v>#NAME?</v>
      </c>
      <c r="K163" s="553" t="e">
        <f t="shared" ca="1" si="13"/>
        <v>#NAME?</v>
      </c>
      <c r="L163" s="187" t="e">
        <f>_xlfn.XLOOKUP(C165,'00_SKU_Master'!$B$2:$B$378,'00_SKU_Master'!K:K)</f>
        <v>#VALUE!</v>
      </c>
      <c r="M163" s="14">
        <f t="shared" si="14"/>
        <v>7397</v>
      </c>
      <c r="N163" s="147" t="e">
        <f ca="1">_xludf.IFNA(D165/_xlfn.XLOOKUP($M165,'00_SKU_Master'!$B$2:$B$378,'00_SKU_Master'!$M$2:$M$378,0)/$M$2,"0")</f>
        <v>#NAME?</v>
      </c>
      <c r="O163" s="147" t="e">
        <f ca="1">_xludf.IFNA(E165/_xlfn.XLOOKUP($M165,'00_SKU_Master'!$B$2:$B$378,'00_SKU_Master'!$M$2:$M$378,0)/$M$2,"0")</f>
        <v>#NAME?</v>
      </c>
      <c r="P163" s="147" t="e">
        <f ca="1">_xludf.IFNA(F165/_xlfn.XLOOKUP($M165,'00_SKU_Master'!$B$2:$B$378,'00_SKU_Master'!$M$2:$M$378,0)/$M$2,"0")</f>
        <v>#NAME?</v>
      </c>
      <c r="Q163" s="147" t="e">
        <f ca="1">_xludf.IFNA(G165/_xlfn.XLOOKUP($M165,'00_SKU_Master'!$B$2:$B$378,'00_SKU_Master'!$M$2:$M$378,0)/$M$2,"0")</f>
        <v>#NAME?</v>
      </c>
      <c r="R163" s="147" t="e">
        <f ca="1">_xludf.IFNA(H165/_xlfn.XLOOKUP($M165,'00_SKU_Master'!$B$2:$B$378,'00_SKU_Master'!$M$2:$M$378,0)/$M$2,"0")</f>
        <v>#NAME?</v>
      </c>
      <c r="S163" s="147" t="e">
        <f ca="1">_xludf.IFNA(I165/_xlfn.XLOOKUP($M165,'00_SKU_Master'!$B$2:$B$378,'00_SKU_Master'!$M$2:$M$378,0)/$M$2,"0")</f>
        <v>#NAME?</v>
      </c>
      <c r="T163" s="147" t="e">
        <f ca="1">_xludf.IFNA(J165/_xlfn.XLOOKUP($M165,'00_SKU_Master'!$B$2:$B$378,'00_SKU_Master'!$M$2:$M$378,0)/$M$2,"0")</f>
        <v>#NAME?</v>
      </c>
      <c r="U163" s="147" t="e">
        <f t="shared" ca="1" si="15"/>
        <v>#NAME?</v>
      </c>
      <c r="V163" s="4"/>
      <c r="W163" s="4" t="e">
        <f>_xlfn.XLOOKUP(M165,'00_SKU_Master'!$B$2:$B$378,'00_SKU_Master'!D:D)</f>
        <v>#VALUE!</v>
      </c>
      <c r="X163" s="14">
        <f>'05_Daily_Orders'!B164</f>
        <v>7378</v>
      </c>
      <c r="Y163" s="554"/>
      <c r="Z163" s="555"/>
      <c r="AA163" s="555"/>
      <c r="AB163" s="555"/>
      <c r="AC163" s="555">
        <v>0</v>
      </c>
      <c r="AD163" s="555">
        <v>0</v>
      </c>
      <c r="AE163" s="555">
        <v>0</v>
      </c>
      <c r="AF163" s="553">
        <f t="shared" si="16"/>
        <v>0</v>
      </c>
      <c r="AQ163" s="23">
        <v>0</v>
      </c>
      <c r="AR163" s="23">
        <v>0</v>
      </c>
      <c r="AS163" s="23">
        <f t="shared" si="17"/>
        <v>0</v>
      </c>
    </row>
    <row r="164" spans="1:45">
      <c r="A164" s="138" t="str">
        <f>_xlfn.XLOOKUP(C166,'00_SKU_Master'!$B$2:$B$378,'00_SKU_Master'!$C$2:$C$378)</f>
        <v>61086#2</v>
      </c>
      <c r="B164" s="138"/>
      <c r="C164" s="138">
        <f t="shared" si="12"/>
        <v>7398</v>
      </c>
      <c r="D164" s="552" t="e">
        <f ca="1">_xludf.IFNA(_xlfn.XLOOKUP(C166,'00_SKU_Master'!$B$2:$B$378,'00_SKU_Master'!$F$2:$F$378,0)*Y166,"")</f>
        <v>#NAME?</v>
      </c>
      <c r="E164" s="552" t="e">
        <f ca="1">_xludf.IFNA(_xlfn.XLOOKUP(C166,'00_SKU_Master'!$B$2:$B$378,'00_SKU_Master'!$F$2:$F$378,0)*Z166,"")</f>
        <v>#NAME?</v>
      </c>
      <c r="F164" s="552" t="e">
        <f ca="1">_xludf.IFNA(_xlfn.XLOOKUP(C166,'00_SKU_Master'!$B$2:$B$378,'00_SKU_Master'!$F$2:$F$378,0)*AA166,"")</f>
        <v>#NAME?</v>
      </c>
      <c r="G164" s="552" t="e">
        <f ca="1">_xludf.IFNA(_xlfn.XLOOKUP(C166,'00_SKU_Master'!$B$2:$B$378,'00_SKU_Master'!$F$2:$F$378,0)*AB166,"")</f>
        <v>#NAME?</v>
      </c>
      <c r="H164" s="552" t="e">
        <f ca="1">_xludf.IFNA(_xlfn.XLOOKUP(C166,'00_SKU_Master'!$B$2:$B$378,'00_SKU_Master'!$F$2:$F$378,0)*AC166,"")</f>
        <v>#NAME?</v>
      </c>
      <c r="I164" s="552" t="e">
        <f ca="1">_xludf.IFNA(_xlfn.XLOOKUP(C166,'00_SKU_Master'!$B$2:$B$378,'00_SKU_Master'!$F$2:$F$378,0)*AD166,"")</f>
        <v>#NAME?</v>
      </c>
      <c r="J164" s="552" t="e">
        <f ca="1">_xludf.IFNA(_xlfn.XLOOKUP(C166,'00_SKU_Master'!$B$2:$B$378,'00_SKU_Master'!$F$2:$F$378,0)*AE166,"")</f>
        <v>#NAME?</v>
      </c>
      <c r="K164" s="553" t="e">
        <f t="shared" ca="1" si="13"/>
        <v>#NAME?</v>
      </c>
      <c r="L164" s="187" t="e">
        <f>_xlfn.XLOOKUP(C166,'00_SKU_Master'!$B$2:$B$378,'00_SKU_Master'!K:K)</f>
        <v>#VALUE!</v>
      </c>
      <c r="M164" s="14">
        <f t="shared" si="14"/>
        <v>7398</v>
      </c>
      <c r="N164" s="147" t="e">
        <f ca="1">_xludf.IFNA(D166/_xlfn.XLOOKUP($M166,'00_SKU_Master'!$B$2:$B$378,'00_SKU_Master'!$M$2:$M$378,0)/$M$2,"0")</f>
        <v>#NAME?</v>
      </c>
      <c r="O164" s="147" t="e">
        <f ca="1">_xludf.IFNA(E166/_xlfn.XLOOKUP($M166,'00_SKU_Master'!$B$2:$B$378,'00_SKU_Master'!$M$2:$M$378,0)/$M$2,"0")</f>
        <v>#NAME?</v>
      </c>
      <c r="P164" s="147" t="e">
        <f ca="1">_xludf.IFNA(F166/_xlfn.XLOOKUP($M166,'00_SKU_Master'!$B$2:$B$378,'00_SKU_Master'!$M$2:$M$378,0)/$M$2,"0")</f>
        <v>#NAME?</v>
      </c>
      <c r="Q164" s="147" t="e">
        <f ca="1">_xludf.IFNA(G166/_xlfn.XLOOKUP($M166,'00_SKU_Master'!$B$2:$B$378,'00_SKU_Master'!$M$2:$M$378,0)/$M$2,"0")</f>
        <v>#NAME?</v>
      </c>
      <c r="R164" s="147" t="e">
        <f ca="1">_xludf.IFNA(H166/_xlfn.XLOOKUP($M166,'00_SKU_Master'!$B$2:$B$378,'00_SKU_Master'!$M$2:$M$378,0)/$M$2,"0")</f>
        <v>#NAME?</v>
      </c>
      <c r="S164" s="147" t="e">
        <f ca="1">_xludf.IFNA(I166/_xlfn.XLOOKUP($M166,'00_SKU_Master'!$B$2:$B$378,'00_SKU_Master'!$M$2:$M$378,0)/$M$2,"0")</f>
        <v>#NAME?</v>
      </c>
      <c r="T164" s="147" t="e">
        <f ca="1">_xludf.IFNA(J166/_xlfn.XLOOKUP($M166,'00_SKU_Master'!$B$2:$B$378,'00_SKU_Master'!$M$2:$M$378,0)/$M$2,"0")</f>
        <v>#NAME?</v>
      </c>
      <c r="U164" s="147" t="e">
        <f t="shared" ca="1" si="15"/>
        <v>#NAME?</v>
      </c>
      <c r="V164" s="4"/>
      <c r="W164" s="4" t="e">
        <f>_xlfn.XLOOKUP(M166,'00_SKU_Master'!$B$2:$B$378,'00_SKU_Master'!D:D)</f>
        <v>#VALUE!</v>
      </c>
      <c r="X164" s="14">
        <f>'05_Daily_Orders'!B165</f>
        <v>7396</v>
      </c>
      <c r="Y164" s="554"/>
      <c r="Z164" s="555"/>
      <c r="AA164" s="555"/>
      <c r="AB164" s="555"/>
      <c r="AC164" s="555">
        <v>0</v>
      </c>
      <c r="AD164" s="555">
        <v>0</v>
      </c>
      <c r="AE164" s="555">
        <v>0</v>
      </c>
      <c r="AF164" s="553">
        <f t="shared" si="16"/>
        <v>0</v>
      </c>
      <c r="AQ164" s="23">
        <v>0</v>
      </c>
      <c r="AR164" s="23">
        <v>0</v>
      </c>
      <c r="AS164" s="23">
        <f t="shared" si="17"/>
        <v>0</v>
      </c>
    </row>
    <row r="165" spans="1:45">
      <c r="A165" s="138" t="str">
        <f>_xlfn.XLOOKUP(C167,'00_SKU_Master'!$B$2:$B$378,'00_SKU_Master'!$C$2:$C$378)</f>
        <v>61040#2</v>
      </c>
      <c r="B165" s="138"/>
      <c r="C165" s="138">
        <f t="shared" si="12"/>
        <v>7416</v>
      </c>
      <c r="D165" s="552" t="e">
        <f ca="1">_xludf.IFNA(_xlfn.XLOOKUP(C167,'00_SKU_Master'!$B$2:$B$378,'00_SKU_Master'!$F$2:$F$378,0)*Y167,"")</f>
        <v>#NAME?</v>
      </c>
      <c r="E165" s="552" t="e">
        <f ca="1">_xludf.IFNA(_xlfn.XLOOKUP(C167,'00_SKU_Master'!$B$2:$B$378,'00_SKU_Master'!$F$2:$F$378,0)*Z167,"")</f>
        <v>#NAME?</v>
      </c>
      <c r="F165" s="552" t="e">
        <f ca="1">_xludf.IFNA(_xlfn.XLOOKUP(C167,'00_SKU_Master'!$B$2:$B$378,'00_SKU_Master'!$F$2:$F$378,0)*AA167,"")</f>
        <v>#NAME?</v>
      </c>
      <c r="G165" s="552" t="e">
        <f ca="1">_xludf.IFNA(_xlfn.XLOOKUP(C167,'00_SKU_Master'!$B$2:$B$378,'00_SKU_Master'!$F$2:$F$378,0)*AB167,"")</f>
        <v>#NAME?</v>
      </c>
      <c r="H165" s="552" t="e">
        <f ca="1">_xludf.IFNA(_xlfn.XLOOKUP(C167,'00_SKU_Master'!$B$2:$B$378,'00_SKU_Master'!$F$2:$F$378,0)*AC167,"")</f>
        <v>#NAME?</v>
      </c>
      <c r="I165" s="552" t="e">
        <f ca="1">_xludf.IFNA(_xlfn.XLOOKUP(C167,'00_SKU_Master'!$B$2:$B$378,'00_SKU_Master'!$F$2:$F$378,0)*AD167,"")</f>
        <v>#NAME?</v>
      </c>
      <c r="J165" s="552" t="e">
        <f ca="1">_xludf.IFNA(_xlfn.XLOOKUP(C167,'00_SKU_Master'!$B$2:$B$378,'00_SKU_Master'!$F$2:$F$378,0)*AE167,"")</f>
        <v>#NAME?</v>
      </c>
      <c r="K165" s="553" t="e">
        <f t="shared" ca="1" si="13"/>
        <v>#NAME?</v>
      </c>
      <c r="L165" s="187" t="e">
        <f>_xlfn.XLOOKUP(C167,'00_SKU_Master'!$B$2:$B$378,'00_SKU_Master'!K:K)</f>
        <v>#VALUE!</v>
      </c>
      <c r="M165" s="14">
        <f t="shared" si="14"/>
        <v>7416</v>
      </c>
      <c r="N165" s="147" t="e">
        <f ca="1">_xludf.IFNA(D167/_xlfn.XLOOKUP($M167,'00_SKU_Master'!$B$2:$B$378,'00_SKU_Master'!$M$2:$M$378,0)/$M$2,"0")</f>
        <v>#NAME?</v>
      </c>
      <c r="O165" s="147" t="e">
        <f ca="1">_xludf.IFNA(E167/_xlfn.XLOOKUP($M167,'00_SKU_Master'!$B$2:$B$378,'00_SKU_Master'!$M$2:$M$378,0)/$M$2,"0")</f>
        <v>#NAME?</v>
      </c>
      <c r="P165" s="147" t="e">
        <f ca="1">_xludf.IFNA(F167/_xlfn.XLOOKUP($M167,'00_SKU_Master'!$B$2:$B$378,'00_SKU_Master'!$M$2:$M$378,0)/$M$2,"0")</f>
        <v>#NAME?</v>
      </c>
      <c r="Q165" s="147" t="e">
        <f ca="1">_xludf.IFNA(G167/_xlfn.XLOOKUP($M167,'00_SKU_Master'!$B$2:$B$378,'00_SKU_Master'!$M$2:$M$378,0)/$M$2,"0")</f>
        <v>#NAME?</v>
      </c>
      <c r="R165" s="147" t="e">
        <f ca="1">_xludf.IFNA(H167/_xlfn.XLOOKUP($M167,'00_SKU_Master'!$B$2:$B$378,'00_SKU_Master'!$M$2:$M$378,0)/$M$2,"0")</f>
        <v>#NAME?</v>
      </c>
      <c r="S165" s="147" t="e">
        <f ca="1">_xludf.IFNA(I167/_xlfn.XLOOKUP($M167,'00_SKU_Master'!$B$2:$B$378,'00_SKU_Master'!$M$2:$M$378,0)/$M$2,"0")</f>
        <v>#NAME?</v>
      </c>
      <c r="T165" s="147" t="e">
        <f ca="1">_xludf.IFNA(J167/_xlfn.XLOOKUP($M167,'00_SKU_Master'!$B$2:$B$378,'00_SKU_Master'!$M$2:$M$378,0)/$M$2,"0")</f>
        <v>#NAME?</v>
      </c>
      <c r="U165" s="147" t="e">
        <f t="shared" ca="1" si="15"/>
        <v>#NAME?</v>
      </c>
      <c r="V165" s="4"/>
      <c r="W165" s="4" t="e">
        <f>_xlfn.XLOOKUP(M167,'00_SKU_Master'!$B$2:$B$378,'00_SKU_Master'!D:D)</f>
        <v>#VALUE!</v>
      </c>
      <c r="X165" s="14">
        <f>'05_Daily_Orders'!B166</f>
        <v>7397</v>
      </c>
      <c r="Y165" s="554"/>
      <c r="Z165" s="555"/>
      <c r="AA165" s="555"/>
      <c r="AB165" s="555"/>
      <c r="AC165" s="555">
        <v>0</v>
      </c>
      <c r="AD165" s="555">
        <v>0</v>
      </c>
      <c r="AE165" s="555">
        <v>0</v>
      </c>
      <c r="AF165" s="553">
        <f t="shared" si="16"/>
        <v>0</v>
      </c>
      <c r="AQ165" s="23">
        <v>0</v>
      </c>
      <c r="AR165" s="23">
        <v>0</v>
      </c>
      <c r="AS165" s="23">
        <f t="shared" si="17"/>
        <v>0</v>
      </c>
    </row>
    <row r="166" spans="1:45">
      <c r="A166" s="138" t="str">
        <f>_xlfn.XLOOKUP(C168,'00_SKU_Master'!$B$2:$B$378,'00_SKU_Master'!$C$2:$C$378)</f>
        <v>61048#2</v>
      </c>
      <c r="B166" s="138"/>
      <c r="C166" s="138">
        <f t="shared" si="12"/>
        <v>7522</v>
      </c>
      <c r="D166" s="552" t="e">
        <f ca="1">_xludf.IFNA(_xlfn.XLOOKUP(C168,'00_SKU_Master'!$B$2:$B$378,'00_SKU_Master'!$F$2:$F$378,0)*Y168,"")</f>
        <v>#NAME?</v>
      </c>
      <c r="E166" s="552" t="e">
        <f ca="1">_xludf.IFNA(_xlfn.XLOOKUP(C168,'00_SKU_Master'!$B$2:$B$378,'00_SKU_Master'!$F$2:$F$378,0)*Z168,"")</f>
        <v>#NAME?</v>
      </c>
      <c r="F166" s="552" t="e">
        <f ca="1">_xludf.IFNA(_xlfn.XLOOKUP(C168,'00_SKU_Master'!$B$2:$B$378,'00_SKU_Master'!$F$2:$F$378,0)*AA168,"")</f>
        <v>#NAME?</v>
      </c>
      <c r="G166" s="552" t="e">
        <f ca="1">_xludf.IFNA(_xlfn.XLOOKUP(C168,'00_SKU_Master'!$B$2:$B$378,'00_SKU_Master'!$F$2:$F$378,0)*AB168,"")</f>
        <v>#NAME?</v>
      </c>
      <c r="H166" s="552" t="e">
        <f ca="1">_xludf.IFNA(_xlfn.XLOOKUP(C168,'00_SKU_Master'!$B$2:$B$378,'00_SKU_Master'!$F$2:$F$378,0)*AC168,"")</f>
        <v>#NAME?</v>
      </c>
      <c r="I166" s="552" t="e">
        <f ca="1">_xludf.IFNA(_xlfn.XLOOKUP(C168,'00_SKU_Master'!$B$2:$B$378,'00_SKU_Master'!$F$2:$F$378,0)*AD168,"")</f>
        <v>#NAME?</v>
      </c>
      <c r="J166" s="552" t="e">
        <f ca="1">_xludf.IFNA(_xlfn.XLOOKUP(C168,'00_SKU_Master'!$B$2:$B$378,'00_SKU_Master'!$F$2:$F$378,0)*AE168,"")</f>
        <v>#NAME?</v>
      </c>
      <c r="K166" s="553" t="e">
        <f t="shared" ca="1" si="13"/>
        <v>#NAME?</v>
      </c>
      <c r="L166" s="187" t="e">
        <f>_xlfn.XLOOKUP(C168,'00_SKU_Master'!$B$2:$B$378,'00_SKU_Master'!K:K)</f>
        <v>#VALUE!</v>
      </c>
      <c r="M166" s="14">
        <f t="shared" si="14"/>
        <v>7522</v>
      </c>
      <c r="N166" s="147" t="e">
        <f ca="1">_xludf.IFNA(D168/_xlfn.XLOOKUP($M168,'00_SKU_Master'!$B$2:$B$378,'00_SKU_Master'!$M$2:$M$378,0)/$M$2,"0")</f>
        <v>#NAME?</v>
      </c>
      <c r="O166" s="147" t="e">
        <f ca="1">_xludf.IFNA(E168/_xlfn.XLOOKUP($M168,'00_SKU_Master'!$B$2:$B$378,'00_SKU_Master'!$M$2:$M$378,0)/$M$2,"0")</f>
        <v>#NAME?</v>
      </c>
      <c r="P166" s="147" t="e">
        <f ca="1">_xludf.IFNA(F168/_xlfn.XLOOKUP($M168,'00_SKU_Master'!$B$2:$B$378,'00_SKU_Master'!$M$2:$M$378,0)/$M$2,"0")</f>
        <v>#NAME?</v>
      </c>
      <c r="Q166" s="147" t="e">
        <f ca="1">_xludf.IFNA(G168/_xlfn.XLOOKUP($M168,'00_SKU_Master'!$B$2:$B$378,'00_SKU_Master'!$M$2:$M$378,0)/$M$2,"0")</f>
        <v>#NAME?</v>
      </c>
      <c r="R166" s="147" t="e">
        <f ca="1">_xludf.IFNA(H168/_xlfn.XLOOKUP($M168,'00_SKU_Master'!$B$2:$B$378,'00_SKU_Master'!$M$2:$M$378,0)/$M$2,"0")</f>
        <v>#NAME?</v>
      </c>
      <c r="S166" s="147" t="e">
        <f ca="1">_xludf.IFNA(I168/_xlfn.XLOOKUP($M168,'00_SKU_Master'!$B$2:$B$378,'00_SKU_Master'!$M$2:$M$378,0)/$M$2,"0")</f>
        <v>#NAME?</v>
      </c>
      <c r="T166" s="147" t="e">
        <f ca="1">_xludf.IFNA(J168/_xlfn.XLOOKUP($M168,'00_SKU_Master'!$B$2:$B$378,'00_SKU_Master'!$M$2:$M$378,0)/$M$2,"0")</f>
        <v>#NAME?</v>
      </c>
      <c r="U166" s="147" t="e">
        <f t="shared" ca="1" si="15"/>
        <v>#NAME?</v>
      </c>
      <c r="V166" s="4"/>
      <c r="W166" s="4" t="e">
        <f>_xlfn.XLOOKUP(M168,'00_SKU_Master'!$B$2:$B$378,'00_SKU_Master'!D:D)</f>
        <v>#VALUE!</v>
      </c>
      <c r="X166" s="14">
        <f>'05_Daily_Orders'!B167</f>
        <v>7398</v>
      </c>
      <c r="Y166" s="554"/>
      <c r="Z166" s="555"/>
      <c r="AA166" s="555"/>
      <c r="AB166" s="555"/>
      <c r="AC166" s="555">
        <v>0</v>
      </c>
      <c r="AD166" s="555">
        <v>0</v>
      </c>
      <c r="AE166" s="555">
        <v>0</v>
      </c>
      <c r="AF166" s="553">
        <f t="shared" si="16"/>
        <v>0</v>
      </c>
      <c r="AQ166" s="23">
        <v>0</v>
      </c>
      <c r="AR166" s="23">
        <v>0</v>
      </c>
      <c r="AS166" s="23">
        <f t="shared" si="17"/>
        <v>0</v>
      </c>
    </row>
    <row r="167" spans="1:45">
      <c r="A167" s="138" t="str">
        <f>_xlfn.XLOOKUP(C169,'00_SKU_Master'!$B$2:$B$378,'00_SKU_Master'!$C$2:$C$378)</f>
        <v>61048#2</v>
      </c>
      <c r="B167" s="138"/>
      <c r="C167" s="138">
        <f t="shared" si="12"/>
        <v>7553</v>
      </c>
      <c r="D167" s="552" t="e">
        <f ca="1">_xludf.IFNA(_xlfn.XLOOKUP(C169,'00_SKU_Master'!$B$2:$B$378,'00_SKU_Master'!$F$2:$F$378,0)*Y169,"")</f>
        <v>#NAME?</v>
      </c>
      <c r="E167" s="552" t="e">
        <f ca="1">_xludf.IFNA(_xlfn.XLOOKUP(C169,'00_SKU_Master'!$B$2:$B$378,'00_SKU_Master'!$F$2:$F$378,0)*Z169,"")</f>
        <v>#NAME?</v>
      </c>
      <c r="F167" s="552" t="e">
        <f ca="1">_xludf.IFNA(_xlfn.XLOOKUP(C169,'00_SKU_Master'!$B$2:$B$378,'00_SKU_Master'!$F$2:$F$378,0)*AA169,"")</f>
        <v>#NAME?</v>
      </c>
      <c r="G167" s="552" t="e">
        <f ca="1">_xludf.IFNA(_xlfn.XLOOKUP(C169,'00_SKU_Master'!$B$2:$B$378,'00_SKU_Master'!$F$2:$F$378,0)*AB169,"")</f>
        <v>#NAME?</v>
      </c>
      <c r="H167" s="552" t="e">
        <f ca="1">_xludf.IFNA(_xlfn.XLOOKUP(C169,'00_SKU_Master'!$B$2:$B$378,'00_SKU_Master'!$F$2:$F$378,0)*AC169,"")</f>
        <v>#NAME?</v>
      </c>
      <c r="I167" s="552" t="e">
        <f ca="1">_xludf.IFNA(_xlfn.XLOOKUP(C169,'00_SKU_Master'!$B$2:$B$378,'00_SKU_Master'!$F$2:$F$378,0)*AD169,"")</f>
        <v>#NAME?</v>
      </c>
      <c r="J167" s="552" t="e">
        <f ca="1">_xludf.IFNA(_xlfn.XLOOKUP(C169,'00_SKU_Master'!$B$2:$B$378,'00_SKU_Master'!$F$2:$F$378,0)*AE169,"")</f>
        <v>#NAME?</v>
      </c>
      <c r="K167" s="553" t="e">
        <f t="shared" ca="1" si="13"/>
        <v>#NAME?</v>
      </c>
      <c r="L167" s="187" t="e">
        <f>_xlfn.XLOOKUP(C169,'00_SKU_Master'!$B$2:$B$378,'00_SKU_Master'!K:K)</f>
        <v>#VALUE!</v>
      </c>
      <c r="M167" s="14">
        <f t="shared" si="14"/>
        <v>7553</v>
      </c>
      <c r="N167" s="147" t="e">
        <f ca="1">_xludf.IFNA(D169/_xlfn.XLOOKUP($M169,'00_SKU_Master'!$B$2:$B$378,'00_SKU_Master'!$M$2:$M$378,0)/$M$2,"0")</f>
        <v>#NAME?</v>
      </c>
      <c r="O167" s="147" t="e">
        <f ca="1">_xludf.IFNA(E169/_xlfn.XLOOKUP($M169,'00_SKU_Master'!$B$2:$B$378,'00_SKU_Master'!$M$2:$M$378,0)/$M$2,"0")</f>
        <v>#NAME?</v>
      </c>
      <c r="P167" s="147" t="e">
        <f ca="1">_xludf.IFNA(F169/_xlfn.XLOOKUP($M169,'00_SKU_Master'!$B$2:$B$378,'00_SKU_Master'!$M$2:$M$378,0)/$M$2,"0")</f>
        <v>#NAME?</v>
      </c>
      <c r="Q167" s="147" t="e">
        <f ca="1">_xludf.IFNA(G169/_xlfn.XLOOKUP($M169,'00_SKU_Master'!$B$2:$B$378,'00_SKU_Master'!$M$2:$M$378,0)/$M$2,"0")</f>
        <v>#NAME?</v>
      </c>
      <c r="R167" s="147" t="e">
        <f ca="1">_xludf.IFNA(H169/_xlfn.XLOOKUP($M169,'00_SKU_Master'!$B$2:$B$378,'00_SKU_Master'!$M$2:$M$378,0)/$M$2,"0")</f>
        <v>#NAME?</v>
      </c>
      <c r="S167" s="147" t="e">
        <f ca="1">_xludf.IFNA(I169/_xlfn.XLOOKUP($M169,'00_SKU_Master'!$B$2:$B$378,'00_SKU_Master'!$M$2:$M$378,0)/$M$2,"0")</f>
        <v>#NAME?</v>
      </c>
      <c r="T167" s="147" t="e">
        <f ca="1">_xludf.IFNA(J169/_xlfn.XLOOKUP($M169,'00_SKU_Master'!$B$2:$B$378,'00_SKU_Master'!$M$2:$M$378,0)/$M$2,"0")</f>
        <v>#NAME?</v>
      </c>
      <c r="U167" s="147" t="e">
        <f t="shared" ca="1" si="15"/>
        <v>#NAME?</v>
      </c>
      <c r="V167" s="4"/>
      <c r="W167" s="4" t="e">
        <f>_xlfn.XLOOKUP(M169,'00_SKU_Master'!$B$2:$B$378,'00_SKU_Master'!D:D)</f>
        <v>#VALUE!</v>
      </c>
      <c r="X167" s="14">
        <f>'05_Daily_Orders'!B168</f>
        <v>7416</v>
      </c>
      <c r="Y167" s="554"/>
      <c r="Z167" s="555"/>
      <c r="AA167" s="555"/>
      <c r="AB167" s="555"/>
      <c r="AC167" s="555">
        <v>0</v>
      </c>
      <c r="AD167" s="555">
        <v>0</v>
      </c>
      <c r="AE167" s="555">
        <v>0</v>
      </c>
      <c r="AF167" s="553">
        <f t="shared" si="16"/>
        <v>0</v>
      </c>
      <c r="AQ167" s="23">
        <v>0</v>
      </c>
      <c r="AR167" s="23">
        <v>0</v>
      </c>
      <c r="AS167" s="23">
        <f t="shared" si="17"/>
        <v>0</v>
      </c>
    </row>
    <row r="168" spans="1:45">
      <c r="A168" s="138">
        <f>_xlfn.XLOOKUP(C170,'00_SKU_Master'!$B$2:$B$378,'00_SKU_Master'!$C$2:$C$378)</f>
        <v>61055</v>
      </c>
      <c r="B168" s="138"/>
      <c r="C168" s="138">
        <f t="shared" si="12"/>
        <v>7554</v>
      </c>
      <c r="D168" s="552" t="e">
        <f ca="1">_xludf.IFNA(_xlfn.XLOOKUP(C170,'00_SKU_Master'!$B$2:$B$378,'00_SKU_Master'!$F$2:$F$378,0)*Y170,"")</f>
        <v>#NAME?</v>
      </c>
      <c r="E168" s="552" t="e">
        <f ca="1">_xludf.IFNA(_xlfn.XLOOKUP(C170,'00_SKU_Master'!$B$2:$B$378,'00_SKU_Master'!$F$2:$F$378,0)*Z170,"")</f>
        <v>#NAME?</v>
      </c>
      <c r="F168" s="552" t="e">
        <f ca="1">_xludf.IFNA(_xlfn.XLOOKUP(C170,'00_SKU_Master'!$B$2:$B$378,'00_SKU_Master'!$F$2:$F$378,0)*AA170,"")</f>
        <v>#NAME?</v>
      </c>
      <c r="G168" s="552" t="e">
        <f ca="1">_xludf.IFNA(_xlfn.XLOOKUP(C170,'00_SKU_Master'!$B$2:$B$378,'00_SKU_Master'!$F$2:$F$378,0)*AB170,"")</f>
        <v>#NAME?</v>
      </c>
      <c r="H168" s="552" t="e">
        <f ca="1">_xludf.IFNA(_xlfn.XLOOKUP(C170,'00_SKU_Master'!$B$2:$B$378,'00_SKU_Master'!$F$2:$F$378,0)*AC170,"")</f>
        <v>#NAME?</v>
      </c>
      <c r="I168" s="552" t="e">
        <f ca="1">_xludf.IFNA(_xlfn.XLOOKUP(C170,'00_SKU_Master'!$B$2:$B$378,'00_SKU_Master'!$F$2:$F$378,0)*AD170,"")</f>
        <v>#NAME?</v>
      </c>
      <c r="J168" s="552" t="e">
        <f ca="1">_xludf.IFNA(_xlfn.XLOOKUP(C170,'00_SKU_Master'!$B$2:$B$378,'00_SKU_Master'!$F$2:$F$378,0)*AE170,"")</f>
        <v>#NAME?</v>
      </c>
      <c r="K168" s="553" t="e">
        <f t="shared" ca="1" si="13"/>
        <v>#NAME?</v>
      </c>
      <c r="L168" s="187" t="e">
        <f>_xlfn.XLOOKUP(C170,'00_SKU_Master'!$B$2:$B$378,'00_SKU_Master'!K:K)</f>
        <v>#VALUE!</v>
      </c>
      <c r="M168" s="14">
        <f t="shared" si="14"/>
        <v>7554</v>
      </c>
      <c r="N168" s="147" t="e">
        <f ca="1">_xludf.IFNA(D170/_xlfn.XLOOKUP($M170,'00_SKU_Master'!$B$2:$B$378,'00_SKU_Master'!$M$2:$M$378,0)/$M$2,"0")</f>
        <v>#NAME?</v>
      </c>
      <c r="O168" s="147" t="e">
        <f ca="1">_xludf.IFNA(E170/_xlfn.XLOOKUP($M170,'00_SKU_Master'!$B$2:$B$378,'00_SKU_Master'!$M$2:$M$378,0)/$M$2,"0")</f>
        <v>#NAME?</v>
      </c>
      <c r="P168" s="147" t="e">
        <f ca="1">_xludf.IFNA(F170/_xlfn.XLOOKUP($M170,'00_SKU_Master'!$B$2:$B$378,'00_SKU_Master'!$M$2:$M$378,0)/$M$2,"0")</f>
        <v>#NAME?</v>
      </c>
      <c r="Q168" s="147" t="e">
        <f ca="1">_xludf.IFNA(G170/_xlfn.XLOOKUP($M170,'00_SKU_Master'!$B$2:$B$378,'00_SKU_Master'!$M$2:$M$378,0)/$M$2,"0")</f>
        <v>#NAME?</v>
      </c>
      <c r="R168" s="147" t="e">
        <f ca="1">_xludf.IFNA(H170/_xlfn.XLOOKUP($M170,'00_SKU_Master'!$B$2:$B$378,'00_SKU_Master'!$M$2:$M$378,0)/$M$2,"0")</f>
        <v>#NAME?</v>
      </c>
      <c r="S168" s="147" t="e">
        <f ca="1">_xludf.IFNA(I170/_xlfn.XLOOKUP($M170,'00_SKU_Master'!$B$2:$B$378,'00_SKU_Master'!$M$2:$M$378,0)/$M$2,"0")</f>
        <v>#NAME?</v>
      </c>
      <c r="T168" s="147" t="e">
        <f ca="1">_xludf.IFNA(J170/_xlfn.XLOOKUP($M170,'00_SKU_Master'!$B$2:$B$378,'00_SKU_Master'!$M$2:$M$378,0)/$M$2,"0")</f>
        <v>#NAME?</v>
      </c>
      <c r="U168" s="147" t="e">
        <f t="shared" ca="1" si="15"/>
        <v>#NAME?</v>
      </c>
      <c r="V168" s="4"/>
      <c r="W168" s="4" t="e">
        <f>_xlfn.XLOOKUP(M170,'00_SKU_Master'!$B$2:$B$378,'00_SKU_Master'!D:D)</f>
        <v>#VALUE!</v>
      </c>
      <c r="X168" s="14">
        <f>'05_Daily_Orders'!B169</f>
        <v>7522</v>
      </c>
      <c r="Y168" s="554"/>
      <c r="Z168" s="555"/>
      <c r="AA168" s="555"/>
      <c r="AB168" s="555"/>
      <c r="AC168" s="555">
        <v>0</v>
      </c>
      <c r="AD168" s="555">
        <v>0</v>
      </c>
      <c r="AE168" s="555">
        <v>0</v>
      </c>
      <c r="AF168" s="553">
        <f t="shared" si="16"/>
        <v>0</v>
      </c>
      <c r="AQ168" s="23">
        <v>0</v>
      </c>
      <c r="AR168" s="23">
        <v>0</v>
      </c>
      <c r="AS168" s="23">
        <f t="shared" si="17"/>
        <v>0</v>
      </c>
    </row>
    <row r="169" spans="1:45">
      <c r="A169" s="138">
        <f>_xlfn.XLOOKUP(C171,'00_SKU_Master'!$B$2:$B$378,'00_SKU_Master'!$C$2:$C$378)</f>
        <v>61055</v>
      </c>
      <c r="B169" s="138"/>
      <c r="C169" s="138">
        <f t="shared" si="12"/>
        <v>7557</v>
      </c>
      <c r="D169" s="552" t="e">
        <f ca="1">_xludf.IFNA(_xlfn.XLOOKUP(C171,'00_SKU_Master'!$B$2:$B$378,'00_SKU_Master'!$F$2:$F$378,0)*Y171,"")</f>
        <v>#NAME?</v>
      </c>
      <c r="E169" s="552" t="e">
        <f ca="1">_xludf.IFNA(_xlfn.XLOOKUP(C171,'00_SKU_Master'!$B$2:$B$378,'00_SKU_Master'!$F$2:$F$378,0)*Z171,"")</f>
        <v>#NAME?</v>
      </c>
      <c r="F169" s="552" t="e">
        <f ca="1">_xludf.IFNA(_xlfn.XLOOKUP(C171,'00_SKU_Master'!$B$2:$B$378,'00_SKU_Master'!$F$2:$F$378,0)*AA171,"")</f>
        <v>#NAME?</v>
      </c>
      <c r="G169" s="552" t="e">
        <f ca="1">_xludf.IFNA(_xlfn.XLOOKUP(C171,'00_SKU_Master'!$B$2:$B$378,'00_SKU_Master'!$F$2:$F$378,0)*AB171,"")</f>
        <v>#NAME?</v>
      </c>
      <c r="H169" s="552" t="e">
        <f ca="1">_xludf.IFNA(_xlfn.XLOOKUP(C171,'00_SKU_Master'!$B$2:$B$378,'00_SKU_Master'!$F$2:$F$378,0)*AC171,"")</f>
        <v>#NAME?</v>
      </c>
      <c r="I169" s="552" t="e">
        <f ca="1">_xludf.IFNA(_xlfn.XLOOKUP(C171,'00_SKU_Master'!$B$2:$B$378,'00_SKU_Master'!$F$2:$F$378,0)*AD171,"")</f>
        <v>#NAME?</v>
      </c>
      <c r="J169" s="552" t="e">
        <f ca="1">_xludf.IFNA(_xlfn.XLOOKUP(C171,'00_SKU_Master'!$B$2:$B$378,'00_SKU_Master'!$F$2:$F$378,0)*AE171,"")</f>
        <v>#NAME?</v>
      </c>
      <c r="K169" s="553" t="e">
        <f t="shared" ca="1" si="13"/>
        <v>#NAME?</v>
      </c>
      <c r="L169" s="187" t="e">
        <f>_xlfn.XLOOKUP(C171,'00_SKU_Master'!$B$2:$B$378,'00_SKU_Master'!K:K)</f>
        <v>#VALUE!</v>
      </c>
      <c r="M169" s="14">
        <f t="shared" si="14"/>
        <v>7557</v>
      </c>
      <c r="N169" s="147" t="e">
        <f ca="1">_xludf.IFNA(D171/_xlfn.XLOOKUP($M171,'00_SKU_Master'!$B$2:$B$378,'00_SKU_Master'!$M$2:$M$378,0)/$M$2,"0")</f>
        <v>#NAME?</v>
      </c>
      <c r="O169" s="147" t="e">
        <f ca="1">_xludf.IFNA(E171/_xlfn.XLOOKUP($M171,'00_SKU_Master'!$B$2:$B$378,'00_SKU_Master'!$M$2:$M$378,0)/$M$2,"0")</f>
        <v>#NAME?</v>
      </c>
      <c r="P169" s="147" t="e">
        <f ca="1">_xludf.IFNA(F171/_xlfn.XLOOKUP($M171,'00_SKU_Master'!$B$2:$B$378,'00_SKU_Master'!$M$2:$M$378,0)/$M$2,"0")</f>
        <v>#NAME?</v>
      </c>
      <c r="Q169" s="147" t="e">
        <f ca="1">_xludf.IFNA(G171/_xlfn.XLOOKUP($M171,'00_SKU_Master'!$B$2:$B$378,'00_SKU_Master'!$M$2:$M$378,0)/$M$2,"0")</f>
        <v>#NAME?</v>
      </c>
      <c r="R169" s="147" t="e">
        <f ca="1">_xludf.IFNA(H171/_xlfn.XLOOKUP($M171,'00_SKU_Master'!$B$2:$B$378,'00_SKU_Master'!$M$2:$M$378,0)/$M$2,"0")</f>
        <v>#NAME?</v>
      </c>
      <c r="S169" s="147" t="e">
        <f ca="1">_xludf.IFNA(I171/_xlfn.XLOOKUP($M171,'00_SKU_Master'!$B$2:$B$378,'00_SKU_Master'!$M$2:$M$378,0)/$M$2,"0")</f>
        <v>#NAME?</v>
      </c>
      <c r="T169" s="147" t="e">
        <f ca="1">_xludf.IFNA(J171/_xlfn.XLOOKUP($M171,'00_SKU_Master'!$B$2:$B$378,'00_SKU_Master'!$M$2:$M$378,0)/$M$2,"0")</f>
        <v>#NAME?</v>
      </c>
      <c r="U169" s="147" t="e">
        <f t="shared" ca="1" si="15"/>
        <v>#NAME?</v>
      </c>
      <c r="V169" s="4"/>
      <c r="W169" s="4" t="e">
        <f>_xlfn.XLOOKUP(M171,'00_SKU_Master'!$B$2:$B$378,'00_SKU_Master'!D:D)</f>
        <v>#VALUE!</v>
      </c>
      <c r="X169" s="14">
        <f>'05_Daily_Orders'!B170</f>
        <v>7553</v>
      </c>
      <c r="Y169" s="554"/>
      <c r="Z169" s="555"/>
      <c r="AA169" s="555"/>
      <c r="AB169" s="555"/>
      <c r="AC169" s="555">
        <v>0</v>
      </c>
      <c r="AD169" s="555">
        <v>0</v>
      </c>
      <c r="AE169" s="555">
        <v>0</v>
      </c>
      <c r="AF169" s="553">
        <f t="shared" si="16"/>
        <v>0</v>
      </c>
      <c r="AQ169" s="23">
        <v>0</v>
      </c>
      <c r="AR169" s="23">
        <v>0</v>
      </c>
      <c r="AS169" s="23">
        <f t="shared" si="17"/>
        <v>0</v>
      </c>
    </row>
    <row r="170" spans="1:45">
      <c r="A170" s="138">
        <f>_xlfn.XLOOKUP(C172,'00_SKU_Master'!$B$2:$B$378,'00_SKU_Master'!$C$2:$C$378)</f>
        <v>61055</v>
      </c>
      <c r="B170" s="138"/>
      <c r="C170" s="138">
        <f t="shared" si="12"/>
        <v>7605</v>
      </c>
      <c r="D170" s="552" t="e">
        <f ca="1">_xludf.IFNA(_xlfn.XLOOKUP(C172,'00_SKU_Master'!$B$2:$B$378,'00_SKU_Master'!$F$2:$F$378,0)*Y172,"")</f>
        <v>#NAME?</v>
      </c>
      <c r="E170" s="552" t="e">
        <f ca="1">_xludf.IFNA(_xlfn.XLOOKUP(C172,'00_SKU_Master'!$B$2:$B$378,'00_SKU_Master'!$F$2:$F$378,0)*Z172,"")</f>
        <v>#NAME?</v>
      </c>
      <c r="F170" s="552" t="e">
        <f ca="1">_xludf.IFNA(_xlfn.XLOOKUP(C172,'00_SKU_Master'!$B$2:$B$378,'00_SKU_Master'!$F$2:$F$378,0)*AA172,"")</f>
        <v>#NAME?</v>
      </c>
      <c r="G170" s="552" t="e">
        <f ca="1">_xludf.IFNA(_xlfn.XLOOKUP(C172,'00_SKU_Master'!$B$2:$B$378,'00_SKU_Master'!$F$2:$F$378,0)*AB172,"")</f>
        <v>#NAME?</v>
      </c>
      <c r="H170" s="552" t="e">
        <f ca="1">_xludf.IFNA(_xlfn.XLOOKUP(C172,'00_SKU_Master'!$B$2:$B$378,'00_SKU_Master'!$F$2:$F$378,0)*AC172,"")</f>
        <v>#NAME?</v>
      </c>
      <c r="I170" s="552" t="e">
        <f ca="1">_xludf.IFNA(_xlfn.XLOOKUP(C172,'00_SKU_Master'!$B$2:$B$378,'00_SKU_Master'!$F$2:$F$378,0)*AD172,"")</f>
        <v>#NAME?</v>
      </c>
      <c r="J170" s="552" t="e">
        <f ca="1">_xludf.IFNA(_xlfn.XLOOKUP(C172,'00_SKU_Master'!$B$2:$B$378,'00_SKU_Master'!$F$2:$F$378,0)*AE172,"")</f>
        <v>#NAME?</v>
      </c>
      <c r="K170" s="553" t="e">
        <f t="shared" ca="1" si="13"/>
        <v>#NAME?</v>
      </c>
      <c r="L170" s="187" t="e">
        <f>_xlfn.XLOOKUP(C172,'00_SKU_Master'!$B$2:$B$378,'00_SKU_Master'!K:K)</f>
        <v>#VALUE!</v>
      </c>
      <c r="M170" s="14">
        <f t="shared" si="14"/>
        <v>7605</v>
      </c>
      <c r="N170" s="147" t="e">
        <f ca="1">_xludf.IFNA(D172/_xlfn.XLOOKUP($M172,'00_SKU_Master'!$B$2:$B$378,'00_SKU_Master'!$M$2:$M$378,0)/$M$2,"0")</f>
        <v>#NAME?</v>
      </c>
      <c r="O170" s="147" t="e">
        <f ca="1">_xludf.IFNA(E172/_xlfn.XLOOKUP($M172,'00_SKU_Master'!$B$2:$B$378,'00_SKU_Master'!$M$2:$M$378,0)/$M$2,"0")</f>
        <v>#NAME?</v>
      </c>
      <c r="P170" s="147" t="e">
        <f ca="1">_xludf.IFNA(F172/_xlfn.XLOOKUP($M172,'00_SKU_Master'!$B$2:$B$378,'00_SKU_Master'!$M$2:$M$378,0)/$M$2,"0")</f>
        <v>#NAME?</v>
      </c>
      <c r="Q170" s="147" t="e">
        <f ca="1">_xludf.IFNA(G172/_xlfn.XLOOKUP($M172,'00_SKU_Master'!$B$2:$B$378,'00_SKU_Master'!$M$2:$M$378,0)/$M$2,"0")</f>
        <v>#NAME?</v>
      </c>
      <c r="R170" s="147" t="e">
        <f ca="1">_xludf.IFNA(H172/_xlfn.XLOOKUP($M172,'00_SKU_Master'!$B$2:$B$378,'00_SKU_Master'!$M$2:$M$378,0)/$M$2,"0")</f>
        <v>#NAME?</v>
      </c>
      <c r="S170" s="147" t="e">
        <f ca="1">_xludf.IFNA(I172/_xlfn.XLOOKUP($M172,'00_SKU_Master'!$B$2:$B$378,'00_SKU_Master'!$M$2:$M$378,0)/$M$2,"0")</f>
        <v>#NAME?</v>
      </c>
      <c r="T170" s="147" t="e">
        <f ca="1">_xludf.IFNA(J172/_xlfn.XLOOKUP($M172,'00_SKU_Master'!$B$2:$B$378,'00_SKU_Master'!$M$2:$M$378,0)/$M$2,"0")</f>
        <v>#NAME?</v>
      </c>
      <c r="U170" s="147" t="e">
        <f t="shared" ca="1" si="15"/>
        <v>#NAME?</v>
      </c>
      <c r="V170" s="4"/>
      <c r="W170" s="4" t="e">
        <f>_xlfn.XLOOKUP(M172,'00_SKU_Master'!$B$2:$B$378,'00_SKU_Master'!D:D)</f>
        <v>#VALUE!</v>
      </c>
      <c r="X170" s="14">
        <f>'05_Daily_Orders'!B171</f>
        <v>7554</v>
      </c>
      <c r="Y170" s="554"/>
      <c r="Z170" s="555"/>
      <c r="AA170" s="555"/>
      <c r="AB170" s="555"/>
      <c r="AC170" s="555">
        <v>0</v>
      </c>
      <c r="AD170" s="555">
        <v>0</v>
      </c>
      <c r="AE170" s="555">
        <v>0</v>
      </c>
      <c r="AF170" s="553">
        <f t="shared" si="16"/>
        <v>0</v>
      </c>
      <c r="AQ170" s="23">
        <v>0</v>
      </c>
      <c r="AR170" s="23">
        <v>0</v>
      </c>
      <c r="AS170" s="23">
        <f t="shared" si="17"/>
        <v>0</v>
      </c>
    </row>
    <row r="171" spans="1:45">
      <c r="A171" s="138">
        <f>_xlfn.XLOOKUP(C173,'00_SKU_Master'!$B$2:$B$378,'00_SKU_Master'!$C$2:$C$378)</f>
        <v>61055</v>
      </c>
      <c r="B171" s="138"/>
      <c r="C171" s="138">
        <f t="shared" si="12"/>
        <v>7606</v>
      </c>
      <c r="D171" s="552" t="e">
        <f ca="1">_xludf.IFNA(_xlfn.XLOOKUP(C173,'00_SKU_Master'!$B$2:$B$378,'00_SKU_Master'!$F$2:$F$378,0)*Y173,"")</f>
        <v>#NAME?</v>
      </c>
      <c r="E171" s="552" t="e">
        <f ca="1">_xludf.IFNA(_xlfn.XLOOKUP(C173,'00_SKU_Master'!$B$2:$B$378,'00_SKU_Master'!$F$2:$F$378,0)*Z173,"")</f>
        <v>#NAME?</v>
      </c>
      <c r="F171" s="552" t="e">
        <f ca="1">_xludf.IFNA(_xlfn.XLOOKUP(C173,'00_SKU_Master'!$B$2:$B$378,'00_SKU_Master'!$F$2:$F$378,0)*AA173,"")</f>
        <v>#NAME?</v>
      </c>
      <c r="G171" s="552" t="e">
        <f ca="1">_xludf.IFNA(_xlfn.XLOOKUP(C173,'00_SKU_Master'!$B$2:$B$378,'00_SKU_Master'!$F$2:$F$378,0)*AB173,"")</f>
        <v>#NAME?</v>
      </c>
      <c r="H171" s="552" t="e">
        <f ca="1">_xludf.IFNA(_xlfn.XLOOKUP(C173,'00_SKU_Master'!$B$2:$B$378,'00_SKU_Master'!$F$2:$F$378,0)*AC173,"")</f>
        <v>#NAME?</v>
      </c>
      <c r="I171" s="552" t="e">
        <f ca="1">_xludf.IFNA(_xlfn.XLOOKUP(C173,'00_SKU_Master'!$B$2:$B$378,'00_SKU_Master'!$F$2:$F$378,0)*AD173,"")</f>
        <v>#NAME?</v>
      </c>
      <c r="J171" s="552" t="e">
        <f ca="1">_xludf.IFNA(_xlfn.XLOOKUP(C173,'00_SKU_Master'!$B$2:$B$378,'00_SKU_Master'!$F$2:$F$378,0)*AE173,"")</f>
        <v>#NAME?</v>
      </c>
      <c r="K171" s="553" t="e">
        <f t="shared" ca="1" si="13"/>
        <v>#NAME?</v>
      </c>
      <c r="L171" s="187" t="e">
        <f>_xlfn.XLOOKUP(C173,'00_SKU_Master'!$B$2:$B$378,'00_SKU_Master'!K:K)</f>
        <v>#VALUE!</v>
      </c>
      <c r="M171" s="14">
        <f t="shared" si="14"/>
        <v>7606</v>
      </c>
      <c r="N171" s="147" t="e">
        <f ca="1">_xludf.IFNA(D173/_xlfn.XLOOKUP($M173,'00_SKU_Master'!$B$2:$B$378,'00_SKU_Master'!$M$2:$M$378,0)/$M$2,"0")</f>
        <v>#NAME?</v>
      </c>
      <c r="O171" s="147" t="e">
        <f ca="1">_xludf.IFNA(E173/_xlfn.XLOOKUP($M173,'00_SKU_Master'!$B$2:$B$378,'00_SKU_Master'!$M$2:$M$378,0)/$M$2,"0")</f>
        <v>#NAME?</v>
      </c>
      <c r="P171" s="147" t="e">
        <f ca="1">_xludf.IFNA(F173/_xlfn.XLOOKUP($M173,'00_SKU_Master'!$B$2:$B$378,'00_SKU_Master'!$M$2:$M$378,0)/$M$2,"0")</f>
        <v>#NAME?</v>
      </c>
      <c r="Q171" s="147" t="e">
        <f ca="1">_xludf.IFNA(G173/_xlfn.XLOOKUP($M173,'00_SKU_Master'!$B$2:$B$378,'00_SKU_Master'!$M$2:$M$378,0)/$M$2,"0")</f>
        <v>#NAME?</v>
      </c>
      <c r="R171" s="147" t="e">
        <f ca="1">_xludf.IFNA(H173/_xlfn.XLOOKUP($M173,'00_SKU_Master'!$B$2:$B$378,'00_SKU_Master'!$M$2:$M$378,0)/$M$2,"0")</f>
        <v>#NAME?</v>
      </c>
      <c r="S171" s="147" t="e">
        <f ca="1">_xludf.IFNA(I173/_xlfn.XLOOKUP($M173,'00_SKU_Master'!$B$2:$B$378,'00_SKU_Master'!$M$2:$M$378,0)/$M$2,"0")</f>
        <v>#NAME?</v>
      </c>
      <c r="T171" s="147" t="e">
        <f ca="1">_xludf.IFNA(J173/_xlfn.XLOOKUP($M173,'00_SKU_Master'!$B$2:$B$378,'00_SKU_Master'!$M$2:$M$378,0)/$M$2,"0")</f>
        <v>#NAME?</v>
      </c>
      <c r="U171" s="147" t="e">
        <f t="shared" ca="1" si="15"/>
        <v>#NAME?</v>
      </c>
      <c r="V171" s="4"/>
      <c r="W171" s="4" t="e">
        <f>_xlfn.XLOOKUP(M173,'00_SKU_Master'!$B$2:$B$378,'00_SKU_Master'!D:D)</f>
        <v>#VALUE!</v>
      </c>
      <c r="X171" s="14">
        <f>'05_Daily_Orders'!B172</f>
        <v>7557</v>
      </c>
      <c r="Y171" s="554"/>
      <c r="Z171" s="555"/>
      <c r="AA171" s="555"/>
      <c r="AB171" s="555"/>
      <c r="AC171" s="555">
        <v>0</v>
      </c>
      <c r="AD171" s="555">
        <v>0</v>
      </c>
      <c r="AE171" s="555">
        <v>0</v>
      </c>
      <c r="AF171" s="553">
        <f t="shared" si="16"/>
        <v>0</v>
      </c>
      <c r="AQ171" s="23">
        <v>0</v>
      </c>
      <c r="AR171" s="23">
        <v>0</v>
      </c>
      <c r="AS171" s="23">
        <f t="shared" si="17"/>
        <v>0</v>
      </c>
    </row>
    <row r="172" spans="1:45">
      <c r="A172" s="138">
        <f>_xlfn.XLOOKUP(C174,'00_SKU_Master'!$B$2:$B$378,'00_SKU_Master'!$C$2:$C$378)</f>
        <v>61050</v>
      </c>
      <c r="B172" s="138"/>
      <c r="C172" s="138">
        <f t="shared" si="12"/>
        <v>7607</v>
      </c>
      <c r="D172" s="552" t="e">
        <f ca="1">_xludf.IFNA(_xlfn.XLOOKUP(C174,'00_SKU_Master'!$B$2:$B$378,'00_SKU_Master'!$F$2:$F$378,0)*Y174,"")</f>
        <v>#NAME?</v>
      </c>
      <c r="E172" s="552" t="e">
        <f ca="1">_xludf.IFNA(_xlfn.XLOOKUP(C174,'00_SKU_Master'!$B$2:$B$378,'00_SKU_Master'!$F$2:$F$378,0)*Z174,"")</f>
        <v>#NAME?</v>
      </c>
      <c r="F172" s="552" t="e">
        <f ca="1">_xludf.IFNA(_xlfn.XLOOKUP(C174,'00_SKU_Master'!$B$2:$B$378,'00_SKU_Master'!$F$2:$F$378,0)*AA174,"")</f>
        <v>#NAME?</v>
      </c>
      <c r="G172" s="552" t="e">
        <f ca="1">_xludf.IFNA(_xlfn.XLOOKUP(C174,'00_SKU_Master'!$B$2:$B$378,'00_SKU_Master'!$F$2:$F$378,0)*AB174,"")</f>
        <v>#NAME?</v>
      </c>
      <c r="H172" s="552" t="e">
        <f ca="1">_xludf.IFNA(_xlfn.XLOOKUP(C174,'00_SKU_Master'!$B$2:$B$378,'00_SKU_Master'!$F$2:$F$378,0)*AC174,"")</f>
        <v>#NAME?</v>
      </c>
      <c r="I172" s="552" t="e">
        <f ca="1">_xludf.IFNA(_xlfn.XLOOKUP(C174,'00_SKU_Master'!$B$2:$B$378,'00_SKU_Master'!$F$2:$F$378,0)*AD174,"")</f>
        <v>#NAME?</v>
      </c>
      <c r="J172" s="552" t="e">
        <f ca="1">_xludf.IFNA(_xlfn.XLOOKUP(C174,'00_SKU_Master'!$B$2:$B$378,'00_SKU_Master'!$F$2:$F$378,0)*AE174,"")</f>
        <v>#NAME?</v>
      </c>
      <c r="K172" s="553" t="e">
        <f t="shared" ca="1" si="13"/>
        <v>#NAME?</v>
      </c>
      <c r="L172" s="187" t="e">
        <f>_xlfn.XLOOKUP(C174,'00_SKU_Master'!$B$2:$B$378,'00_SKU_Master'!K:K)</f>
        <v>#VALUE!</v>
      </c>
      <c r="M172" s="14">
        <f t="shared" si="14"/>
        <v>7607</v>
      </c>
      <c r="N172" s="147" t="e">
        <f ca="1">_xludf.IFNA(D174/_xlfn.XLOOKUP($M174,'00_SKU_Master'!$B$2:$B$378,'00_SKU_Master'!$M$2:$M$378,0)/$M$2,"0")</f>
        <v>#NAME?</v>
      </c>
      <c r="O172" s="147" t="e">
        <f ca="1">_xludf.IFNA(E174/_xlfn.XLOOKUP($M174,'00_SKU_Master'!$B$2:$B$378,'00_SKU_Master'!$M$2:$M$378,0)/$M$2,"0")</f>
        <v>#NAME?</v>
      </c>
      <c r="P172" s="147" t="e">
        <f ca="1">_xludf.IFNA(F174/_xlfn.XLOOKUP($M174,'00_SKU_Master'!$B$2:$B$378,'00_SKU_Master'!$M$2:$M$378,0)/$M$2,"0")</f>
        <v>#NAME?</v>
      </c>
      <c r="Q172" s="147" t="e">
        <f ca="1">_xludf.IFNA(G174/_xlfn.XLOOKUP($M174,'00_SKU_Master'!$B$2:$B$378,'00_SKU_Master'!$M$2:$M$378,0)/$M$2,"0")</f>
        <v>#NAME?</v>
      </c>
      <c r="R172" s="147" t="e">
        <f ca="1">_xludf.IFNA(H174/_xlfn.XLOOKUP($M174,'00_SKU_Master'!$B$2:$B$378,'00_SKU_Master'!$M$2:$M$378,0)/$M$2,"0")</f>
        <v>#NAME?</v>
      </c>
      <c r="S172" s="147" t="e">
        <f ca="1">_xludf.IFNA(I174/_xlfn.XLOOKUP($M174,'00_SKU_Master'!$B$2:$B$378,'00_SKU_Master'!$M$2:$M$378,0)/$M$2,"0")</f>
        <v>#NAME?</v>
      </c>
      <c r="T172" s="147" t="e">
        <f ca="1">_xludf.IFNA(J174/_xlfn.XLOOKUP($M174,'00_SKU_Master'!$B$2:$B$378,'00_SKU_Master'!$M$2:$M$378,0)/$M$2,"0")</f>
        <v>#NAME?</v>
      </c>
      <c r="U172" s="147" t="e">
        <f t="shared" ca="1" si="15"/>
        <v>#NAME?</v>
      </c>
      <c r="V172" s="4"/>
      <c r="W172" s="4" t="e">
        <f>_xlfn.XLOOKUP(M174,'00_SKU_Master'!$B$2:$B$378,'00_SKU_Master'!D:D)</f>
        <v>#VALUE!</v>
      </c>
      <c r="X172" s="14">
        <f>'05_Daily_Orders'!B173</f>
        <v>7605</v>
      </c>
      <c r="Y172" s="554"/>
      <c r="Z172" s="555"/>
      <c r="AA172" s="555"/>
      <c r="AB172" s="555"/>
      <c r="AC172" s="555">
        <v>0</v>
      </c>
      <c r="AD172" s="555">
        <v>0</v>
      </c>
      <c r="AE172" s="555">
        <v>0</v>
      </c>
      <c r="AF172" s="553">
        <f t="shared" si="16"/>
        <v>0</v>
      </c>
      <c r="AQ172" s="23">
        <v>0</v>
      </c>
      <c r="AR172" s="23">
        <v>0</v>
      </c>
      <c r="AS172" s="23">
        <f t="shared" si="17"/>
        <v>0</v>
      </c>
    </row>
    <row r="173" spans="1:45">
      <c r="A173" s="138">
        <f>_xlfn.XLOOKUP(C175,'00_SKU_Master'!$B$2:$B$378,'00_SKU_Master'!$C$2:$C$378)</f>
        <v>61050</v>
      </c>
      <c r="B173" s="138"/>
      <c r="C173" s="138">
        <f t="shared" si="12"/>
        <v>7608</v>
      </c>
      <c r="D173" s="552" t="e">
        <f ca="1">_xludf.IFNA(_xlfn.XLOOKUP(C175,'00_SKU_Master'!$B$2:$B$378,'00_SKU_Master'!$F$2:$F$378,0)*Y175,"")</f>
        <v>#NAME?</v>
      </c>
      <c r="E173" s="552" t="e">
        <f ca="1">_xludf.IFNA(_xlfn.XLOOKUP(C175,'00_SKU_Master'!$B$2:$B$378,'00_SKU_Master'!$F$2:$F$378,0)*Z175,"")</f>
        <v>#NAME?</v>
      </c>
      <c r="F173" s="552" t="e">
        <f ca="1">_xludf.IFNA(_xlfn.XLOOKUP(C175,'00_SKU_Master'!$B$2:$B$378,'00_SKU_Master'!$F$2:$F$378,0)*AA175,"")</f>
        <v>#NAME?</v>
      </c>
      <c r="G173" s="552" t="e">
        <f ca="1">_xludf.IFNA(_xlfn.XLOOKUP(C175,'00_SKU_Master'!$B$2:$B$378,'00_SKU_Master'!$F$2:$F$378,0)*AB175,"")</f>
        <v>#NAME?</v>
      </c>
      <c r="H173" s="552" t="e">
        <f ca="1">_xludf.IFNA(_xlfn.XLOOKUP(C175,'00_SKU_Master'!$B$2:$B$378,'00_SKU_Master'!$F$2:$F$378,0)*AC175,"")</f>
        <v>#NAME?</v>
      </c>
      <c r="I173" s="552" t="e">
        <f ca="1">_xludf.IFNA(_xlfn.XLOOKUP(C175,'00_SKU_Master'!$B$2:$B$378,'00_SKU_Master'!$F$2:$F$378,0)*AD175,"")</f>
        <v>#NAME?</v>
      </c>
      <c r="J173" s="552" t="e">
        <f ca="1">_xludf.IFNA(_xlfn.XLOOKUP(C175,'00_SKU_Master'!$B$2:$B$378,'00_SKU_Master'!$F$2:$F$378,0)*AE175,"")</f>
        <v>#NAME?</v>
      </c>
      <c r="K173" s="553" t="e">
        <f t="shared" ca="1" si="13"/>
        <v>#NAME?</v>
      </c>
      <c r="L173" s="187" t="e">
        <f>_xlfn.XLOOKUP(C175,'00_SKU_Master'!$B$2:$B$378,'00_SKU_Master'!K:K)</f>
        <v>#VALUE!</v>
      </c>
      <c r="M173" s="14">
        <f t="shared" si="14"/>
        <v>7608</v>
      </c>
      <c r="N173" s="147" t="e">
        <f ca="1">_xludf.IFNA(D175/_xlfn.XLOOKUP($M175,'00_SKU_Master'!$B$2:$B$378,'00_SKU_Master'!$M$2:$M$378,0)/$M$2,"0")</f>
        <v>#NAME?</v>
      </c>
      <c r="O173" s="147" t="e">
        <f ca="1">_xludf.IFNA(E175/_xlfn.XLOOKUP($M175,'00_SKU_Master'!$B$2:$B$378,'00_SKU_Master'!$M$2:$M$378,0)/$M$2,"0")</f>
        <v>#NAME?</v>
      </c>
      <c r="P173" s="147" t="e">
        <f ca="1">_xludf.IFNA(F175/_xlfn.XLOOKUP($M175,'00_SKU_Master'!$B$2:$B$378,'00_SKU_Master'!$M$2:$M$378,0)/$M$2,"0")</f>
        <v>#NAME?</v>
      </c>
      <c r="Q173" s="147" t="e">
        <f ca="1">_xludf.IFNA(G175/_xlfn.XLOOKUP($M175,'00_SKU_Master'!$B$2:$B$378,'00_SKU_Master'!$M$2:$M$378,0)/$M$2,"0")</f>
        <v>#NAME?</v>
      </c>
      <c r="R173" s="147" t="e">
        <f ca="1">_xludf.IFNA(H175/_xlfn.XLOOKUP($M175,'00_SKU_Master'!$B$2:$B$378,'00_SKU_Master'!$M$2:$M$378,0)/$M$2,"0")</f>
        <v>#NAME?</v>
      </c>
      <c r="S173" s="147" t="e">
        <f ca="1">_xludf.IFNA(I175/_xlfn.XLOOKUP($M175,'00_SKU_Master'!$B$2:$B$378,'00_SKU_Master'!$M$2:$M$378,0)/$M$2,"0")</f>
        <v>#NAME?</v>
      </c>
      <c r="T173" s="147" t="e">
        <f ca="1">_xludf.IFNA(J175/_xlfn.XLOOKUP($M175,'00_SKU_Master'!$B$2:$B$378,'00_SKU_Master'!$M$2:$M$378,0)/$M$2,"0")</f>
        <v>#NAME?</v>
      </c>
      <c r="U173" s="147" t="e">
        <f t="shared" ca="1" si="15"/>
        <v>#NAME?</v>
      </c>
      <c r="V173" s="4"/>
      <c r="W173" s="4" t="e">
        <f>_xlfn.XLOOKUP(M175,'00_SKU_Master'!$B$2:$B$378,'00_SKU_Master'!D:D)</f>
        <v>#VALUE!</v>
      </c>
      <c r="X173" s="14">
        <f>'05_Daily_Orders'!B174</f>
        <v>7606</v>
      </c>
      <c r="Y173" s="554"/>
      <c r="Z173" s="555"/>
      <c r="AA173" s="555"/>
      <c r="AB173" s="555"/>
      <c r="AC173" s="555">
        <v>0</v>
      </c>
      <c r="AD173" s="555">
        <v>0</v>
      </c>
      <c r="AE173" s="555">
        <v>0</v>
      </c>
      <c r="AF173" s="553">
        <f t="shared" si="16"/>
        <v>0</v>
      </c>
      <c r="AQ173" s="23">
        <v>0</v>
      </c>
      <c r="AR173" s="23">
        <v>0</v>
      </c>
      <c r="AS173" s="23">
        <f t="shared" si="17"/>
        <v>0</v>
      </c>
    </row>
    <row r="174" spans="1:45">
      <c r="A174" s="138">
        <f>_xlfn.XLOOKUP(C176,'00_SKU_Master'!$B$2:$B$378,'00_SKU_Master'!$C$2:$C$378)</f>
        <v>61050</v>
      </c>
      <c r="B174" s="138"/>
      <c r="C174" s="138">
        <f t="shared" si="12"/>
        <v>7811</v>
      </c>
      <c r="D174" s="552" t="e">
        <f ca="1">_xludf.IFNA(_xlfn.XLOOKUP(C176,'00_SKU_Master'!$B$2:$B$378,'00_SKU_Master'!$F$2:$F$378,0)*Y176,"")</f>
        <v>#NAME?</v>
      </c>
      <c r="E174" s="552" t="e">
        <f ca="1">_xludf.IFNA(_xlfn.XLOOKUP(C176,'00_SKU_Master'!$B$2:$B$378,'00_SKU_Master'!$F$2:$F$378,0)*Z176,"")</f>
        <v>#NAME?</v>
      </c>
      <c r="F174" s="552" t="e">
        <f ca="1">_xludf.IFNA(_xlfn.XLOOKUP(C176,'00_SKU_Master'!$B$2:$B$378,'00_SKU_Master'!$F$2:$F$378,0)*AA176,"")</f>
        <v>#NAME?</v>
      </c>
      <c r="G174" s="552" t="e">
        <f ca="1">_xludf.IFNA(_xlfn.XLOOKUP(C176,'00_SKU_Master'!$B$2:$B$378,'00_SKU_Master'!$F$2:$F$378,0)*AB176,"")</f>
        <v>#NAME?</v>
      </c>
      <c r="H174" s="552" t="e">
        <f ca="1">_xludf.IFNA(_xlfn.XLOOKUP(C176,'00_SKU_Master'!$B$2:$B$378,'00_SKU_Master'!$F$2:$F$378,0)*AC176,"")</f>
        <v>#NAME?</v>
      </c>
      <c r="I174" s="552" t="e">
        <f ca="1">_xludf.IFNA(_xlfn.XLOOKUP(C176,'00_SKU_Master'!$B$2:$B$378,'00_SKU_Master'!$F$2:$F$378,0)*AD176,"")</f>
        <v>#NAME?</v>
      </c>
      <c r="J174" s="552" t="e">
        <f ca="1">_xludf.IFNA(_xlfn.XLOOKUP(C176,'00_SKU_Master'!$B$2:$B$378,'00_SKU_Master'!$F$2:$F$378,0)*AE176,"")</f>
        <v>#NAME?</v>
      </c>
      <c r="K174" s="553" t="e">
        <f t="shared" ca="1" si="13"/>
        <v>#NAME?</v>
      </c>
      <c r="L174" s="187" t="e">
        <f>_xlfn.XLOOKUP(C176,'00_SKU_Master'!$B$2:$B$378,'00_SKU_Master'!K:K)</f>
        <v>#VALUE!</v>
      </c>
      <c r="M174" s="14">
        <f t="shared" si="14"/>
        <v>7811</v>
      </c>
      <c r="N174" s="147" t="e">
        <f ca="1">_xludf.IFNA(D176/_xlfn.XLOOKUP($M176,'00_SKU_Master'!$B$2:$B$378,'00_SKU_Master'!$M$2:$M$378,0)/$M$2,"0")</f>
        <v>#NAME?</v>
      </c>
      <c r="O174" s="147" t="e">
        <f ca="1">_xludf.IFNA(E176/_xlfn.XLOOKUP($M176,'00_SKU_Master'!$B$2:$B$378,'00_SKU_Master'!$M$2:$M$378,0)/$M$2,"0")</f>
        <v>#NAME?</v>
      </c>
      <c r="P174" s="147" t="e">
        <f ca="1">_xludf.IFNA(F176/_xlfn.XLOOKUP($M176,'00_SKU_Master'!$B$2:$B$378,'00_SKU_Master'!$M$2:$M$378,0)/$M$2,"0")</f>
        <v>#NAME?</v>
      </c>
      <c r="Q174" s="147" t="e">
        <f ca="1">_xludf.IFNA(G176/_xlfn.XLOOKUP($M176,'00_SKU_Master'!$B$2:$B$378,'00_SKU_Master'!$M$2:$M$378,0)/$M$2,"0")</f>
        <v>#NAME?</v>
      </c>
      <c r="R174" s="147" t="e">
        <f ca="1">_xludf.IFNA(H176/_xlfn.XLOOKUP($M176,'00_SKU_Master'!$B$2:$B$378,'00_SKU_Master'!$M$2:$M$378,0)/$M$2,"0")</f>
        <v>#NAME?</v>
      </c>
      <c r="S174" s="147" t="e">
        <f ca="1">_xludf.IFNA(I176/_xlfn.XLOOKUP($M176,'00_SKU_Master'!$B$2:$B$378,'00_SKU_Master'!$M$2:$M$378,0)/$M$2,"0")</f>
        <v>#NAME?</v>
      </c>
      <c r="T174" s="147" t="e">
        <f ca="1">_xludf.IFNA(J176/_xlfn.XLOOKUP($M176,'00_SKU_Master'!$B$2:$B$378,'00_SKU_Master'!$M$2:$M$378,0)/$M$2,"0")</f>
        <v>#NAME?</v>
      </c>
      <c r="U174" s="147" t="e">
        <f t="shared" ca="1" si="15"/>
        <v>#NAME?</v>
      </c>
      <c r="V174" s="4"/>
      <c r="W174" s="4" t="e">
        <f>_xlfn.XLOOKUP(M176,'00_SKU_Master'!$B$2:$B$378,'00_SKU_Master'!D:D)</f>
        <v>#VALUE!</v>
      </c>
      <c r="X174" s="14">
        <f>'05_Daily_Orders'!B175</f>
        <v>7607</v>
      </c>
      <c r="Y174" s="554"/>
      <c r="Z174" s="555"/>
      <c r="AA174" s="555"/>
      <c r="AB174" s="555"/>
      <c r="AC174" s="555">
        <v>0</v>
      </c>
      <c r="AD174" s="555">
        <v>0</v>
      </c>
      <c r="AE174" s="555">
        <v>0</v>
      </c>
      <c r="AF174" s="553">
        <f t="shared" si="16"/>
        <v>0</v>
      </c>
      <c r="AQ174" s="23">
        <v>0</v>
      </c>
      <c r="AR174" s="23">
        <v>0</v>
      </c>
      <c r="AS174" s="23">
        <f t="shared" si="17"/>
        <v>0</v>
      </c>
    </row>
    <row r="175" spans="1:45">
      <c r="A175" s="138">
        <f>_xlfn.XLOOKUP(C177,'00_SKU_Master'!$B$2:$B$378,'00_SKU_Master'!$C$2:$C$378)</f>
        <v>61069</v>
      </c>
      <c r="B175" s="138"/>
      <c r="C175" s="138">
        <f t="shared" si="12"/>
        <v>7812</v>
      </c>
      <c r="D175" s="552" t="e">
        <f ca="1">_xludf.IFNA(_xlfn.XLOOKUP(C177,'00_SKU_Master'!$B$2:$B$378,'00_SKU_Master'!$F$2:$F$378,0)*Y177,"")</f>
        <v>#NAME?</v>
      </c>
      <c r="E175" s="552" t="e">
        <f ca="1">_xludf.IFNA(_xlfn.XLOOKUP(C177,'00_SKU_Master'!$B$2:$B$378,'00_SKU_Master'!$F$2:$F$378,0)*Z177,"")</f>
        <v>#NAME?</v>
      </c>
      <c r="F175" s="552" t="e">
        <f ca="1">_xludf.IFNA(_xlfn.XLOOKUP(C177,'00_SKU_Master'!$B$2:$B$378,'00_SKU_Master'!$F$2:$F$378,0)*AA177,"")</f>
        <v>#NAME?</v>
      </c>
      <c r="G175" s="552" t="e">
        <f ca="1">_xludf.IFNA(_xlfn.XLOOKUP(C177,'00_SKU_Master'!$B$2:$B$378,'00_SKU_Master'!$F$2:$F$378,0)*AB177,"")</f>
        <v>#NAME?</v>
      </c>
      <c r="H175" s="552" t="e">
        <f ca="1">_xludf.IFNA(_xlfn.XLOOKUP(C177,'00_SKU_Master'!$B$2:$B$378,'00_SKU_Master'!$F$2:$F$378,0)*AC177,"")</f>
        <v>#NAME?</v>
      </c>
      <c r="I175" s="552" t="e">
        <f ca="1">_xludf.IFNA(_xlfn.XLOOKUP(C177,'00_SKU_Master'!$B$2:$B$378,'00_SKU_Master'!$F$2:$F$378,0)*AD177,"")</f>
        <v>#NAME?</v>
      </c>
      <c r="J175" s="552" t="e">
        <f ca="1">_xludf.IFNA(_xlfn.XLOOKUP(C177,'00_SKU_Master'!$B$2:$B$378,'00_SKU_Master'!$F$2:$F$378,0)*AE177,"")</f>
        <v>#NAME?</v>
      </c>
      <c r="K175" s="553" t="e">
        <f t="shared" ca="1" si="13"/>
        <v>#NAME?</v>
      </c>
      <c r="L175" s="187" t="e">
        <f>_xlfn.XLOOKUP(C177,'00_SKU_Master'!$B$2:$B$378,'00_SKU_Master'!K:K)</f>
        <v>#VALUE!</v>
      </c>
      <c r="M175" s="14">
        <f t="shared" si="14"/>
        <v>7812</v>
      </c>
      <c r="N175" s="147" t="e">
        <f ca="1">_xludf.IFNA(D177/_xlfn.XLOOKUP($M177,'00_SKU_Master'!$B$2:$B$378,'00_SKU_Master'!$M$2:$M$378,0)/$M$2,"0")</f>
        <v>#NAME?</v>
      </c>
      <c r="O175" s="147" t="e">
        <f ca="1">_xludf.IFNA(E177/_xlfn.XLOOKUP($M177,'00_SKU_Master'!$B$2:$B$378,'00_SKU_Master'!$M$2:$M$378,0)/$M$2,"0")</f>
        <v>#NAME?</v>
      </c>
      <c r="P175" s="147" t="e">
        <f ca="1">_xludf.IFNA(F177/_xlfn.XLOOKUP($M177,'00_SKU_Master'!$B$2:$B$378,'00_SKU_Master'!$M$2:$M$378,0)/$M$2,"0")</f>
        <v>#NAME?</v>
      </c>
      <c r="Q175" s="147" t="e">
        <f ca="1">_xludf.IFNA(G177/_xlfn.XLOOKUP($M177,'00_SKU_Master'!$B$2:$B$378,'00_SKU_Master'!$M$2:$M$378,0)/$M$2,"0")</f>
        <v>#NAME?</v>
      </c>
      <c r="R175" s="147" t="e">
        <f ca="1">_xludf.IFNA(H177/_xlfn.XLOOKUP($M177,'00_SKU_Master'!$B$2:$B$378,'00_SKU_Master'!$M$2:$M$378,0)/$M$2,"0")</f>
        <v>#NAME?</v>
      </c>
      <c r="S175" s="147" t="e">
        <f ca="1">_xludf.IFNA(I177/_xlfn.XLOOKUP($M177,'00_SKU_Master'!$B$2:$B$378,'00_SKU_Master'!$M$2:$M$378,0)/$M$2,"0")</f>
        <v>#NAME?</v>
      </c>
      <c r="T175" s="147" t="e">
        <f ca="1">_xludf.IFNA(J177/_xlfn.XLOOKUP($M177,'00_SKU_Master'!$B$2:$B$378,'00_SKU_Master'!$M$2:$M$378,0)/$M$2,"0")</f>
        <v>#NAME?</v>
      </c>
      <c r="U175" s="147" t="e">
        <f t="shared" ca="1" si="15"/>
        <v>#NAME?</v>
      </c>
      <c r="V175" s="4"/>
      <c r="W175" s="4" t="e">
        <f>_xlfn.XLOOKUP(M177,'00_SKU_Master'!$B$2:$B$378,'00_SKU_Master'!D:D)</f>
        <v>#VALUE!</v>
      </c>
      <c r="X175" s="14">
        <f>'05_Daily_Orders'!B176</f>
        <v>7608</v>
      </c>
      <c r="Y175" s="554"/>
      <c r="Z175" s="555"/>
      <c r="AA175" s="555"/>
      <c r="AB175" s="555"/>
      <c r="AC175" s="555">
        <v>0</v>
      </c>
      <c r="AD175" s="555">
        <v>0</v>
      </c>
      <c r="AE175" s="555">
        <v>0</v>
      </c>
      <c r="AF175" s="553">
        <f t="shared" si="16"/>
        <v>0</v>
      </c>
      <c r="AQ175" s="23">
        <v>0</v>
      </c>
      <c r="AR175" s="23">
        <v>0</v>
      </c>
      <c r="AS175" s="23">
        <f t="shared" si="17"/>
        <v>0</v>
      </c>
    </row>
    <row r="176" spans="1:45">
      <c r="A176" s="138">
        <f>_xlfn.XLOOKUP(C178,'00_SKU_Master'!$B$2:$B$378,'00_SKU_Master'!$C$2:$C$378)</f>
        <v>61054</v>
      </c>
      <c r="B176" s="138"/>
      <c r="C176" s="138">
        <f t="shared" si="12"/>
        <v>7813</v>
      </c>
      <c r="D176" s="552" t="e">
        <f ca="1">_xludf.IFNA(_xlfn.XLOOKUP(C178,'00_SKU_Master'!$B$2:$B$378,'00_SKU_Master'!$F$2:$F$378,0)*Y178,"")</f>
        <v>#NAME?</v>
      </c>
      <c r="E176" s="552" t="e">
        <f ca="1">_xludf.IFNA(_xlfn.XLOOKUP(C178,'00_SKU_Master'!$B$2:$B$378,'00_SKU_Master'!$F$2:$F$378,0)*Z178,"")</f>
        <v>#NAME?</v>
      </c>
      <c r="F176" s="552" t="e">
        <f ca="1">_xludf.IFNA(_xlfn.XLOOKUP(C178,'00_SKU_Master'!$B$2:$B$378,'00_SKU_Master'!$F$2:$F$378,0)*AA178,"")</f>
        <v>#NAME?</v>
      </c>
      <c r="G176" s="552" t="e">
        <f ca="1">_xludf.IFNA(_xlfn.XLOOKUP(C178,'00_SKU_Master'!$B$2:$B$378,'00_SKU_Master'!$F$2:$F$378,0)*AB178,"")</f>
        <v>#NAME?</v>
      </c>
      <c r="H176" s="552" t="e">
        <f ca="1">_xludf.IFNA(_xlfn.XLOOKUP(C178,'00_SKU_Master'!$B$2:$B$378,'00_SKU_Master'!$F$2:$F$378,0)*AC178,"")</f>
        <v>#NAME?</v>
      </c>
      <c r="I176" s="552" t="e">
        <f ca="1">_xludf.IFNA(_xlfn.XLOOKUP(C178,'00_SKU_Master'!$B$2:$B$378,'00_SKU_Master'!$F$2:$F$378,0)*AD178,"")</f>
        <v>#NAME?</v>
      </c>
      <c r="J176" s="552" t="e">
        <f ca="1">_xludf.IFNA(_xlfn.XLOOKUP(C178,'00_SKU_Master'!$B$2:$B$378,'00_SKU_Master'!$F$2:$F$378,0)*AE178,"")</f>
        <v>#NAME?</v>
      </c>
      <c r="K176" s="553" t="e">
        <f t="shared" ca="1" si="13"/>
        <v>#NAME?</v>
      </c>
      <c r="L176" s="187" t="e">
        <f>_xlfn.XLOOKUP(C178,'00_SKU_Master'!$B$2:$B$378,'00_SKU_Master'!K:K)</f>
        <v>#VALUE!</v>
      </c>
      <c r="M176" s="14">
        <f t="shared" si="14"/>
        <v>7813</v>
      </c>
      <c r="N176" s="147" t="e">
        <f ca="1">_xludf.IFNA(D178/_xlfn.XLOOKUP($M178,'00_SKU_Master'!$B$2:$B$378,'00_SKU_Master'!$M$2:$M$378,0)/$M$2,"0")</f>
        <v>#NAME?</v>
      </c>
      <c r="O176" s="147" t="e">
        <f ca="1">_xludf.IFNA(E178/_xlfn.XLOOKUP($M178,'00_SKU_Master'!$B$2:$B$378,'00_SKU_Master'!$M$2:$M$378,0)/$M$2,"0")</f>
        <v>#NAME?</v>
      </c>
      <c r="P176" s="147" t="e">
        <f ca="1">_xludf.IFNA(F178/_xlfn.XLOOKUP($M178,'00_SKU_Master'!$B$2:$B$378,'00_SKU_Master'!$M$2:$M$378,0)/$M$2,"0")</f>
        <v>#NAME?</v>
      </c>
      <c r="Q176" s="147" t="e">
        <f ca="1">_xludf.IFNA(G178/_xlfn.XLOOKUP($M178,'00_SKU_Master'!$B$2:$B$378,'00_SKU_Master'!$M$2:$M$378,0)/$M$2,"0")</f>
        <v>#NAME?</v>
      </c>
      <c r="R176" s="147" t="e">
        <f ca="1">_xludf.IFNA(H178/_xlfn.XLOOKUP($M178,'00_SKU_Master'!$B$2:$B$378,'00_SKU_Master'!$M$2:$M$378,0)/$M$2,"0")</f>
        <v>#NAME?</v>
      </c>
      <c r="S176" s="147" t="e">
        <f ca="1">_xludf.IFNA(I178/_xlfn.XLOOKUP($M178,'00_SKU_Master'!$B$2:$B$378,'00_SKU_Master'!$M$2:$M$378,0)/$M$2,"0")</f>
        <v>#NAME?</v>
      </c>
      <c r="T176" s="147" t="e">
        <f ca="1">_xludf.IFNA(J178/_xlfn.XLOOKUP($M178,'00_SKU_Master'!$B$2:$B$378,'00_SKU_Master'!$M$2:$M$378,0)/$M$2,"0")</f>
        <v>#NAME?</v>
      </c>
      <c r="U176" s="147" t="e">
        <f t="shared" ca="1" si="15"/>
        <v>#NAME?</v>
      </c>
      <c r="V176" s="4"/>
      <c r="W176" s="4" t="e">
        <f>_xlfn.XLOOKUP(M178,'00_SKU_Master'!$B$2:$B$378,'00_SKU_Master'!D:D)</f>
        <v>#VALUE!</v>
      </c>
      <c r="X176" s="14">
        <f>'05_Daily_Orders'!B177</f>
        <v>7811</v>
      </c>
      <c r="Y176" s="554"/>
      <c r="Z176" s="555"/>
      <c r="AA176" s="555"/>
      <c r="AB176" s="555"/>
      <c r="AC176" s="555">
        <v>0</v>
      </c>
      <c r="AD176" s="555">
        <v>0</v>
      </c>
      <c r="AE176" s="555">
        <v>0</v>
      </c>
      <c r="AF176" s="553">
        <f t="shared" si="16"/>
        <v>0</v>
      </c>
      <c r="AQ176" s="23">
        <v>0</v>
      </c>
      <c r="AR176" s="23">
        <v>0</v>
      </c>
      <c r="AS176" s="23">
        <f t="shared" si="17"/>
        <v>0</v>
      </c>
    </row>
    <row r="177" spans="1:45">
      <c r="A177" s="138">
        <f>_xlfn.XLOOKUP(C179,'00_SKU_Master'!$B$2:$B$378,'00_SKU_Master'!$C$2:$C$378)</f>
        <v>61086</v>
      </c>
      <c r="B177" s="138"/>
      <c r="C177" s="138">
        <f t="shared" si="12"/>
        <v>7814</v>
      </c>
      <c r="D177" s="552" t="e">
        <f ca="1">_xludf.IFNA(_xlfn.XLOOKUP(C179,'00_SKU_Master'!$B$2:$B$378,'00_SKU_Master'!$F$2:$F$378,0)*Y179,"")</f>
        <v>#NAME?</v>
      </c>
      <c r="E177" s="552" t="e">
        <f ca="1">_xludf.IFNA(_xlfn.XLOOKUP(C179,'00_SKU_Master'!$B$2:$B$378,'00_SKU_Master'!$F$2:$F$378,0)*Z179,"")</f>
        <v>#NAME?</v>
      </c>
      <c r="F177" s="552" t="e">
        <f ca="1">_xludf.IFNA(_xlfn.XLOOKUP(C179,'00_SKU_Master'!$B$2:$B$378,'00_SKU_Master'!$F$2:$F$378,0)*AA179,"")</f>
        <v>#NAME?</v>
      </c>
      <c r="G177" s="552" t="e">
        <f ca="1">_xludf.IFNA(_xlfn.XLOOKUP(C179,'00_SKU_Master'!$B$2:$B$378,'00_SKU_Master'!$F$2:$F$378,0)*AB179,"")</f>
        <v>#NAME?</v>
      </c>
      <c r="H177" s="552" t="e">
        <f ca="1">_xludf.IFNA(_xlfn.XLOOKUP(C179,'00_SKU_Master'!$B$2:$B$378,'00_SKU_Master'!$F$2:$F$378,0)*AC179,"")</f>
        <v>#NAME?</v>
      </c>
      <c r="I177" s="552" t="e">
        <f ca="1">_xludf.IFNA(_xlfn.XLOOKUP(C179,'00_SKU_Master'!$B$2:$B$378,'00_SKU_Master'!$F$2:$F$378,0)*AD179,"")</f>
        <v>#NAME?</v>
      </c>
      <c r="J177" s="552" t="e">
        <f ca="1">_xludf.IFNA(_xlfn.XLOOKUP(C179,'00_SKU_Master'!$B$2:$B$378,'00_SKU_Master'!$F$2:$F$378,0)*AE179,"")</f>
        <v>#NAME?</v>
      </c>
      <c r="K177" s="553" t="e">
        <f t="shared" ca="1" si="13"/>
        <v>#NAME?</v>
      </c>
      <c r="L177" s="187" t="e">
        <f>_xlfn.XLOOKUP(C179,'00_SKU_Master'!$B$2:$B$378,'00_SKU_Master'!K:K)</f>
        <v>#VALUE!</v>
      </c>
      <c r="M177" s="14">
        <f t="shared" si="14"/>
        <v>7814</v>
      </c>
      <c r="N177" s="147" t="e">
        <f ca="1">_xludf.IFNA(D179/_xlfn.XLOOKUP($M179,'00_SKU_Master'!$B$2:$B$378,'00_SKU_Master'!$M$2:$M$378,0)/$M$2,"0")</f>
        <v>#NAME?</v>
      </c>
      <c r="O177" s="147" t="e">
        <f ca="1">_xludf.IFNA(E179/_xlfn.XLOOKUP($M179,'00_SKU_Master'!$B$2:$B$378,'00_SKU_Master'!$M$2:$M$378,0)/$M$2,"0")</f>
        <v>#NAME?</v>
      </c>
      <c r="P177" s="147" t="e">
        <f ca="1">_xludf.IFNA(F179/_xlfn.XLOOKUP($M179,'00_SKU_Master'!$B$2:$B$378,'00_SKU_Master'!$M$2:$M$378,0)/$M$2,"0")</f>
        <v>#NAME?</v>
      </c>
      <c r="Q177" s="147" t="e">
        <f ca="1">_xludf.IFNA(G179/_xlfn.XLOOKUP($M179,'00_SKU_Master'!$B$2:$B$378,'00_SKU_Master'!$M$2:$M$378,0)/$M$2,"0")</f>
        <v>#NAME?</v>
      </c>
      <c r="R177" s="147" t="e">
        <f ca="1">_xludf.IFNA(H179/_xlfn.XLOOKUP($M179,'00_SKU_Master'!$B$2:$B$378,'00_SKU_Master'!$M$2:$M$378,0)/$M$2,"0")</f>
        <v>#NAME?</v>
      </c>
      <c r="S177" s="147" t="e">
        <f ca="1">_xludf.IFNA(I179/_xlfn.XLOOKUP($M179,'00_SKU_Master'!$B$2:$B$378,'00_SKU_Master'!$M$2:$M$378,0)/$M$2,"0")</f>
        <v>#NAME?</v>
      </c>
      <c r="T177" s="147" t="e">
        <f ca="1">_xludf.IFNA(J179/_xlfn.XLOOKUP($M179,'00_SKU_Master'!$B$2:$B$378,'00_SKU_Master'!$M$2:$M$378,0)/$M$2,"0")</f>
        <v>#NAME?</v>
      </c>
      <c r="U177" s="147" t="e">
        <f t="shared" ca="1" si="15"/>
        <v>#NAME?</v>
      </c>
      <c r="V177" s="4"/>
      <c r="W177" s="4" t="e">
        <f>_xlfn.XLOOKUP(M179,'00_SKU_Master'!$B$2:$B$378,'00_SKU_Master'!D:D)</f>
        <v>#VALUE!</v>
      </c>
      <c r="X177" s="14">
        <f>'05_Daily_Orders'!B178</f>
        <v>7812</v>
      </c>
      <c r="Y177" s="554"/>
      <c r="Z177" s="555"/>
      <c r="AA177" s="555"/>
      <c r="AB177" s="555"/>
      <c r="AC177" s="555">
        <v>0</v>
      </c>
      <c r="AD177" s="555">
        <v>0</v>
      </c>
      <c r="AE177" s="555">
        <v>0</v>
      </c>
      <c r="AF177" s="553">
        <f t="shared" si="16"/>
        <v>0</v>
      </c>
      <c r="AQ177" s="23">
        <v>0</v>
      </c>
      <c r="AR177" s="23">
        <v>0</v>
      </c>
      <c r="AS177" s="23">
        <f t="shared" si="17"/>
        <v>0</v>
      </c>
    </row>
    <row r="178" spans="1:45">
      <c r="A178" s="138">
        <f>_xlfn.XLOOKUP(C180,'00_SKU_Master'!$B$2:$B$378,'00_SKU_Master'!$C$2:$C$378)</f>
        <v>61077</v>
      </c>
      <c r="B178" s="138"/>
      <c r="C178" s="138">
        <f t="shared" si="12"/>
        <v>7815</v>
      </c>
      <c r="D178" s="552" t="e">
        <f ca="1">_xludf.IFNA(_xlfn.XLOOKUP(C180,'00_SKU_Master'!$B$2:$B$378,'00_SKU_Master'!$F$2:$F$378,0)*Y180,"")</f>
        <v>#NAME?</v>
      </c>
      <c r="E178" s="552" t="e">
        <f ca="1">_xludf.IFNA(_xlfn.XLOOKUP(C180,'00_SKU_Master'!$B$2:$B$378,'00_SKU_Master'!$F$2:$F$378,0)*Z180,"")</f>
        <v>#NAME?</v>
      </c>
      <c r="F178" s="552" t="e">
        <f ca="1">_xludf.IFNA(_xlfn.XLOOKUP(C180,'00_SKU_Master'!$B$2:$B$378,'00_SKU_Master'!$F$2:$F$378,0)*AA180,"")</f>
        <v>#NAME?</v>
      </c>
      <c r="G178" s="552" t="e">
        <f ca="1">_xludf.IFNA(_xlfn.XLOOKUP(C180,'00_SKU_Master'!$B$2:$B$378,'00_SKU_Master'!$F$2:$F$378,0)*AB180,"")</f>
        <v>#NAME?</v>
      </c>
      <c r="H178" s="552" t="e">
        <f ca="1">_xludf.IFNA(_xlfn.XLOOKUP(C180,'00_SKU_Master'!$B$2:$B$378,'00_SKU_Master'!$F$2:$F$378,0)*AC180,"")</f>
        <v>#NAME?</v>
      </c>
      <c r="I178" s="552" t="e">
        <f ca="1">_xludf.IFNA(_xlfn.XLOOKUP(C180,'00_SKU_Master'!$B$2:$B$378,'00_SKU_Master'!$F$2:$F$378,0)*AD180,"")</f>
        <v>#NAME?</v>
      </c>
      <c r="J178" s="552" t="e">
        <f ca="1">_xludf.IFNA(_xlfn.XLOOKUP(C180,'00_SKU_Master'!$B$2:$B$378,'00_SKU_Master'!$F$2:$F$378,0)*AE180,"")</f>
        <v>#NAME?</v>
      </c>
      <c r="K178" s="553" t="e">
        <f t="shared" ca="1" si="13"/>
        <v>#NAME?</v>
      </c>
      <c r="L178" s="187" t="e">
        <f>_xlfn.XLOOKUP(C180,'00_SKU_Master'!$B$2:$B$378,'00_SKU_Master'!K:K)</f>
        <v>#VALUE!</v>
      </c>
      <c r="M178" s="14">
        <f t="shared" si="14"/>
        <v>7815</v>
      </c>
      <c r="N178" s="147" t="e">
        <f ca="1">_xludf.IFNA(D180/_xlfn.XLOOKUP($M180,'00_SKU_Master'!$B$2:$B$378,'00_SKU_Master'!$M$2:$M$378,0)/$M$2,"0")</f>
        <v>#NAME?</v>
      </c>
      <c r="O178" s="147" t="e">
        <f ca="1">_xludf.IFNA(E180/_xlfn.XLOOKUP($M180,'00_SKU_Master'!$B$2:$B$378,'00_SKU_Master'!$M$2:$M$378,0)/$M$2,"0")</f>
        <v>#NAME?</v>
      </c>
      <c r="P178" s="147" t="e">
        <f ca="1">_xludf.IFNA(F180/_xlfn.XLOOKUP($M180,'00_SKU_Master'!$B$2:$B$378,'00_SKU_Master'!$M$2:$M$378,0)/$M$2,"0")</f>
        <v>#NAME?</v>
      </c>
      <c r="Q178" s="147" t="e">
        <f ca="1">_xludf.IFNA(G180/_xlfn.XLOOKUP($M180,'00_SKU_Master'!$B$2:$B$378,'00_SKU_Master'!$M$2:$M$378,0)/$M$2,"0")</f>
        <v>#NAME?</v>
      </c>
      <c r="R178" s="147" t="e">
        <f ca="1">_xludf.IFNA(H180/_xlfn.XLOOKUP($M180,'00_SKU_Master'!$B$2:$B$378,'00_SKU_Master'!$M$2:$M$378,0)/$M$2,"0")</f>
        <v>#NAME?</v>
      </c>
      <c r="S178" s="147" t="e">
        <f ca="1">_xludf.IFNA(I180/_xlfn.XLOOKUP($M180,'00_SKU_Master'!$B$2:$B$378,'00_SKU_Master'!$M$2:$M$378,0)/$M$2,"0")</f>
        <v>#NAME?</v>
      </c>
      <c r="T178" s="147" t="e">
        <f ca="1">_xludf.IFNA(J180/_xlfn.XLOOKUP($M180,'00_SKU_Master'!$B$2:$B$378,'00_SKU_Master'!$M$2:$M$378,0)/$M$2,"0")</f>
        <v>#NAME?</v>
      </c>
      <c r="U178" s="147" t="e">
        <f t="shared" ca="1" si="15"/>
        <v>#NAME?</v>
      </c>
      <c r="V178" s="4"/>
      <c r="W178" s="4" t="e">
        <f>_xlfn.XLOOKUP(M180,'00_SKU_Master'!$B$2:$B$378,'00_SKU_Master'!D:D)</f>
        <v>#VALUE!</v>
      </c>
      <c r="X178" s="14">
        <f>'05_Daily_Orders'!B179</f>
        <v>7813</v>
      </c>
      <c r="Y178" s="554"/>
      <c r="Z178" s="555"/>
      <c r="AA178" s="555"/>
      <c r="AB178" s="555"/>
      <c r="AC178" s="555">
        <v>0</v>
      </c>
      <c r="AD178" s="555">
        <v>0</v>
      </c>
      <c r="AE178" s="555">
        <v>0</v>
      </c>
      <c r="AF178" s="553">
        <f t="shared" si="16"/>
        <v>0</v>
      </c>
      <c r="AQ178" s="23">
        <v>0</v>
      </c>
      <c r="AR178" s="23">
        <v>0</v>
      </c>
      <c r="AS178" s="23">
        <f t="shared" si="17"/>
        <v>0</v>
      </c>
    </row>
    <row r="179" spans="1:45">
      <c r="A179" s="138" t="str">
        <f>_xlfn.XLOOKUP(C181,'00_SKU_Master'!$B$2:$B$378,'00_SKU_Master'!$C$2:$C$378)</f>
        <v>61072F</v>
      </c>
      <c r="B179" s="138"/>
      <c r="C179" s="138">
        <f t="shared" si="12"/>
        <v>7816</v>
      </c>
      <c r="D179" s="552" t="e">
        <f ca="1">_xludf.IFNA(_xlfn.XLOOKUP(C181,'00_SKU_Master'!$B$2:$B$378,'00_SKU_Master'!$F$2:$F$378,0)*Y181,"")</f>
        <v>#NAME?</v>
      </c>
      <c r="E179" s="552" t="e">
        <f ca="1">_xludf.IFNA(_xlfn.XLOOKUP(C181,'00_SKU_Master'!$B$2:$B$378,'00_SKU_Master'!$F$2:$F$378,0)*Z181,"")</f>
        <v>#NAME?</v>
      </c>
      <c r="F179" s="552" t="e">
        <f ca="1">_xludf.IFNA(_xlfn.XLOOKUP(C181,'00_SKU_Master'!$B$2:$B$378,'00_SKU_Master'!$F$2:$F$378,0)*AA181,"")</f>
        <v>#NAME?</v>
      </c>
      <c r="G179" s="552" t="e">
        <f ca="1">_xludf.IFNA(_xlfn.XLOOKUP(C181,'00_SKU_Master'!$B$2:$B$378,'00_SKU_Master'!$F$2:$F$378,0)*AB181,"")</f>
        <v>#NAME?</v>
      </c>
      <c r="H179" s="552" t="e">
        <f ca="1">_xludf.IFNA(_xlfn.XLOOKUP(C181,'00_SKU_Master'!$B$2:$B$378,'00_SKU_Master'!$F$2:$F$378,0)*AC181,"")</f>
        <v>#NAME?</v>
      </c>
      <c r="I179" s="552" t="e">
        <f ca="1">_xludf.IFNA(_xlfn.XLOOKUP(C181,'00_SKU_Master'!$B$2:$B$378,'00_SKU_Master'!$F$2:$F$378,0)*AD181,"")</f>
        <v>#NAME?</v>
      </c>
      <c r="J179" s="552" t="e">
        <f ca="1">_xludf.IFNA(_xlfn.XLOOKUP(C181,'00_SKU_Master'!$B$2:$B$378,'00_SKU_Master'!$F$2:$F$378,0)*AE181,"")</f>
        <v>#NAME?</v>
      </c>
      <c r="K179" s="553" t="e">
        <f t="shared" ca="1" si="13"/>
        <v>#NAME?</v>
      </c>
      <c r="L179" s="187" t="e">
        <f>_xlfn.XLOOKUP(C181,'00_SKU_Master'!$B$2:$B$378,'00_SKU_Master'!K:K)</f>
        <v>#VALUE!</v>
      </c>
      <c r="M179" s="14">
        <f t="shared" si="14"/>
        <v>7816</v>
      </c>
      <c r="N179" s="147" t="e">
        <f ca="1">_xludf.IFNA(D181/_xlfn.XLOOKUP($M181,'00_SKU_Master'!$B$2:$B$378,'00_SKU_Master'!$M$2:$M$378,0)/$M$2,"0")</f>
        <v>#NAME?</v>
      </c>
      <c r="O179" s="147" t="e">
        <f ca="1">_xludf.IFNA(E181/_xlfn.XLOOKUP($M181,'00_SKU_Master'!$B$2:$B$378,'00_SKU_Master'!$M$2:$M$378,0)/$M$2,"0")</f>
        <v>#NAME?</v>
      </c>
      <c r="P179" s="147" t="e">
        <f ca="1">_xludf.IFNA(F181/_xlfn.XLOOKUP($M181,'00_SKU_Master'!$B$2:$B$378,'00_SKU_Master'!$M$2:$M$378,0)/$M$2,"0")</f>
        <v>#NAME?</v>
      </c>
      <c r="Q179" s="147" t="e">
        <f ca="1">_xludf.IFNA(G181/_xlfn.XLOOKUP($M181,'00_SKU_Master'!$B$2:$B$378,'00_SKU_Master'!$M$2:$M$378,0)/$M$2,"0")</f>
        <v>#NAME?</v>
      </c>
      <c r="R179" s="147" t="e">
        <f ca="1">_xludf.IFNA(H181/_xlfn.XLOOKUP($M181,'00_SKU_Master'!$B$2:$B$378,'00_SKU_Master'!$M$2:$M$378,0)/$M$2,"0")</f>
        <v>#NAME?</v>
      </c>
      <c r="S179" s="147" t="e">
        <f ca="1">_xludf.IFNA(I181/_xlfn.XLOOKUP($M181,'00_SKU_Master'!$B$2:$B$378,'00_SKU_Master'!$M$2:$M$378,0)/$M$2,"0")</f>
        <v>#NAME?</v>
      </c>
      <c r="T179" s="147" t="e">
        <f ca="1">_xludf.IFNA(J181/_xlfn.XLOOKUP($M181,'00_SKU_Master'!$B$2:$B$378,'00_SKU_Master'!$M$2:$M$378,0)/$M$2,"0")</f>
        <v>#NAME?</v>
      </c>
      <c r="U179" s="147" t="e">
        <f t="shared" ca="1" si="15"/>
        <v>#NAME?</v>
      </c>
      <c r="V179" s="4"/>
      <c r="W179" s="4" t="e">
        <f>_xlfn.XLOOKUP(M181,'00_SKU_Master'!$B$2:$B$378,'00_SKU_Master'!D:D)</f>
        <v>#VALUE!</v>
      </c>
      <c r="X179" s="14">
        <f>'05_Daily_Orders'!B180</f>
        <v>7814</v>
      </c>
      <c r="Y179" s="554"/>
      <c r="Z179" s="555"/>
      <c r="AA179" s="555"/>
      <c r="AB179" s="555"/>
      <c r="AC179" s="555">
        <v>0</v>
      </c>
      <c r="AD179" s="555">
        <v>0</v>
      </c>
      <c r="AE179" s="555">
        <v>0</v>
      </c>
      <c r="AF179" s="553">
        <f t="shared" si="16"/>
        <v>0</v>
      </c>
      <c r="AQ179" s="23">
        <v>0</v>
      </c>
      <c r="AR179" s="23">
        <v>0</v>
      </c>
      <c r="AS179" s="23">
        <f t="shared" si="17"/>
        <v>0</v>
      </c>
    </row>
    <row r="180" spans="1:45">
      <c r="A180" s="138" t="str">
        <f>_xlfn.XLOOKUP(C182,'00_SKU_Master'!$B$2:$B$378,'00_SKU_Master'!$C$2:$C$378)</f>
        <v>61014F</v>
      </c>
      <c r="B180" s="138"/>
      <c r="C180" s="138">
        <f t="shared" si="12"/>
        <v>7817</v>
      </c>
      <c r="D180" s="552" t="e">
        <f ca="1">_xludf.IFNA(_xlfn.XLOOKUP(C182,'00_SKU_Master'!$B$2:$B$378,'00_SKU_Master'!$F$2:$F$378,0)*Y182,"")</f>
        <v>#NAME?</v>
      </c>
      <c r="E180" s="552" t="e">
        <f ca="1">_xludf.IFNA(_xlfn.XLOOKUP(C182,'00_SKU_Master'!$B$2:$B$378,'00_SKU_Master'!$F$2:$F$378,0)*Z182,"")</f>
        <v>#NAME?</v>
      </c>
      <c r="F180" s="552" t="e">
        <f ca="1">_xludf.IFNA(_xlfn.XLOOKUP(C182,'00_SKU_Master'!$B$2:$B$378,'00_SKU_Master'!$F$2:$F$378,0)*AA182,"")</f>
        <v>#NAME?</v>
      </c>
      <c r="G180" s="552" t="e">
        <f ca="1">_xludf.IFNA(_xlfn.XLOOKUP(C182,'00_SKU_Master'!$B$2:$B$378,'00_SKU_Master'!$F$2:$F$378,0)*AB182,"")</f>
        <v>#NAME?</v>
      </c>
      <c r="H180" s="552" t="e">
        <f ca="1">_xludf.IFNA(_xlfn.XLOOKUP(C182,'00_SKU_Master'!$B$2:$B$378,'00_SKU_Master'!$F$2:$F$378,0)*AC182,"")</f>
        <v>#NAME?</v>
      </c>
      <c r="I180" s="552" t="e">
        <f ca="1">_xludf.IFNA(_xlfn.XLOOKUP(C182,'00_SKU_Master'!$B$2:$B$378,'00_SKU_Master'!$F$2:$F$378,0)*AD182,"")</f>
        <v>#NAME?</v>
      </c>
      <c r="J180" s="552" t="e">
        <f ca="1">_xludf.IFNA(_xlfn.XLOOKUP(C182,'00_SKU_Master'!$B$2:$B$378,'00_SKU_Master'!$F$2:$F$378,0)*AE182,"")</f>
        <v>#NAME?</v>
      </c>
      <c r="K180" s="553" t="e">
        <f t="shared" ca="1" si="13"/>
        <v>#NAME?</v>
      </c>
      <c r="L180" s="187" t="e">
        <f>_xlfn.XLOOKUP(C182,'00_SKU_Master'!$B$2:$B$378,'00_SKU_Master'!K:K)</f>
        <v>#VALUE!</v>
      </c>
      <c r="M180" s="14">
        <f t="shared" si="14"/>
        <v>7817</v>
      </c>
      <c r="N180" s="147" t="e">
        <f ca="1">_xludf.IFNA(D182/_xlfn.XLOOKUP($M182,'00_SKU_Master'!$B$2:$B$378,'00_SKU_Master'!$M$2:$M$378,0)/$M$2,"0")</f>
        <v>#NAME?</v>
      </c>
      <c r="O180" s="147" t="e">
        <f ca="1">_xludf.IFNA(E182/_xlfn.XLOOKUP($M182,'00_SKU_Master'!$B$2:$B$378,'00_SKU_Master'!$M$2:$M$378,0)/$M$2,"0")</f>
        <v>#NAME?</v>
      </c>
      <c r="P180" s="147" t="e">
        <f ca="1">_xludf.IFNA(F182/_xlfn.XLOOKUP($M182,'00_SKU_Master'!$B$2:$B$378,'00_SKU_Master'!$M$2:$M$378,0)/$M$2,"0")</f>
        <v>#NAME?</v>
      </c>
      <c r="Q180" s="147" t="e">
        <f ca="1">_xludf.IFNA(G182/_xlfn.XLOOKUP($M182,'00_SKU_Master'!$B$2:$B$378,'00_SKU_Master'!$M$2:$M$378,0)/$M$2,"0")</f>
        <v>#NAME?</v>
      </c>
      <c r="R180" s="147" t="e">
        <f ca="1">_xludf.IFNA(H182/_xlfn.XLOOKUP($M182,'00_SKU_Master'!$B$2:$B$378,'00_SKU_Master'!$M$2:$M$378,0)/$M$2,"0")</f>
        <v>#NAME?</v>
      </c>
      <c r="S180" s="147" t="e">
        <f ca="1">_xludf.IFNA(I182/_xlfn.XLOOKUP($M182,'00_SKU_Master'!$B$2:$B$378,'00_SKU_Master'!$M$2:$M$378,0)/$M$2,"0")</f>
        <v>#NAME?</v>
      </c>
      <c r="T180" s="147" t="e">
        <f ca="1">_xludf.IFNA(J182/_xlfn.XLOOKUP($M182,'00_SKU_Master'!$B$2:$B$378,'00_SKU_Master'!$M$2:$M$378,0)/$M$2,"0")</f>
        <v>#NAME?</v>
      </c>
      <c r="U180" s="147" t="e">
        <f t="shared" ca="1" si="15"/>
        <v>#NAME?</v>
      </c>
      <c r="V180" s="4"/>
      <c r="W180" s="4" t="e">
        <f>_xlfn.XLOOKUP(M182,'00_SKU_Master'!$B$2:$B$378,'00_SKU_Master'!D:D)</f>
        <v>#VALUE!</v>
      </c>
      <c r="X180" s="14">
        <f>'05_Daily_Orders'!B181</f>
        <v>7815</v>
      </c>
      <c r="Y180" s="554"/>
      <c r="Z180" s="555"/>
      <c r="AA180" s="555"/>
      <c r="AB180" s="555"/>
      <c r="AC180" s="555">
        <v>0</v>
      </c>
      <c r="AD180" s="555">
        <v>0</v>
      </c>
      <c r="AE180" s="555">
        <v>0</v>
      </c>
      <c r="AF180" s="553">
        <f t="shared" si="16"/>
        <v>0</v>
      </c>
      <c r="AQ180" s="23">
        <v>0</v>
      </c>
      <c r="AR180" s="23">
        <v>0</v>
      </c>
      <c r="AS180" s="23">
        <f t="shared" si="17"/>
        <v>0</v>
      </c>
    </row>
    <row r="181" spans="1:45">
      <c r="A181" s="138">
        <f>_xlfn.XLOOKUP(C183,'00_SKU_Master'!$B$2:$B$378,'00_SKU_Master'!$C$2:$C$378)</f>
        <v>61050</v>
      </c>
      <c r="B181" s="138"/>
      <c r="C181" s="138">
        <f t="shared" si="12"/>
        <v>7818</v>
      </c>
      <c r="D181" s="552" t="e">
        <f ca="1">_xludf.IFNA(_xlfn.XLOOKUP(C183,'00_SKU_Master'!$B$2:$B$378,'00_SKU_Master'!$F$2:$F$378,0)*Y183,"")</f>
        <v>#NAME?</v>
      </c>
      <c r="E181" s="552" t="e">
        <f ca="1">_xludf.IFNA(_xlfn.XLOOKUP(C183,'00_SKU_Master'!$B$2:$B$378,'00_SKU_Master'!$F$2:$F$378,0)*Z183,"")</f>
        <v>#NAME?</v>
      </c>
      <c r="F181" s="552" t="e">
        <f ca="1">_xludf.IFNA(_xlfn.XLOOKUP(C183,'00_SKU_Master'!$B$2:$B$378,'00_SKU_Master'!$F$2:$F$378,0)*AA183,"")</f>
        <v>#NAME?</v>
      </c>
      <c r="G181" s="552" t="e">
        <f ca="1">_xludf.IFNA(_xlfn.XLOOKUP(C183,'00_SKU_Master'!$B$2:$B$378,'00_SKU_Master'!$F$2:$F$378,0)*AB183,"")</f>
        <v>#NAME?</v>
      </c>
      <c r="H181" s="552" t="e">
        <f ca="1">_xludf.IFNA(_xlfn.XLOOKUP(C183,'00_SKU_Master'!$B$2:$B$378,'00_SKU_Master'!$F$2:$F$378,0)*AC183,"")</f>
        <v>#NAME?</v>
      </c>
      <c r="I181" s="552" t="e">
        <f ca="1">_xludf.IFNA(_xlfn.XLOOKUP(C183,'00_SKU_Master'!$B$2:$B$378,'00_SKU_Master'!$F$2:$F$378,0)*AD183,"")</f>
        <v>#NAME?</v>
      </c>
      <c r="J181" s="552" t="e">
        <f ca="1">_xludf.IFNA(_xlfn.XLOOKUP(C183,'00_SKU_Master'!$B$2:$B$378,'00_SKU_Master'!$F$2:$F$378,0)*AE183,"")</f>
        <v>#NAME?</v>
      </c>
      <c r="K181" s="553" t="e">
        <f t="shared" ca="1" si="13"/>
        <v>#NAME?</v>
      </c>
      <c r="L181" s="187" t="e">
        <f>_xlfn.XLOOKUP(C183,'00_SKU_Master'!$B$2:$B$378,'00_SKU_Master'!K:K)</f>
        <v>#VALUE!</v>
      </c>
      <c r="M181" s="14">
        <f t="shared" si="14"/>
        <v>7818</v>
      </c>
      <c r="N181" s="147" t="e">
        <f ca="1">_xludf.IFNA(D183/_xlfn.XLOOKUP($M183,'00_SKU_Master'!$B$2:$B$378,'00_SKU_Master'!$M$2:$M$378,0)/$M$2,"0")</f>
        <v>#NAME?</v>
      </c>
      <c r="O181" s="147" t="e">
        <f ca="1">_xludf.IFNA(E183/_xlfn.XLOOKUP($M183,'00_SKU_Master'!$B$2:$B$378,'00_SKU_Master'!$M$2:$M$378,0)/$M$2,"0")</f>
        <v>#NAME?</v>
      </c>
      <c r="P181" s="147" t="e">
        <f ca="1">_xludf.IFNA(F183/_xlfn.XLOOKUP($M183,'00_SKU_Master'!$B$2:$B$378,'00_SKU_Master'!$M$2:$M$378,0)/$M$2,"0")</f>
        <v>#NAME?</v>
      </c>
      <c r="Q181" s="147" t="e">
        <f ca="1">_xludf.IFNA(G183/_xlfn.XLOOKUP($M183,'00_SKU_Master'!$B$2:$B$378,'00_SKU_Master'!$M$2:$M$378,0)/$M$2,"0")</f>
        <v>#NAME?</v>
      </c>
      <c r="R181" s="147" t="e">
        <f ca="1">_xludf.IFNA(H183/_xlfn.XLOOKUP($M183,'00_SKU_Master'!$B$2:$B$378,'00_SKU_Master'!$M$2:$M$378,0)/$M$2,"0")</f>
        <v>#NAME?</v>
      </c>
      <c r="S181" s="147" t="e">
        <f ca="1">_xludf.IFNA(I183/_xlfn.XLOOKUP($M183,'00_SKU_Master'!$B$2:$B$378,'00_SKU_Master'!$M$2:$M$378,0)/$M$2,"0")</f>
        <v>#NAME?</v>
      </c>
      <c r="T181" s="147" t="e">
        <f ca="1">_xludf.IFNA(J183/_xlfn.XLOOKUP($M183,'00_SKU_Master'!$B$2:$B$378,'00_SKU_Master'!$M$2:$M$378,0)/$M$2,"0")</f>
        <v>#NAME?</v>
      </c>
      <c r="U181" s="147" t="e">
        <f t="shared" ca="1" si="15"/>
        <v>#NAME?</v>
      </c>
      <c r="V181" s="4"/>
      <c r="W181" s="4" t="e">
        <f>_xlfn.XLOOKUP(M183,'00_SKU_Master'!$B$2:$B$378,'00_SKU_Master'!D:D)</f>
        <v>#VALUE!</v>
      </c>
      <c r="X181" s="14">
        <f>'05_Daily_Orders'!B182</f>
        <v>7816</v>
      </c>
      <c r="Y181" s="554"/>
      <c r="Z181" s="555"/>
      <c r="AA181" s="555"/>
      <c r="AB181" s="555"/>
      <c r="AC181" s="555">
        <v>0</v>
      </c>
      <c r="AD181" s="555">
        <v>0</v>
      </c>
      <c r="AE181" s="555">
        <v>0</v>
      </c>
      <c r="AF181" s="553">
        <f t="shared" si="16"/>
        <v>0</v>
      </c>
      <c r="AQ181" s="23">
        <v>0</v>
      </c>
      <c r="AR181" s="23">
        <v>0</v>
      </c>
      <c r="AS181" s="23">
        <f t="shared" si="17"/>
        <v>0</v>
      </c>
    </row>
    <row r="182" spans="1:45">
      <c r="A182" s="138">
        <f>_xlfn.XLOOKUP(C184,'00_SKU_Master'!$B$2:$B$378,'00_SKU_Master'!$C$2:$C$378)</f>
        <v>61077</v>
      </c>
      <c r="B182" s="138"/>
      <c r="C182" s="138">
        <f t="shared" si="12"/>
        <v>7819</v>
      </c>
      <c r="D182" s="552" t="e">
        <f ca="1">_xludf.IFNA(_xlfn.XLOOKUP(C184,'00_SKU_Master'!$B$2:$B$378,'00_SKU_Master'!$F$2:$F$378,0)*Y184,"")</f>
        <v>#NAME?</v>
      </c>
      <c r="E182" s="552" t="e">
        <f ca="1">_xludf.IFNA(_xlfn.XLOOKUP(C184,'00_SKU_Master'!$B$2:$B$378,'00_SKU_Master'!$F$2:$F$378,0)*Z184,"")</f>
        <v>#NAME?</v>
      </c>
      <c r="F182" s="552" t="e">
        <f ca="1">_xludf.IFNA(_xlfn.XLOOKUP(C184,'00_SKU_Master'!$B$2:$B$378,'00_SKU_Master'!$F$2:$F$378,0)*AA184,"")</f>
        <v>#NAME?</v>
      </c>
      <c r="G182" s="552" t="e">
        <f ca="1">_xludf.IFNA(_xlfn.XLOOKUP(C184,'00_SKU_Master'!$B$2:$B$378,'00_SKU_Master'!$F$2:$F$378,0)*AB184,"")</f>
        <v>#NAME?</v>
      </c>
      <c r="H182" s="552" t="e">
        <f ca="1">_xludf.IFNA(_xlfn.XLOOKUP(C184,'00_SKU_Master'!$B$2:$B$378,'00_SKU_Master'!$F$2:$F$378,0)*AC184,"")</f>
        <v>#NAME?</v>
      </c>
      <c r="I182" s="552" t="e">
        <f ca="1">_xludf.IFNA(_xlfn.XLOOKUP(C184,'00_SKU_Master'!$B$2:$B$378,'00_SKU_Master'!$F$2:$F$378,0)*AD184,"")</f>
        <v>#NAME?</v>
      </c>
      <c r="J182" s="552" t="e">
        <f ca="1">_xludf.IFNA(_xlfn.XLOOKUP(C184,'00_SKU_Master'!$B$2:$B$378,'00_SKU_Master'!$F$2:$F$378,0)*AE184,"")</f>
        <v>#NAME?</v>
      </c>
      <c r="K182" s="553" t="e">
        <f t="shared" ca="1" si="13"/>
        <v>#NAME?</v>
      </c>
      <c r="L182" s="187" t="e">
        <f>_xlfn.XLOOKUP(C184,'00_SKU_Master'!$B$2:$B$378,'00_SKU_Master'!K:K)</f>
        <v>#VALUE!</v>
      </c>
      <c r="M182" s="14">
        <f t="shared" si="14"/>
        <v>7819</v>
      </c>
      <c r="N182" s="147" t="e">
        <f ca="1">_xludf.IFNA(D184/_xlfn.XLOOKUP($M184,'00_SKU_Master'!$B$2:$B$378,'00_SKU_Master'!$M$2:$M$378,0)/$M$2,"0")</f>
        <v>#NAME?</v>
      </c>
      <c r="O182" s="147" t="e">
        <f ca="1">_xludf.IFNA(E184/_xlfn.XLOOKUP($M184,'00_SKU_Master'!$B$2:$B$378,'00_SKU_Master'!$M$2:$M$378,0)/$M$2,"0")</f>
        <v>#NAME?</v>
      </c>
      <c r="P182" s="147" t="e">
        <f ca="1">_xludf.IFNA(F184/_xlfn.XLOOKUP($M184,'00_SKU_Master'!$B$2:$B$378,'00_SKU_Master'!$M$2:$M$378,0)/$M$2,"0")</f>
        <v>#NAME?</v>
      </c>
      <c r="Q182" s="147" t="e">
        <f ca="1">_xludf.IFNA(G184/_xlfn.XLOOKUP($M184,'00_SKU_Master'!$B$2:$B$378,'00_SKU_Master'!$M$2:$M$378,0)/$M$2,"0")</f>
        <v>#NAME?</v>
      </c>
      <c r="R182" s="147" t="e">
        <f ca="1">_xludf.IFNA(H184/_xlfn.XLOOKUP($M184,'00_SKU_Master'!$B$2:$B$378,'00_SKU_Master'!$M$2:$M$378,0)/$M$2,"0")</f>
        <v>#NAME?</v>
      </c>
      <c r="S182" s="147" t="e">
        <f ca="1">_xludf.IFNA(I184/_xlfn.XLOOKUP($M184,'00_SKU_Master'!$B$2:$B$378,'00_SKU_Master'!$M$2:$M$378,0)/$M$2,"0")</f>
        <v>#NAME?</v>
      </c>
      <c r="T182" s="147" t="e">
        <f ca="1">_xludf.IFNA(J184/_xlfn.XLOOKUP($M184,'00_SKU_Master'!$B$2:$B$378,'00_SKU_Master'!$M$2:$M$378,0)/$M$2,"0")</f>
        <v>#NAME?</v>
      </c>
      <c r="U182" s="147" t="e">
        <f t="shared" ca="1" si="15"/>
        <v>#NAME?</v>
      </c>
      <c r="V182" s="4"/>
      <c r="W182" s="4" t="e">
        <f>_xlfn.XLOOKUP(M184,'00_SKU_Master'!$B$2:$B$378,'00_SKU_Master'!D:D)</f>
        <v>#VALUE!</v>
      </c>
      <c r="X182" s="14">
        <f>'05_Daily_Orders'!B183</f>
        <v>7817</v>
      </c>
      <c r="Y182" s="554"/>
      <c r="Z182" s="555"/>
      <c r="AA182" s="555"/>
      <c r="AB182" s="555"/>
      <c r="AC182" s="555">
        <v>0</v>
      </c>
      <c r="AD182" s="555">
        <v>0</v>
      </c>
      <c r="AE182" s="555">
        <v>0</v>
      </c>
      <c r="AF182" s="553">
        <f t="shared" si="16"/>
        <v>0</v>
      </c>
      <c r="AQ182" s="23">
        <v>0</v>
      </c>
      <c r="AR182" s="23">
        <v>0</v>
      </c>
      <c r="AS182" s="23">
        <f t="shared" si="17"/>
        <v>0</v>
      </c>
    </row>
    <row r="183" spans="1:45">
      <c r="A183" s="138" t="str">
        <f>_xlfn.XLOOKUP(C185,'00_SKU_Master'!$B$2:$B$378,'00_SKU_Master'!$C$2:$C$378)</f>
        <v>61072F</v>
      </c>
      <c r="B183" s="138"/>
      <c r="C183" s="138">
        <f t="shared" si="12"/>
        <v>7821</v>
      </c>
      <c r="D183" s="552" t="e">
        <f ca="1">_xludf.IFNA(_xlfn.XLOOKUP(C185,'00_SKU_Master'!$B$2:$B$378,'00_SKU_Master'!$F$2:$F$378,0)*Y185,"")</f>
        <v>#NAME?</v>
      </c>
      <c r="E183" s="552" t="e">
        <f ca="1">_xludf.IFNA(_xlfn.XLOOKUP(C185,'00_SKU_Master'!$B$2:$B$378,'00_SKU_Master'!$F$2:$F$378,0)*Z185,"")</f>
        <v>#NAME?</v>
      </c>
      <c r="F183" s="552" t="e">
        <f ca="1">_xludf.IFNA(_xlfn.XLOOKUP(C185,'00_SKU_Master'!$B$2:$B$378,'00_SKU_Master'!$F$2:$F$378,0)*AA185,"")</f>
        <v>#NAME?</v>
      </c>
      <c r="G183" s="552" t="e">
        <f ca="1">_xludf.IFNA(_xlfn.XLOOKUP(C185,'00_SKU_Master'!$B$2:$B$378,'00_SKU_Master'!$F$2:$F$378,0)*AB185,"")</f>
        <v>#NAME?</v>
      </c>
      <c r="H183" s="552" t="e">
        <f ca="1">_xludf.IFNA(_xlfn.XLOOKUP(C185,'00_SKU_Master'!$B$2:$B$378,'00_SKU_Master'!$F$2:$F$378,0)*AC185,"")</f>
        <v>#NAME?</v>
      </c>
      <c r="I183" s="552" t="e">
        <f ca="1">_xludf.IFNA(_xlfn.XLOOKUP(C185,'00_SKU_Master'!$B$2:$B$378,'00_SKU_Master'!$F$2:$F$378,0)*AD185,"")</f>
        <v>#NAME?</v>
      </c>
      <c r="J183" s="552" t="e">
        <f ca="1">_xludf.IFNA(_xlfn.XLOOKUP(C185,'00_SKU_Master'!$B$2:$B$378,'00_SKU_Master'!$F$2:$F$378,0)*AE185,"")</f>
        <v>#NAME?</v>
      </c>
      <c r="K183" s="553" t="e">
        <f t="shared" ca="1" si="13"/>
        <v>#NAME?</v>
      </c>
      <c r="L183" s="187" t="e">
        <f>_xlfn.XLOOKUP(C185,'00_SKU_Master'!$B$2:$B$378,'00_SKU_Master'!K:K)</f>
        <v>#VALUE!</v>
      </c>
      <c r="M183" s="14">
        <f t="shared" si="14"/>
        <v>7821</v>
      </c>
      <c r="N183" s="147" t="e">
        <f ca="1">_xludf.IFNA(D185/_xlfn.XLOOKUP($M185,'00_SKU_Master'!$B$2:$B$378,'00_SKU_Master'!$M$2:$M$378,0)/$M$2,"0")</f>
        <v>#NAME?</v>
      </c>
      <c r="O183" s="147" t="e">
        <f ca="1">_xludf.IFNA(E185/_xlfn.XLOOKUP($M185,'00_SKU_Master'!$B$2:$B$378,'00_SKU_Master'!$M$2:$M$378,0)/$M$2,"0")</f>
        <v>#NAME?</v>
      </c>
      <c r="P183" s="147" t="e">
        <f ca="1">_xludf.IFNA(F185/_xlfn.XLOOKUP($M185,'00_SKU_Master'!$B$2:$B$378,'00_SKU_Master'!$M$2:$M$378,0)/$M$2,"0")</f>
        <v>#NAME?</v>
      </c>
      <c r="Q183" s="147" t="e">
        <f ca="1">_xludf.IFNA(G185/_xlfn.XLOOKUP($M185,'00_SKU_Master'!$B$2:$B$378,'00_SKU_Master'!$M$2:$M$378,0)/$M$2,"0")</f>
        <v>#NAME?</v>
      </c>
      <c r="R183" s="147" t="e">
        <f ca="1">_xludf.IFNA(H185/_xlfn.XLOOKUP($M185,'00_SKU_Master'!$B$2:$B$378,'00_SKU_Master'!$M$2:$M$378,0)/$M$2,"0")</f>
        <v>#NAME?</v>
      </c>
      <c r="S183" s="147" t="e">
        <f ca="1">_xludf.IFNA(I185/_xlfn.XLOOKUP($M185,'00_SKU_Master'!$B$2:$B$378,'00_SKU_Master'!$M$2:$M$378,0)/$M$2,"0")</f>
        <v>#NAME?</v>
      </c>
      <c r="T183" s="147" t="e">
        <f ca="1">_xludf.IFNA(J185/_xlfn.XLOOKUP($M185,'00_SKU_Master'!$B$2:$B$378,'00_SKU_Master'!$M$2:$M$378,0)/$M$2,"0")</f>
        <v>#NAME?</v>
      </c>
      <c r="U183" s="147" t="e">
        <f t="shared" ca="1" si="15"/>
        <v>#NAME?</v>
      </c>
      <c r="V183" s="4"/>
      <c r="W183" s="4" t="e">
        <f>_xlfn.XLOOKUP(M185,'00_SKU_Master'!$B$2:$B$378,'00_SKU_Master'!D:D)</f>
        <v>#VALUE!</v>
      </c>
      <c r="X183" s="14">
        <f>'05_Daily_Orders'!B184</f>
        <v>7818</v>
      </c>
      <c r="Y183" s="554"/>
      <c r="Z183" s="555"/>
      <c r="AA183" s="555"/>
      <c r="AB183" s="555"/>
      <c r="AC183" s="555">
        <v>0</v>
      </c>
      <c r="AD183" s="555">
        <v>0</v>
      </c>
      <c r="AE183" s="555">
        <v>0</v>
      </c>
      <c r="AF183" s="553">
        <f t="shared" si="16"/>
        <v>0</v>
      </c>
      <c r="AQ183" s="23">
        <v>0</v>
      </c>
      <c r="AR183" s="23">
        <v>0</v>
      </c>
      <c r="AS183" s="23">
        <f t="shared" si="17"/>
        <v>-100</v>
      </c>
    </row>
    <row r="184" spans="1:45">
      <c r="A184" s="138" t="str">
        <f>_xlfn.XLOOKUP(C186,'00_SKU_Master'!$B$2:$B$378,'00_SKU_Master'!$C$2:$C$378)</f>
        <v>61014F</v>
      </c>
      <c r="B184" s="138"/>
      <c r="C184" s="138">
        <f t="shared" si="12"/>
        <v>7823</v>
      </c>
      <c r="D184" s="552" t="e">
        <f ca="1">_xludf.IFNA(_xlfn.XLOOKUP(C186,'00_SKU_Master'!$B$2:$B$378,'00_SKU_Master'!$F$2:$F$378,0)*Y186,"")</f>
        <v>#NAME?</v>
      </c>
      <c r="E184" s="552" t="e">
        <f ca="1">_xludf.IFNA(_xlfn.XLOOKUP(C186,'00_SKU_Master'!$B$2:$B$378,'00_SKU_Master'!$F$2:$F$378,0)*Z186,"")</f>
        <v>#NAME?</v>
      </c>
      <c r="F184" s="552" t="e">
        <f ca="1">_xludf.IFNA(_xlfn.XLOOKUP(C186,'00_SKU_Master'!$B$2:$B$378,'00_SKU_Master'!$F$2:$F$378,0)*AA186,"")</f>
        <v>#NAME?</v>
      </c>
      <c r="G184" s="552" t="e">
        <f ca="1">_xludf.IFNA(_xlfn.XLOOKUP(C186,'00_SKU_Master'!$B$2:$B$378,'00_SKU_Master'!$F$2:$F$378,0)*AB186,"")</f>
        <v>#NAME?</v>
      </c>
      <c r="H184" s="552" t="e">
        <f ca="1">_xludf.IFNA(_xlfn.XLOOKUP(C186,'00_SKU_Master'!$B$2:$B$378,'00_SKU_Master'!$F$2:$F$378,0)*AC186,"")</f>
        <v>#NAME?</v>
      </c>
      <c r="I184" s="552" t="e">
        <f ca="1">_xludf.IFNA(_xlfn.XLOOKUP(C186,'00_SKU_Master'!$B$2:$B$378,'00_SKU_Master'!$F$2:$F$378,0)*AD186,"")</f>
        <v>#NAME?</v>
      </c>
      <c r="J184" s="552" t="e">
        <f ca="1">_xludf.IFNA(_xlfn.XLOOKUP(C186,'00_SKU_Master'!$B$2:$B$378,'00_SKU_Master'!$F$2:$F$378,0)*AE186,"")</f>
        <v>#NAME?</v>
      </c>
      <c r="K184" s="553" t="e">
        <f t="shared" ca="1" si="13"/>
        <v>#NAME?</v>
      </c>
      <c r="L184" s="187" t="e">
        <f>_xlfn.XLOOKUP(C186,'00_SKU_Master'!$B$2:$B$378,'00_SKU_Master'!K:K)</f>
        <v>#VALUE!</v>
      </c>
      <c r="M184" s="14">
        <f t="shared" si="14"/>
        <v>7823</v>
      </c>
      <c r="N184" s="147" t="e">
        <f ca="1">_xludf.IFNA(D186/_xlfn.XLOOKUP($M186,'00_SKU_Master'!$B$2:$B$378,'00_SKU_Master'!$M$2:$M$378,0)/$M$2,"0")</f>
        <v>#NAME?</v>
      </c>
      <c r="O184" s="147" t="e">
        <f ca="1">_xludf.IFNA(E186/_xlfn.XLOOKUP($M186,'00_SKU_Master'!$B$2:$B$378,'00_SKU_Master'!$M$2:$M$378,0)/$M$2,"0")</f>
        <v>#NAME?</v>
      </c>
      <c r="P184" s="147" t="e">
        <f ca="1">_xludf.IFNA(F186/_xlfn.XLOOKUP($M186,'00_SKU_Master'!$B$2:$B$378,'00_SKU_Master'!$M$2:$M$378,0)/$M$2,"0")</f>
        <v>#NAME?</v>
      </c>
      <c r="Q184" s="147" t="e">
        <f ca="1">_xludf.IFNA(G186/_xlfn.XLOOKUP($M186,'00_SKU_Master'!$B$2:$B$378,'00_SKU_Master'!$M$2:$M$378,0)/$M$2,"0")</f>
        <v>#NAME?</v>
      </c>
      <c r="R184" s="147" t="e">
        <f ca="1">_xludf.IFNA(H186/_xlfn.XLOOKUP($M186,'00_SKU_Master'!$B$2:$B$378,'00_SKU_Master'!$M$2:$M$378,0)/$M$2,"0")</f>
        <v>#NAME?</v>
      </c>
      <c r="S184" s="147" t="e">
        <f ca="1">_xludf.IFNA(I186/_xlfn.XLOOKUP($M186,'00_SKU_Master'!$B$2:$B$378,'00_SKU_Master'!$M$2:$M$378,0)/$M$2,"0")</f>
        <v>#NAME?</v>
      </c>
      <c r="T184" s="147" t="e">
        <f ca="1">_xludf.IFNA(J186/_xlfn.XLOOKUP($M186,'00_SKU_Master'!$B$2:$B$378,'00_SKU_Master'!$M$2:$M$378,0)/$M$2,"0")</f>
        <v>#NAME?</v>
      </c>
      <c r="U184" s="147" t="e">
        <f t="shared" ca="1" si="15"/>
        <v>#NAME?</v>
      </c>
      <c r="V184" s="4"/>
      <c r="W184" s="4" t="e">
        <f>_xlfn.XLOOKUP(M186,'00_SKU_Master'!$B$2:$B$378,'00_SKU_Master'!D:D)</f>
        <v>#VALUE!</v>
      </c>
      <c r="X184" s="14">
        <f>'05_Daily_Orders'!B185</f>
        <v>7819</v>
      </c>
      <c r="Y184" s="554"/>
      <c r="Z184" s="555"/>
      <c r="AA184" s="555"/>
      <c r="AB184" s="555"/>
      <c r="AC184" s="555">
        <v>0</v>
      </c>
      <c r="AD184" s="555">
        <v>0</v>
      </c>
      <c r="AE184" s="555">
        <v>0</v>
      </c>
      <c r="AF184" s="553">
        <f t="shared" si="16"/>
        <v>0</v>
      </c>
      <c r="AQ184" s="23">
        <v>0</v>
      </c>
      <c r="AR184" s="23">
        <v>0</v>
      </c>
      <c r="AS184" s="23">
        <f t="shared" si="17"/>
        <v>-440</v>
      </c>
    </row>
    <row r="185" spans="1:45">
      <c r="A185" s="138" t="str">
        <f>_xlfn.XLOOKUP(C187,'00_SKU_Master'!$B$2:$B$378,'00_SKU_Master'!$C$2:$C$378)</f>
        <v>61050F</v>
      </c>
      <c r="B185" s="138"/>
      <c r="C185" s="138">
        <f t="shared" si="12"/>
        <v>7824</v>
      </c>
      <c r="D185" s="552" t="e">
        <f ca="1">_xludf.IFNA(_xlfn.XLOOKUP(C187,'00_SKU_Master'!$B$2:$B$378,'00_SKU_Master'!$F$2:$F$378,0)*Y187,"")</f>
        <v>#NAME?</v>
      </c>
      <c r="E185" s="552" t="e">
        <f ca="1">_xludf.IFNA(_xlfn.XLOOKUP(C187,'00_SKU_Master'!$B$2:$B$378,'00_SKU_Master'!$F$2:$F$378,0)*Z187,"")</f>
        <v>#NAME?</v>
      </c>
      <c r="F185" s="552" t="e">
        <f ca="1">_xludf.IFNA(_xlfn.XLOOKUP(C187,'00_SKU_Master'!$B$2:$B$378,'00_SKU_Master'!$F$2:$F$378,0)*AA187,"")</f>
        <v>#NAME?</v>
      </c>
      <c r="G185" s="552" t="e">
        <f ca="1">_xludf.IFNA(_xlfn.XLOOKUP(C187,'00_SKU_Master'!$B$2:$B$378,'00_SKU_Master'!$F$2:$F$378,0)*AB187,"")</f>
        <v>#NAME?</v>
      </c>
      <c r="H185" s="552" t="e">
        <f ca="1">_xludf.IFNA(_xlfn.XLOOKUP(C187,'00_SKU_Master'!$B$2:$B$378,'00_SKU_Master'!$F$2:$F$378,0)*AC187,"")</f>
        <v>#NAME?</v>
      </c>
      <c r="I185" s="552" t="e">
        <f ca="1">_xludf.IFNA(_xlfn.XLOOKUP(C187,'00_SKU_Master'!$B$2:$B$378,'00_SKU_Master'!$F$2:$F$378,0)*AD187,"")</f>
        <v>#NAME?</v>
      </c>
      <c r="J185" s="552" t="e">
        <f ca="1">_xludf.IFNA(_xlfn.XLOOKUP(C187,'00_SKU_Master'!$B$2:$B$378,'00_SKU_Master'!$F$2:$F$378,0)*AE187,"")</f>
        <v>#NAME?</v>
      </c>
      <c r="K185" s="553" t="e">
        <f t="shared" ca="1" si="13"/>
        <v>#NAME?</v>
      </c>
      <c r="L185" s="187" t="e">
        <f>_xlfn.XLOOKUP(C187,'00_SKU_Master'!$B$2:$B$378,'00_SKU_Master'!K:K)</f>
        <v>#VALUE!</v>
      </c>
      <c r="M185" s="14">
        <f t="shared" si="14"/>
        <v>7824</v>
      </c>
      <c r="N185" s="147" t="e">
        <f ca="1">_xludf.IFNA(D187/_xlfn.XLOOKUP($M187,'00_SKU_Master'!$B$2:$B$378,'00_SKU_Master'!$M$2:$M$378,0)/$M$2,"0")</f>
        <v>#NAME?</v>
      </c>
      <c r="O185" s="147" t="e">
        <f ca="1">_xludf.IFNA(E187/_xlfn.XLOOKUP($M187,'00_SKU_Master'!$B$2:$B$378,'00_SKU_Master'!$M$2:$M$378,0)/$M$2,"0")</f>
        <v>#NAME?</v>
      </c>
      <c r="P185" s="147" t="e">
        <f ca="1">_xludf.IFNA(F187/_xlfn.XLOOKUP($M187,'00_SKU_Master'!$B$2:$B$378,'00_SKU_Master'!$M$2:$M$378,0)/$M$2,"0")</f>
        <v>#NAME?</v>
      </c>
      <c r="Q185" s="147" t="e">
        <f ca="1">_xludf.IFNA(G187/_xlfn.XLOOKUP($M187,'00_SKU_Master'!$B$2:$B$378,'00_SKU_Master'!$M$2:$M$378,0)/$M$2,"0")</f>
        <v>#NAME?</v>
      </c>
      <c r="R185" s="147" t="e">
        <f ca="1">_xludf.IFNA(H187/_xlfn.XLOOKUP($M187,'00_SKU_Master'!$B$2:$B$378,'00_SKU_Master'!$M$2:$M$378,0)/$M$2,"0")</f>
        <v>#NAME?</v>
      </c>
      <c r="S185" s="147" t="e">
        <f ca="1">_xludf.IFNA(I187/_xlfn.XLOOKUP($M187,'00_SKU_Master'!$B$2:$B$378,'00_SKU_Master'!$M$2:$M$378,0)/$M$2,"0")</f>
        <v>#NAME?</v>
      </c>
      <c r="T185" s="147" t="e">
        <f ca="1">_xludf.IFNA(J187/_xlfn.XLOOKUP($M187,'00_SKU_Master'!$B$2:$B$378,'00_SKU_Master'!$M$2:$M$378,0)/$M$2,"0")</f>
        <v>#NAME?</v>
      </c>
      <c r="U185" s="147" t="e">
        <f t="shared" ca="1" si="15"/>
        <v>#NAME?</v>
      </c>
      <c r="V185" s="4"/>
      <c r="W185" s="4" t="e">
        <f>_xlfn.XLOOKUP(M187,'00_SKU_Master'!$B$2:$B$378,'00_SKU_Master'!D:D)</f>
        <v>#VALUE!</v>
      </c>
      <c r="X185" s="14">
        <f>'05_Daily_Orders'!B186</f>
        <v>7821</v>
      </c>
      <c r="Y185" s="554"/>
      <c r="Z185" s="555"/>
      <c r="AA185" s="555"/>
      <c r="AB185" s="555"/>
      <c r="AC185" s="555">
        <v>0</v>
      </c>
      <c r="AD185" s="555">
        <v>0</v>
      </c>
      <c r="AE185" s="555">
        <v>0</v>
      </c>
      <c r="AF185" s="553">
        <f t="shared" si="16"/>
        <v>422</v>
      </c>
      <c r="AQ185" s="23">
        <v>100</v>
      </c>
      <c r="AR185" s="23">
        <v>0</v>
      </c>
      <c r="AS185" s="23">
        <f t="shared" si="17"/>
        <v>2</v>
      </c>
    </row>
    <row r="186" spans="1:45">
      <c r="A186" s="138">
        <f>_xlfn.XLOOKUP(C188,'00_SKU_Master'!$B$2:$B$378,'00_SKU_Master'!$C$2:$C$378)</f>
        <v>61050</v>
      </c>
      <c r="B186" s="138"/>
      <c r="C186" s="138">
        <f t="shared" si="12"/>
        <v>7825</v>
      </c>
      <c r="D186" s="552" t="e">
        <f ca="1">_xludf.IFNA(_xlfn.XLOOKUP(C188,'00_SKU_Master'!$B$2:$B$378,'00_SKU_Master'!$F$2:$F$378,0)*Y188,"")</f>
        <v>#NAME?</v>
      </c>
      <c r="E186" s="552" t="e">
        <f ca="1">_xludf.IFNA(_xlfn.XLOOKUP(C188,'00_SKU_Master'!$B$2:$B$378,'00_SKU_Master'!$F$2:$F$378,0)*Z188,"")</f>
        <v>#NAME?</v>
      </c>
      <c r="F186" s="552" t="e">
        <f ca="1">_xludf.IFNA(_xlfn.XLOOKUP(C188,'00_SKU_Master'!$B$2:$B$378,'00_SKU_Master'!$F$2:$F$378,0)*AA188,"")</f>
        <v>#NAME?</v>
      </c>
      <c r="G186" s="552" t="e">
        <f ca="1">_xludf.IFNA(_xlfn.XLOOKUP(C188,'00_SKU_Master'!$B$2:$B$378,'00_SKU_Master'!$F$2:$F$378,0)*AB188,"")</f>
        <v>#NAME?</v>
      </c>
      <c r="H186" s="552" t="e">
        <f ca="1">_xludf.IFNA(_xlfn.XLOOKUP(C188,'00_SKU_Master'!$B$2:$B$378,'00_SKU_Master'!$F$2:$F$378,0)*AC188,"")</f>
        <v>#NAME?</v>
      </c>
      <c r="I186" s="552" t="e">
        <f ca="1">_xludf.IFNA(_xlfn.XLOOKUP(C188,'00_SKU_Master'!$B$2:$B$378,'00_SKU_Master'!$F$2:$F$378,0)*AD188,"")</f>
        <v>#NAME?</v>
      </c>
      <c r="J186" s="552" t="e">
        <f ca="1">_xludf.IFNA(_xlfn.XLOOKUP(C188,'00_SKU_Master'!$B$2:$B$378,'00_SKU_Master'!$F$2:$F$378,0)*AE188,"")</f>
        <v>#NAME?</v>
      </c>
      <c r="K186" s="553" t="e">
        <f t="shared" ca="1" si="13"/>
        <v>#NAME?</v>
      </c>
      <c r="L186" s="187" t="e">
        <f>_xlfn.XLOOKUP(C188,'00_SKU_Master'!$B$2:$B$378,'00_SKU_Master'!K:K)</f>
        <v>#VALUE!</v>
      </c>
      <c r="M186" s="14">
        <f t="shared" si="14"/>
        <v>7825</v>
      </c>
      <c r="N186" s="147" t="e">
        <f ca="1">_xludf.IFNA(D188/_xlfn.XLOOKUP($M188,'00_SKU_Master'!$B$2:$B$378,'00_SKU_Master'!$M$2:$M$378,0)/$M$2,"0")</f>
        <v>#NAME?</v>
      </c>
      <c r="O186" s="147" t="e">
        <f ca="1">_xludf.IFNA(E188/_xlfn.XLOOKUP($M188,'00_SKU_Master'!$B$2:$B$378,'00_SKU_Master'!$M$2:$M$378,0)/$M$2,"0")</f>
        <v>#NAME?</v>
      </c>
      <c r="P186" s="147" t="e">
        <f ca="1">_xludf.IFNA(F188/_xlfn.XLOOKUP($M188,'00_SKU_Master'!$B$2:$B$378,'00_SKU_Master'!$M$2:$M$378,0)/$M$2,"0")</f>
        <v>#NAME?</v>
      </c>
      <c r="Q186" s="147" t="e">
        <f ca="1">_xludf.IFNA(G188/_xlfn.XLOOKUP($M188,'00_SKU_Master'!$B$2:$B$378,'00_SKU_Master'!$M$2:$M$378,0)/$M$2,"0")</f>
        <v>#NAME?</v>
      </c>
      <c r="R186" s="147" t="e">
        <f ca="1">_xludf.IFNA(H188/_xlfn.XLOOKUP($M188,'00_SKU_Master'!$B$2:$B$378,'00_SKU_Master'!$M$2:$M$378,0)/$M$2,"0")</f>
        <v>#NAME?</v>
      </c>
      <c r="S186" s="147" t="e">
        <f ca="1">_xludf.IFNA(I188/_xlfn.XLOOKUP($M188,'00_SKU_Master'!$B$2:$B$378,'00_SKU_Master'!$M$2:$M$378,0)/$M$2,"0")</f>
        <v>#NAME?</v>
      </c>
      <c r="T186" s="147" t="e">
        <f ca="1">_xludf.IFNA(J188/_xlfn.XLOOKUP($M188,'00_SKU_Master'!$B$2:$B$378,'00_SKU_Master'!$M$2:$M$378,0)/$M$2,"0")</f>
        <v>#NAME?</v>
      </c>
      <c r="U186" s="147" t="e">
        <f t="shared" ca="1" si="15"/>
        <v>#NAME?</v>
      </c>
      <c r="V186" s="4"/>
      <c r="W186" s="4" t="e">
        <f>_xlfn.XLOOKUP(M188,'00_SKU_Master'!$B$2:$B$378,'00_SKU_Master'!D:D)</f>
        <v>#VALUE!</v>
      </c>
      <c r="X186" s="14">
        <f>'05_Daily_Orders'!B187</f>
        <v>7823</v>
      </c>
      <c r="Y186" s="554"/>
      <c r="Z186" s="555"/>
      <c r="AA186" s="555"/>
      <c r="AB186" s="555"/>
      <c r="AC186" s="555">
        <v>0</v>
      </c>
      <c r="AD186" s="555">
        <v>0</v>
      </c>
      <c r="AE186" s="555">
        <v>0</v>
      </c>
      <c r="AF186" s="553">
        <f t="shared" si="16"/>
        <v>219</v>
      </c>
      <c r="AQ186" s="23">
        <v>440</v>
      </c>
      <c r="AR186" s="23">
        <v>0</v>
      </c>
      <c r="AS186" s="23">
        <f t="shared" si="17"/>
        <v>0</v>
      </c>
    </row>
    <row r="187" spans="1:45">
      <c r="A187" s="138">
        <f>_xlfn.XLOOKUP(C189,'00_SKU_Master'!$B$2:$B$378,'00_SKU_Master'!$C$2:$C$378)</f>
        <v>61052</v>
      </c>
      <c r="B187" s="138"/>
      <c r="C187" s="138">
        <f t="shared" si="12"/>
        <v>7826</v>
      </c>
      <c r="D187" s="552" t="e">
        <f ca="1">_xludf.IFNA(_xlfn.XLOOKUP(C189,'00_SKU_Master'!$B$2:$B$378,'00_SKU_Master'!$F$2:$F$378,0)*Y189,"")</f>
        <v>#NAME?</v>
      </c>
      <c r="E187" s="552" t="e">
        <f ca="1">_xludf.IFNA(_xlfn.XLOOKUP(C189,'00_SKU_Master'!$B$2:$B$378,'00_SKU_Master'!$F$2:$F$378,0)*Z189,"")</f>
        <v>#NAME?</v>
      </c>
      <c r="F187" s="552" t="e">
        <f ca="1">_xludf.IFNA(_xlfn.XLOOKUP(C189,'00_SKU_Master'!$B$2:$B$378,'00_SKU_Master'!$F$2:$F$378,0)*AA189,"")</f>
        <v>#NAME?</v>
      </c>
      <c r="G187" s="552" t="e">
        <f ca="1">_xludf.IFNA(_xlfn.XLOOKUP(C189,'00_SKU_Master'!$B$2:$B$378,'00_SKU_Master'!$F$2:$F$378,0)*AB189,"")</f>
        <v>#NAME?</v>
      </c>
      <c r="H187" s="552" t="e">
        <f ca="1">_xludf.IFNA(_xlfn.XLOOKUP(C189,'00_SKU_Master'!$B$2:$B$378,'00_SKU_Master'!$F$2:$F$378,0)*AC189,"")</f>
        <v>#NAME?</v>
      </c>
      <c r="I187" s="552" t="e">
        <f ca="1">_xludf.IFNA(_xlfn.XLOOKUP(C189,'00_SKU_Master'!$B$2:$B$378,'00_SKU_Master'!$F$2:$F$378,0)*AD189,"")</f>
        <v>#NAME?</v>
      </c>
      <c r="J187" s="552" t="e">
        <f ca="1">_xludf.IFNA(_xlfn.XLOOKUP(C189,'00_SKU_Master'!$B$2:$B$378,'00_SKU_Master'!$F$2:$F$378,0)*AE189,"")</f>
        <v>#NAME?</v>
      </c>
      <c r="K187" s="553" t="e">
        <f t="shared" ca="1" si="13"/>
        <v>#NAME?</v>
      </c>
      <c r="L187" s="187" t="e">
        <f>_xlfn.XLOOKUP(C189,'00_SKU_Master'!$B$2:$B$378,'00_SKU_Master'!K:K)</f>
        <v>#VALUE!</v>
      </c>
      <c r="M187" s="14">
        <f t="shared" si="14"/>
        <v>7826</v>
      </c>
      <c r="N187" s="147" t="e">
        <f ca="1">_xludf.IFNA(D189/_xlfn.XLOOKUP($M189,'00_SKU_Master'!$B$2:$B$378,'00_SKU_Master'!$M$2:$M$378,0)/$M$2,"0")</f>
        <v>#NAME?</v>
      </c>
      <c r="O187" s="147" t="e">
        <f ca="1">_xludf.IFNA(E189/_xlfn.XLOOKUP($M189,'00_SKU_Master'!$B$2:$B$378,'00_SKU_Master'!$M$2:$M$378,0)/$M$2,"0")</f>
        <v>#NAME?</v>
      </c>
      <c r="P187" s="147" t="e">
        <f ca="1">_xludf.IFNA(F189/_xlfn.XLOOKUP($M189,'00_SKU_Master'!$B$2:$B$378,'00_SKU_Master'!$M$2:$M$378,0)/$M$2,"0")</f>
        <v>#NAME?</v>
      </c>
      <c r="Q187" s="147" t="e">
        <f ca="1">_xludf.IFNA(G189/_xlfn.XLOOKUP($M189,'00_SKU_Master'!$B$2:$B$378,'00_SKU_Master'!$M$2:$M$378,0)/$M$2,"0")</f>
        <v>#NAME?</v>
      </c>
      <c r="R187" s="147" t="e">
        <f ca="1">_xludf.IFNA(H189/_xlfn.XLOOKUP($M189,'00_SKU_Master'!$B$2:$B$378,'00_SKU_Master'!$M$2:$M$378,0)/$M$2,"0")</f>
        <v>#NAME?</v>
      </c>
      <c r="S187" s="147" t="e">
        <f ca="1">_xludf.IFNA(I189/_xlfn.XLOOKUP($M189,'00_SKU_Master'!$B$2:$B$378,'00_SKU_Master'!$M$2:$M$378,0)/$M$2,"0")</f>
        <v>#NAME?</v>
      </c>
      <c r="T187" s="147" t="e">
        <f ca="1">_xludf.IFNA(J189/_xlfn.XLOOKUP($M189,'00_SKU_Master'!$B$2:$B$378,'00_SKU_Master'!$M$2:$M$378,0)/$M$2,"0")</f>
        <v>#NAME?</v>
      </c>
      <c r="U187" s="147" t="e">
        <f t="shared" ca="1" si="15"/>
        <v>#NAME?</v>
      </c>
      <c r="V187" s="4"/>
      <c r="W187" s="4" t="e">
        <f>_xlfn.XLOOKUP(M189,'00_SKU_Master'!$B$2:$B$378,'00_SKU_Master'!D:D)</f>
        <v>#VALUE!</v>
      </c>
      <c r="X187" s="14">
        <f>'05_Daily_Orders'!B188</f>
        <v>7824</v>
      </c>
      <c r="Y187" s="554"/>
      <c r="Z187" s="555"/>
      <c r="AA187" s="555"/>
      <c r="AB187" s="555"/>
      <c r="AC187" s="555">
        <v>239</v>
      </c>
      <c r="AD187" s="555">
        <v>110</v>
      </c>
      <c r="AE187" s="555">
        <v>73</v>
      </c>
      <c r="AF187" s="553">
        <f t="shared" si="16"/>
        <v>372</v>
      </c>
      <c r="AQ187" s="23">
        <v>0</v>
      </c>
      <c r="AR187" s="23">
        <v>2</v>
      </c>
      <c r="AS187" s="23">
        <f t="shared" si="17"/>
        <v>32</v>
      </c>
    </row>
    <row r="188" spans="1:45">
      <c r="A188" s="138">
        <f>_xlfn.XLOOKUP(C190,'00_SKU_Master'!$B$2:$B$378,'00_SKU_Master'!$C$2:$C$378)</f>
        <v>61054</v>
      </c>
      <c r="B188" s="138"/>
      <c r="C188" s="138">
        <f t="shared" si="12"/>
        <v>7827</v>
      </c>
      <c r="D188" s="552" t="e">
        <f ca="1">_xludf.IFNA(_xlfn.XLOOKUP(C190,'00_SKU_Master'!$B$2:$B$378,'00_SKU_Master'!$F$2:$F$378,0)*Y190,"")</f>
        <v>#NAME?</v>
      </c>
      <c r="E188" s="552" t="e">
        <f ca="1">_xludf.IFNA(_xlfn.XLOOKUP(C190,'00_SKU_Master'!$B$2:$B$378,'00_SKU_Master'!$F$2:$F$378,0)*Z190,"")</f>
        <v>#NAME?</v>
      </c>
      <c r="F188" s="552" t="e">
        <f ca="1">_xludf.IFNA(_xlfn.XLOOKUP(C190,'00_SKU_Master'!$B$2:$B$378,'00_SKU_Master'!$F$2:$F$378,0)*AA190,"")</f>
        <v>#NAME?</v>
      </c>
      <c r="G188" s="552" t="e">
        <f ca="1">_xludf.IFNA(_xlfn.XLOOKUP(C190,'00_SKU_Master'!$B$2:$B$378,'00_SKU_Master'!$F$2:$F$378,0)*AB190,"")</f>
        <v>#NAME?</v>
      </c>
      <c r="H188" s="552" t="e">
        <f ca="1">_xludf.IFNA(_xlfn.XLOOKUP(C190,'00_SKU_Master'!$B$2:$B$378,'00_SKU_Master'!$F$2:$F$378,0)*AC190,"")</f>
        <v>#NAME?</v>
      </c>
      <c r="I188" s="552" t="e">
        <f ca="1">_xludf.IFNA(_xlfn.XLOOKUP(C190,'00_SKU_Master'!$B$2:$B$378,'00_SKU_Master'!$F$2:$F$378,0)*AD190,"")</f>
        <v>#NAME?</v>
      </c>
      <c r="J188" s="552" t="e">
        <f ca="1">_xludf.IFNA(_xlfn.XLOOKUP(C190,'00_SKU_Master'!$B$2:$B$378,'00_SKU_Master'!$F$2:$F$378,0)*AE190,"")</f>
        <v>#NAME?</v>
      </c>
      <c r="K188" s="553" t="e">
        <f t="shared" ca="1" si="13"/>
        <v>#NAME?</v>
      </c>
      <c r="L188" s="187" t="e">
        <f>_xlfn.XLOOKUP(C190,'00_SKU_Master'!$B$2:$B$378,'00_SKU_Master'!K:K)</f>
        <v>#VALUE!</v>
      </c>
      <c r="M188" s="14">
        <f t="shared" si="14"/>
        <v>7827</v>
      </c>
      <c r="N188" s="147" t="e">
        <f ca="1">_xludf.IFNA(D190/_xlfn.XLOOKUP($M190,'00_SKU_Master'!$B$2:$B$378,'00_SKU_Master'!$M$2:$M$378,0)/$M$2,"0")</f>
        <v>#NAME?</v>
      </c>
      <c r="O188" s="147" t="e">
        <f ca="1">_xludf.IFNA(E190/_xlfn.XLOOKUP($M190,'00_SKU_Master'!$B$2:$B$378,'00_SKU_Master'!$M$2:$M$378,0)/$M$2,"0")</f>
        <v>#NAME?</v>
      </c>
      <c r="P188" s="147" t="e">
        <f ca="1">_xludf.IFNA(F190/_xlfn.XLOOKUP($M190,'00_SKU_Master'!$B$2:$B$378,'00_SKU_Master'!$M$2:$M$378,0)/$M$2,"0")</f>
        <v>#NAME?</v>
      </c>
      <c r="Q188" s="147" t="e">
        <f ca="1">_xludf.IFNA(G190/_xlfn.XLOOKUP($M190,'00_SKU_Master'!$B$2:$B$378,'00_SKU_Master'!$M$2:$M$378,0)/$M$2,"0")</f>
        <v>#NAME?</v>
      </c>
      <c r="R188" s="147" t="e">
        <f ca="1">_xludf.IFNA(H190/_xlfn.XLOOKUP($M190,'00_SKU_Master'!$B$2:$B$378,'00_SKU_Master'!$M$2:$M$378,0)/$M$2,"0")</f>
        <v>#NAME?</v>
      </c>
      <c r="S188" s="147" t="e">
        <f ca="1">_xludf.IFNA(I190/_xlfn.XLOOKUP($M190,'00_SKU_Master'!$B$2:$B$378,'00_SKU_Master'!$M$2:$M$378,0)/$M$2,"0")</f>
        <v>#NAME?</v>
      </c>
      <c r="T188" s="147" t="e">
        <f ca="1">_xludf.IFNA(J190/_xlfn.XLOOKUP($M190,'00_SKU_Master'!$B$2:$B$378,'00_SKU_Master'!$M$2:$M$378,0)/$M$2,"0")</f>
        <v>#NAME?</v>
      </c>
      <c r="U188" s="147" t="e">
        <f t="shared" ca="1" si="15"/>
        <v>#NAME?</v>
      </c>
      <c r="V188" s="4"/>
      <c r="W188" s="4" t="e">
        <f>_xlfn.XLOOKUP(M190,'00_SKU_Master'!$B$2:$B$378,'00_SKU_Master'!D:D)</f>
        <v>#VALUE!</v>
      </c>
      <c r="X188" s="14">
        <f>'05_Daily_Orders'!B189</f>
        <v>7825</v>
      </c>
      <c r="Y188" s="554"/>
      <c r="Z188" s="555"/>
      <c r="AA188" s="555"/>
      <c r="AB188" s="555"/>
      <c r="AC188" s="555">
        <v>81</v>
      </c>
      <c r="AD188" s="555">
        <v>82</v>
      </c>
      <c r="AE188" s="555">
        <v>56</v>
      </c>
      <c r="AF188" s="553">
        <f t="shared" si="16"/>
        <v>1415</v>
      </c>
      <c r="AQ188" s="23">
        <v>0</v>
      </c>
      <c r="AR188" s="23">
        <v>0</v>
      </c>
      <c r="AS188" s="23">
        <f t="shared" si="17"/>
        <v>-275</v>
      </c>
    </row>
    <row r="189" spans="1:45">
      <c r="A189" s="138" t="str">
        <f>_xlfn.XLOOKUP(C191,'00_SKU_Master'!$B$2:$B$378,'00_SKU_Master'!$C$2:$C$378)</f>
        <v>61086F</v>
      </c>
      <c r="B189" s="138"/>
      <c r="C189" s="138">
        <f t="shared" si="12"/>
        <v>7828</v>
      </c>
      <c r="D189" s="552" t="e">
        <f ca="1">_xludf.IFNA(_xlfn.XLOOKUP(C191,'00_SKU_Master'!$B$2:$B$378,'00_SKU_Master'!$F$2:$F$378,0)*Y191,"")</f>
        <v>#NAME?</v>
      </c>
      <c r="E189" s="552" t="e">
        <f ca="1">_xludf.IFNA(_xlfn.XLOOKUP(C191,'00_SKU_Master'!$B$2:$B$378,'00_SKU_Master'!$F$2:$F$378,0)*Z191,"")</f>
        <v>#NAME?</v>
      </c>
      <c r="F189" s="552" t="e">
        <f ca="1">_xludf.IFNA(_xlfn.XLOOKUP(C191,'00_SKU_Master'!$B$2:$B$378,'00_SKU_Master'!$F$2:$F$378,0)*AA191,"")</f>
        <v>#NAME?</v>
      </c>
      <c r="G189" s="552" t="e">
        <f ca="1">_xludf.IFNA(_xlfn.XLOOKUP(C191,'00_SKU_Master'!$B$2:$B$378,'00_SKU_Master'!$F$2:$F$378,0)*AB191,"")</f>
        <v>#NAME?</v>
      </c>
      <c r="H189" s="552" t="e">
        <f ca="1">_xludf.IFNA(_xlfn.XLOOKUP(C191,'00_SKU_Master'!$B$2:$B$378,'00_SKU_Master'!$F$2:$F$378,0)*AC191,"")</f>
        <v>#NAME?</v>
      </c>
      <c r="I189" s="552" t="e">
        <f ca="1">_xludf.IFNA(_xlfn.XLOOKUP(C191,'00_SKU_Master'!$B$2:$B$378,'00_SKU_Master'!$F$2:$F$378,0)*AD191,"")</f>
        <v>#NAME?</v>
      </c>
      <c r="J189" s="552" t="e">
        <f ca="1">_xludf.IFNA(_xlfn.XLOOKUP(C191,'00_SKU_Master'!$B$2:$B$378,'00_SKU_Master'!$F$2:$F$378,0)*AE191,"")</f>
        <v>#NAME?</v>
      </c>
      <c r="K189" s="553" t="e">
        <f t="shared" ca="1" si="13"/>
        <v>#NAME?</v>
      </c>
      <c r="L189" s="187" t="e">
        <f>_xlfn.XLOOKUP(C191,'00_SKU_Master'!$B$2:$B$378,'00_SKU_Master'!K:K)</f>
        <v>#VALUE!</v>
      </c>
      <c r="M189" s="14">
        <f t="shared" si="14"/>
        <v>7828</v>
      </c>
      <c r="N189" s="147" t="e">
        <f ca="1">_xludf.IFNA(D191/_xlfn.XLOOKUP($M191,'00_SKU_Master'!$B$2:$B$378,'00_SKU_Master'!$M$2:$M$378,0)/$M$2,"0")</f>
        <v>#NAME?</v>
      </c>
      <c r="O189" s="147" t="e">
        <f ca="1">_xludf.IFNA(E191/_xlfn.XLOOKUP($M191,'00_SKU_Master'!$B$2:$B$378,'00_SKU_Master'!$M$2:$M$378,0)/$M$2,"0")</f>
        <v>#NAME?</v>
      </c>
      <c r="P189" s="147" t="e">
        <f ca="1">_xludf.IFNA(F191/_xlfn.XLOOKUP($M191,'00_SKU_Master'!$B$2:$B$378,'00_SKU_Master'!$M$2:$M$378,0)/$M$2,"0")</f>
        <v>#NAME?</v>
      </c>
      <c r="Q189" s="147" t="e">
        <f ca="1">_xludf.IFNA(G191/_xlfn.XLOOKUP($M191,'00_SKU_Master'!$B$2:$B$378,'00_SKU_Master'!$M$2:$M$378,0)/$M$2,"0")</f>
        <v>#NAME?</v>
      </c>
      <c r="R189" s="147" t="e">
        <f ca="1">_xludf.IFNA(H191/_xlfn.XLOOKUP($M191,'00_SKU_Master'!$B$2:$B$378,'00_SKU_Master'!$M$2:$M$378,0)/$M$2,"0")</f>
        <v>#NAME?</v>
      </c>
      <c r="S189" s="147" t="e">
        <f ca="1">_xludf.IFNA(I191/_xlfn.XLOOKUP($M191,'00_SKU_Master'!$B$2:$B$378,'00_SKU_Master'!$M$2:$M$378,0)/$M$2,"0")</f>
        <v>#NAME?</v>
      </c>
      <c r="T189" s="147" t="e">
        <f ca="1">_xludf.IFNA(J191/_xlfn.XLOOKUP($M191,'00_SKU_Master'!$B$2:$B$378,'00_SKU_Master'!$M$2:$M$378,0)/$M$2,"0")</f>
        <v>#NAME?</v>
      </c>
      <c r="U189" s="147" t="e">
        <f t="shared" ca="1" si="15"/>
        <v>#NAME?</v>
      </c>
      <c r="V189" s="4"/>
      <c r="W189" s="4" t="e">
        <f>_xlfn.XLOOKUP(M191,'00_SKU_Master'!$B$2:$B$378,'00_SKU_Master'!D:D)</f>
        <v>#VALUE!</v>
      </c>
      <c r="X189" s="14">
        <f>'05_Daily_Orders'!B190</f>
        <v>7826</v>
      </c>
      <c r="Y189" s="554"/>
      <c r="Z189" s="555"/>
      <c r="AA189" s="555"/>
      <c r="AB189" s="555"/>
      <c r="AC189" s="555">
        <v>145</v>
      </c>
      <c r="AD189" s="555">
        <v>140</v>
      </c>
      <c r="AE189" s="555">
        <v>87</v>
      </c>
      <c r="AF189" s="553">
        <f t="shared" si="16"/>
        <v>329</v>
      </c>
      <c r="AQ189" s="23">
        <v>0</v>
      </c>
      <c r="AR189" s="23">
        <v>32</v>
      </c>
      <c r="AS189" s="23">
        <f t="shared" si="17"/>
        <v>-295</v>
      </c>
    </row>
    <row r="190" spans="1:45">
      <c r="A190" s="138" t="str">
        <f>_xlfn.XLOOKUP(C192,'00_SKU_Master'!$B$2:$B$378,'00_SKU_Master'!$C$2:$C$378)</f>
        <v>61050F</v>
      </c>
      <c r="B190" s="138"/>
      <c r="C190" s="138">
        <f t="shared" si="12"/>
        <v>7829</v>
      </c>
      <c r="D190" s="552" t="e">
        <f ca="1">_xludf.IFNA(_xlfn.XLOOKUP(C192,'00_SKU_Master'!$B$2:$B$378,'00_SKU_Master'!$F$2:$F$378,0)*Y192,"")</f>
        <v>#NAME?</v>
      </c>
      <c r="E190" s="552" t="e">
        <f ca="1">_xludf.IFNA(_xlfn.XLOOKUP(C192,'00_SKU_Master'!$B$2:$B$378,'00_SKU_Master'!$F$2:$F$378,0)*Z192,"")</f>
        <v>#NAME?</v>
      </c>
      <c r="F190" s="552" t="e">
        <f ca="1">_xludf.IFNA(_xlfn.XLOOKUP(C192,'00_SKU_Master'!$B$2:$B$378,'00_SKU_Master'!$F$2:$F$378,0)*AA192,"")</f>
        <v>#NAME?</v>
      </c>
      <c r="G190" s="552" t="e">
        <f ca="1">_xludf.IFNA(_xlfn.XLOOKUP(C192,'00_SKU_Master'!$B$2:$B$378,'00_SKU_Master'!$F$2:$F$378,0)*AB192,"")</f>
        <v>#NAME?</v>
      </c>
      <c r="H190" s="552" t="e">
        <f ca="1">_xludf.IFNA(_xlfn.XLOOKUP(C192,'00_SKU_Master'!$B$2:$B$378,'00_SKU_Master'!$F$2:$F$378,0)*AC192,"")</f>
        <v>#NAME?</v>
      </c>
      <c r="I190" s="552" t="e">
        <f ca="1">_xludf.IFNA(_xlfn.XLOOKUP(C192,'00_SKU_Master'!$B$2:$B$378,'00_SKU_Master'!$F$2:$F$378,0)*AD192,"")</f>
        <v>#NAME?</v>
      </c>
      <c r="J190" s="552" t="e">
        <f ca="1">_xludf.IFNA(_xlfn.XLOOKUP(C192,'00_SKU_Master'!$B$2:$B$378,'00_SKU_Master'!$F$2:$F$378,0)*AE192,"")</f>
        <v>#NAME?</v>
      </c>
      <c r="K190" s="553" t="e">
        <f t="shared" ca="1" si="13"/>
        <v>#NAME?</v>
      </c>
      <c r="L190" s="187" t="e">
        <f>_xlfn.XLOOKUP(C192,'00_SKU_Master'!$B$2:$B$378,'00_SKU_Master'!K:K)</f>
        <v>#VALUE!</v>
      </c>
      <c r="M190" s="14">
        <f t="shared" si="14"/>
        <v>7829</v>
      </c>
      <c r="N190" s="147" t="e">
        <f ca="1">_xludf.IFNA(D192/_xlfn.XLOOKUP($M192,'00_SKU_Master'!$B$2:$B$378,'00_SKU_Master'!$M$2:$M$378,0)/$M$2,"0")</f>
        <v>#NAME?</v>
      </c>
      <c r="O190" s="147" t="e">
        <f ca="1">_xludf.IFNA(E192/_xlfn.XLOOKUP($M192,'00_SKU_Master'!$B$2:$B$378,'00_SKU_Master'!$M$2:$M$378,0)/$M$2,"0")</f>
        <v>#NAME?</v>
      </c>
      <c r="P190" s="147" t="e">
        <f ca="1">_xludf.IFNA(F192/_xlfn.XLOOKUP($M192,'00_SKU_Master'!$B$2:$B$378,'00_SKU_Master'!$M$2:$M$378,0)/$M$2,"0")</f>
        <v>#NAME?</v>
      </c>
      <c r="Q190" s="147" t="e">
        <f ca="1">_xludf.IFNA(G192/_xlfn.XLOOKUP($M192,'00_SKU_Master'!$B$2:$B$378,'00_SKU_Master'!$M$2:$M$378,0)/$M$2,"0")</f>
        <v>#NAME?</v>
      </c>
      <c r="R190" s="147" t="e">
        <f ca="1">_xludf.IFNA(H192/_xlfn.XLOOKUP($M192,'00_SKU_Master'!$B$2:$B$378,'00_SKU_Master'!$M$2:$M$378,0)/$M$2,"0")</f>
        <v>#NAME?</v>
      </c>
      <c r="S190" s="147" t="e">
        <f ca="1">_xludf.IFNA(I192/_xlfn.XLOOKUP($M192,'00_SKU_Master'!$B$2:$B$378,'00_SKU_Master'!$M$2:$M$378,0)/$M$2,"0")</f>
        <v>#NAME?</v>
      </c>
      <c r="T190" s="147" t="e">
        <f ca="1">_xludf.IFNA(J192/_xlfn.XLOOKUP($M192,'00_SKU_Master'!$B$2:$B$378,'00_SKU_Master'!$M$2:$M$378,0)/$M$2,"0")</f>
        <v>#NAME?</v>
      </c>
      <c r="U190" s="147" t="e">
        <f t="shared" ca="1" si="15"/>
        <v>#NAME?</v>
      </c>
      <c r="V190" s="4"/>
      <c r="W190" s="4" t="e">
        <f>_xlfn.XLOOKUP(M192,'00_SKU_Master'!$B$2:$B$378,'00_SKU_Master'!D:D)</f>
        <v>#VALUE!</v>
      </c>
      <c r="X190" s="14">
        <f>'05_Daily_Orders'!B191</f>
        <v>7827</v>
      </c>
      <c r="Y190" s="554"/>
      <c r="Z190" s="555"/>
      <c r="AA190" s="555"/>
      <c r="AB190" s="555"/>
      <c r="AC190" s="555">
        <v>522</v>
      </c>
      <c r="AD190" s="555">
        <v>556</v>
      </c>
      <c r="AE190" s="555">
        <v>337</v>
      </c>
      <c r="AF190" s="553">
        <f t="shared" si="16"/>
        <v>0</v>
      </c>
      <c r="AQ190" s="23">
        <v>275</v>
      </c>
      <c r="AR190" s="23">
        <v>0</v>
      </c>
      <c r="AS190" s="23">
        <f t="shared" si="17"/>
        <v>0</v>
      </c>
    </row>
    <row r="191" spans="1:45">
      <c r="A191" s="138">
        <f>_xlfn.XLOOKUP(C193,'00_SKU_Master'!$B$2:$B$378,'00_SKU_Master'!$C$2:$C$378)</f>
        <v>203135</v>
      </c>
      <c r="B191" s="138"/>
      <c r="C191" s="138">
        <f t="shared" si="12"/>
        <v>7830</v>
      </c>
      <c r="D191" s="552" t="e">
        <f ca="1">_xludf.IFNA(_xlfn.XLOOKUP(C193,'00_SKU_Master'!$B$2:$B$378,'00_SKU_Master'!$F$2:$F$378,0)*Y193,"")</f>
        <v>#NAME?</v>
      </c>
      <c r="E191" s="552" t="e">
        <f ca="1">_xludf.IFNA(_xlfn.XLOOKUP(C193,'00_SKU_Master'!$B$2:$B$378,'00_SKU_Master'!$F$2:$F$378,0)*Z193,"")</f>
        <v>#NAME?</v>
      </c>
      <c r="F191" s="552" t="e">
        <f ca="1">_xludf.IFNA(_xlfn.XLOOKUP(C193,'00_SKU_Master'!$B$2:$B$378,'00_SKU_Master'!$F$2:$F$378,0)*AA193,"")</f>
        <v>#NAME?</v>
      </c>
      <c r="G191" s="552" t="e">
        <f ca="1">_xludf.IFNA(_xlfn.XLOOKUP(C193,'00_SKU_Master'!$B$2:$B$378,'00_SKU_Master'!$F$2:$F$378,0)*AB193,"")</f>
        <v>#NAME?</v>
      </c>
      <c r="H191" s="552" t="e">
        <f ca="1">_xludf.IFNA(_xlfn.XLOOKUP(C193,'00_SKU_Master'!$B$2:$B$378,'00_SKU_Master'!$F$2:$F$378,0)*AC193,"")</f>
        <v>#NAME?</v>
      </c>
      <c r="I191" s="552" t="e">
        <f ca="1">_xludf.IFNA(_xlfn.XLOOKUP(C193,'00_SKU_Master'!$B$2:$B$378,'00_SKU_Master'!$F$2:$F$378,0)*AD193,"")</f>
        <v>#NAME?</v>
      </c>
      <c r="J191" s="552" t="e">
        <f ca="1">_xludf.IFNA(_xlfn.XLOOKUP(C193,'00_SKU_Master'!$B$2:$B$378,'00_SKU_Master'!$F$2:$F$378,0)*AE193,"")</f>
        <v>#NAME?</v>
      </c>
      <c r="K191" s="553" t="e">
        <f t="shared" ca="1" si="13"/>
        <v>#NAME?</v>
      </c>
      <c r="L191" s="187" t="e">
        <f>_xlfn.XLOOKUP(C193,'00_SKU_Master'!$B$2:$B$378,'00_SKU_Master'!K:K)</f>
        <v>#VALUE!</v>
      </c>
      <c r="M191" s="14">
        <f t="shared" si="14"/>
        <v>7830</v>
      </c>
      <c r="N191" s="147" t="e">
        <f ca="1">_xludf.IFNA(D193/_xlfn.XLOOKUP($M193,'00_SKU_Master'!$B$2:$B$378,'00_SKU_Master'!$M$2:$M$378,0)/$M$2,"0")</f>
        <v>#NAME?</v>
      </c>
      <c r="O191" s="147" t="e">
        <f ca="1">_xludf.IFNA(E193/_xlfn.XLOOKUP($M193,'00_SKU_Master'!$B$2:$B$378,'00_SKU_Master'!$M$2:$M$378,0)/$M$2,"0")</f>
        <v>#NAME?</v>
      </c>
      <c r="P191" s="147" t="e">
        <f ca="1">_xludf.IFNA(F193/_xlfn.XLOOKUP($M193,'00_SKU_Master'!$B$2:$B$378,'00_SKU_Master'!$M$2:$M$378,0)/$M$2,"0")</f>
        <v>#NAME?</v>
      </c>
      <c r="Q191" s="147" t="e">
        <f ca="1">_xludf.IFNA(G193/_xlfn.XLOOKUP($M193,'00_SKU_Master'!$B$2:$B$378,'00_SKU_Master'!$M$2:$M$378,0)/$M$2,"0")</f>
        <v>#NAME?</v>
      </c>
      <c r="R191" s="147" t="e">
        <f ca="1">_xludf.IFNA(H193/_xlfn.XLOOKUP($M193,'00_SKU_Master'!$B$2:$B$378,'00_SKU_Master'!$M$2:$M$378,0)/$M$2,"0")</f>
        <v>#NAME?</v>
      </c>
      <c r="S191" s="147" t="e">
        <f ca="1">_xludf.IFNA(I193/_xlfn.XLOOKUP($M193,'00_SKU_Master'!$B$2:$B$378,'00_SKU_Master'!$M$2:$M$378,0)/$M$2,"0")</f>
        <v>#NAME?</v>
      </c>
      <c r="T191" s="147" t="e">
        <f ca="1">_xludf.IFNA(J193/_xlfn.XLOOKUP($M193,'00_SKU_Master'!$B$2:$B$378,'00_SKU_Master'!$M$2:$M$378,0)/$M$2,"0")</f>
        <v>#NAME?</v>
      </c>
      <c r="U191" s="147" t="e">
        <f t="shared" ca="1" si="15"/>
        <v>#NAME?</v>
      </c>
      <c r="V191" s="4"/>
      <c r="W191" s="4" t="e">
        <f>_xlfn.XLOOKUP(M193,'00_SKU_Master'!$B$2:$B$378,'00_SKU_Master'!D:D)</f>
        <v>#VALUE!</v>
      </c>
      <c r="X191" s="14">
        <f>'05_Daily_Orders'!B192</f>
        <v>7828</v>
      </c>
      <c r="Y191" s="554"/>
      <c r="Z191" s="555"/>
      <c r="AA191" s="555"/>
      <c r="AB191" s="555"/>
      <c r="AC191" s="555">
        <v>164</v>
      </c>
      <c r="AD191" s="555">
        <v>84</v>
      </c>
      <c r="AE191" s="555">
        <v>81</v>
      </c>
      <c r="AF191" s="553">
        <f t="shared" si="16"/>
        <v>132</v>
      </c>
      <c r="AQ191" s="23">
        <v>295</v>
      </c>
      <c r="AR191" s="23">
        <v>0</v>
      </c>
      <c r="AS191" s="23">
        <f t="shared" si="17"/>
        <v>0</v>
      </c>
    </row>
    <row r="192" spans="1:45">
      <c r="A192" s="138">
        <f>_xlfn.XLOOKUP(C194,'00_SKU_Master'!$B$2:$B$378,'00_SKU_Master'!$C$2:$C$378)</f>
        <v>203135</v>
      </c>
      <c r="B192" s="138"/>
      <c r="C192" s="138">
        <f t="shared" si="12"/>
        <v>7831</v>
      </c>
      <c r="D192" s="552" t="e">
        <f ca="1">_xludf.IFNA(_xlfn.XLOOKUP(C194,'00_SKU_Master'!$B$2:$B$378,'00_SKU_Master'!$F$2:$F$378,0)*Y194,"")</f>
        <v>#NAME?</v>
      </c>
      <c r="E192" s="552" t="e">
        <f ca="1">_xludf.IFNA(_xlfn.XLOOKUP(C194,'00_SKU_Master'!$B$2:$B$378,'00_SKU_Master'!$F$2:$F$378,0)*Z194,"")</f>
        <v>#NAME?</v>
      </c>
      <c r="F192" s="552" t="e">
        <f ca="1">_xludf.IFNA(_xlfn.XLOOKUP(C194,'00_SKU_Master'!$B$2:$B$378,'00_SKU_Master'!$F$2:$F$378,0)*AA194,"")</f>
        <v>#NAME?</v>
      </c>
      <c r="G192" s="552" t="e">
        <f ca="1">_xludf.IFNA(_xlfn.XLOOKUP(C194,'00_SKU_Master'!$B$2:$B$378,'00_SKU_Master'!$F$2:$F$378,0)*AB194,"")</f>
        <v>#NAME?</v>
      </c>
      <c r="H192" s="552" t="e">
        <f ca="1">_xludf.IFNA(_xlfn.XLOOKUP(C194,'00_SKU_Master'!$B$2:$B$378,'00_SKU_Master'!$F$2:$F$378,0)*AC194,"")</f>
        <v>#NAME?</v>
      </c>
      <c r="I192" s="552" t="e">
        <f ca="1">_xludf.IFNA(_xlfn.XLOOKUP(C194,'00_SKU_Master'!$B$2:$B$378,'00_SKU_Master'!$F$2:$F$378,0)*AD194,"")</f>
        <v>#NAME?</v>
      </c>
      <c r="J192" s="552" t="e">
        <f ca="1">_xludf.IFNA(_xlfn.XLOOKUP(C194,'00_SKU_Master'!$B$2:$B$378,'00_SKU_Master'!$F$2:$F$378,0)*AE194,"")</f>
        <v>#NAME?</v>
      </c>
      <c r="K192" s="553" t="e">
        <f t="shared" ca="1" si="13"/>
        <v>#NAME?</v>
      </c>
      <c r="L192" s="187" t="e">
        <f>_xlfn.XLOOKUP(C194,'00_SKU_Master'!$B$2:$B$378,'00_SKU_Master'!K:K)</f>
        <v>#VALUE!</v>
      </c>
      <c r="M192" s="14">
        <f t="shared" si="14"/>
        <v>7831</v>
      </c>
      <c r="N192" s="147" t="e">
        <f ca="1">_xludf.IFNA(D194/_xlfn.XLOOKUP($M194,'00_SKU_Master'!$B$2:$B$378,'00_SKU_Master'!$M$2:$M$378,0)/$M$2,"0")</f>
        <v>#NAME?</v>
      </c>
      <c r="O192" s="147" t="e">
        <f ca="1">_xludf.IFNA(E194/_xlfn.XLOOKUP($M194,'00_SKU_Master'!$B$2:$B$378,'00_SKU_Master'!$M$2:$M$378,0)/$M$2,"0")</f>
        <v>#NAME?</v>
      </c>
      <c r="P192" s="147" t="e">
        <f ca="1">_xludf.IFNA(F194/_xlfn.XLOOKUP($M194,'00_SKU_Master'!$B$2:$B$378,'00_SKU_Master'!$M$2:$M$378,0)/$M$2,"0")</f>
        <v>#NAME?</v>
      </c>
      <c r="Q192" s="147" t="e">
        <f ca="1">_xludf.IFNA(G194/_xlfn.XLOOKUP($M194,'00_SKU_Master'!$B$2:$B$378,'00_SKU_Master'!$M$2:$M$378,0)/$M$2,"0")</f>
        <v>#NAME?</v>
      </c>
      <c r="R192" s="147" t="e">
        <f ca="1">_xludf.IFNA(H194/_xlfn.XLOOKUP($M194,'00_SKU_Master'!$B$2:$B$378,'00_SKU_Master'!$M$2:$M$378,0)/$M$2,"0")</f>
        <v>#NAME?</v>
      </c>
      <c r="S192" s="147" t="e">
        <f ca="1">_xludf.IFNA(I194/_xlfn.XLOOKUP($M194,'00_SKU_Master'!$B$2:$B$378,'00_SKU_Master'!$M$2:$M$378,0)/$M$2,"0")</f>
        <v>#NAME?</v>
      </c>
      <c r="T192" s="147" t="e">
        <f ca="1">_xludf.IFNA(J194/_xlfn.XLOOKUP($M194,'00_SKU_Master'!$B$2:$B$378,'00_SKU_Master'!$M$2:$M$378,0)/$M$2,"0")</f>
        <v>#NAME?</v>
      </c>
      <c r="U192" s="147" t="e">
        <f t="shared" ca="1" si="15"/>
        <v>#NAME?</v>
      </c>
      <c r="V192" s="4"/>
      <c r="W192" s="4" t="e">
        <f>_xlfn.XLOOKUP(M194,'00_SKU_Master'!$B$2:$B$378,'00_SKU_Master'!D:D)</f>
        <v>#VALUE!</v>
      </c>
      <c r="X192" s="14">
        <f>'05_Daily_Orders'!B193</f>
        <v>7829</v>
      </c>
      <c r="Y192" s="554"/>
      <c r="Z192" s="555"/>
      <c r="AA192" s="555"/>
      <c r="AB192" s="555"/>
      <c r="AC192" s="555">
        <v>0</v>
      </c>
      <c r="AD192" s="555">
        <v>0</v>
      </c>
      <c r="AE192" s="555">
        <v>0</v>
      </c>
      <c r="AF192" s="553">
        <f t="shared" si="16"/>
        <v>956</v>
      </c>
      <c r="AQ192" s="23">
        <v>0</v>
      </c>
      <c r="AR192" s="23">
        <v>0</v>
      </c>
      <c r="AS192" s="23">
        <f t="shared" si="17"/>
        <v>0</v>
      </c>
    </row>
    <row r="193" spans="1:45">
      <c r="A193" s="138" t="str">
        <f>_xlfn.XLOOKUP(C195,'00_SKU_Master'!$B$2:$B$378,'00_SKU_Master'!$C$2:$C$378)</f>
        <v>61050F</v>
      </c>
      <c r="B193" s="138"/>
      <c r="C193" s="138">
        <f t="shared" si="12"/>
        <v>7833</v>
      </c>
      <c r="D193" s="552" t="e">
        <f ca="1">_xludf.IFNA(_xlfn.XLOOKUP(C195,'00_SKU_Master'!$B$2:$B$378,'00_SKU_Master'!$F$2:$F$378,0)*Y195,"")</f>
        <v>#NAME?</v>
      </c>
      <c r="E193" s="552" t="e">
        <f ca="1">_xludf.IFNA(_xlfn.XLOOKUP(C195,'00_SKU_Master'!$B$2:$B$378,'00_SKU_Master'!$F$2:$F$378,0)*Z195,"")</f>
        <v>#NAME?</v>
      </c>
      <c r="F193" s="552" t="e">
        <f ca="1">_xludf.IFNA(_xlfn.XLOOKUP(C195,'00_SKU_Master'!$B$2:$B$378,'00_SKU_Master'!$F$2:$F$378,0)*AA195,"")</f>
        <v>#NAME?</v>
      </c>
      <c r="G193" s="552" t="e">
        <f ca="1">_xludf.IFNA(_xlfn.XLOOKUP(C195,'00_SKU_Master'!$B$2:$B$378,'00_SKU_Master'!$F$2:$F$378,0)*AB195,"")</f>
        <v>#NAME?</v>
      </c>
      <c r="H193" s="552" t="e">
        <f ca="1">_xludf.IFNA(_xlfn.XLOOKUP(C195,'00_SKU_Master'!$B$2:$B$378,'00_SKU_Master'!$F$2:$F$378,0)*AC195,"")</f>
        <v>#NAME?</v>
      </c>
      <c r="I193" s="552" t="e">
        <f ca="1">_xludf.IFNA(_xlfn.XLOOKUP(C195,'00_SKU_Master'!$B$2:$B$378,'00_SKU_Master'!$F$2:$F$378,0)*AD195,"")</f>
        <v>#NAME?</v>
      </c>
      <c r="J193" s="552" t="e">
        <f ca="1">_xludf.IFNA(_xlfn.XLOOKUP(C195,'00_SKU_Master'!$B$2:$B$378,'00_SKU_Master'!$F$2:$F$378,0)*AE195,"")</f>
        <v>#NAME?</v>
      </c>
      <c r="K193" s="553" t="e">
        <f t="shared" ca="1" si="13"/>
        <v>#NAME?</v>
      </c>
      <c r="L193" s="187" t="e">
        <f>_xlfn.XLOOKUP(C195,'00_SKU_Master'!$B$2:$B$378,'00_SKU_Master'!K:K)</f>
        <v>#VALUE!</v>
      </c>
      <c r="M193" s="14">
        <f t="shared" si="14"/>
        <v>7833</v>
      </c>
      <c r="N193" s="147" t="e">
        <f ca="1">_xludf.IFNA(D195/_xlfn.XLOOKUP($M195,'00_SKU_Master'!$B$2:$B$378,'00_SKU_Master'!$M$2:$M$378,0)/$M$2,"0")</f>
        <v>#NAME?</v>
      </c>
      <c r="O193" s="147" t="e">
        <f ca="1">_xludf.IFNA(E195/_xlfn.XLOOKUP($M195,'00_SKU_Master'!$B$2:$B$378,'00_SKU_Master'!$M$2:$M$378,0)/$M$2,"0")</f>
        <v>#NAME?</v>
      </c>
      <c r="P193" s="147" t="e">
        <f ca="1">_xludf.IFNA(F195/_xlfn.XLOOKUP($M195,'00_SKU_Master'!$B$2:$B$378,'00_SKU_Master'!$M$2:$M$378,0)/$M$2,"0")</f>
        <v>#NAME?</v>
      </c>
      <c r="Q193" s="147" t="e">
        <f ca="1">_xludf.IFNA(G195/_xlfn.XLOOKUP($M195,'00_SKU_Master'!$B$2:$B$378,'00_SKU_Master'!$M$2:$M$378,0)/$M$2,"0")</f>
        <v>#NAME?</v>
      </c>
      <c r="R193" s="147" t="e">
        <f ca="1">_xludf.IFNA(H195/_xlfn.XLOOKUP($M195,'00_SKU_Master'!$B$2:$B$378,'00_SKU_Master'!$M$2:$M$378,0)/$M$2,"0")</f>
        <v>#NAME?</v>
      </c>
      <c r="S193" s="147" t="e">
        <f ca="1">_xludf.IFNA(I195/_xlfn.XLOOKUP($M195,'00_SKU_Master'!$B$2:$B$378,'00_SKU_Master'!$M$2:$M$378,0)/$M$2,"0")</f>
        <v>#NAME?</v>
      </c>
      <c r="T193" s="147" t="e">
        <f ca="1">_xludf.IFNA(J195/_xlfn.XLOOKUP($M195,'00_SKU_Master'!$B$2:$B$378,'00_SKU_Master'!$M$2:$M$378,0)/$M$2,"0")</f>
        <v>#NAME?</v>
      </c>
      <c r="U193" s="147" t="e">
        <f t="shared" ca="1" si="15"/>
        <v>#NAME?</v>
      </c>
      <c r="V193" s="4"/>
      <c r="W193" s="4" t="e">
        <f>_xlfn.XLOOKUP(M195,'00_SKU_Master'!$B$2:$B$378,'00_SKU_Master'!D:D)</f>
        <v>#VALUE!</v>
      </c>
      <c r="X193" s="14">
        <f>'05_Daily_Orders'!B194</f>
        <v>7830</v>
      </c>
      <c r="Y193" s="554"/>
      <c r="Z193" s="555"/>
      <c r="AA193" s="555"/>
      <c r="AB193" s="555"/>
      <c r="AC193" s="555">
        <v>73</v>
      </c>
      <c r="AD193" s="555">
        <v>27</v>
      </c>
      <c r="AE193" s="555">
        <v>32</v>
      </c>
      <c r="AF193" s="553">
        <f t="shared" si="16"/>
        <v>1353</v>
      </c>
      <c r="AQ193" s="23">
        <v>0</v>
      </c>
      <c r="AR193" s="23">
        <v>0</v>
      </c>
      <c r="AS193" s="23">
        <f t="shared" si="17"/>
        <v>0</v>
      </c>
    </row>
    <row r="194" spans="1:45">
      <c r="A194" s="138" t="str">
        <f>_xlfn.XLOOKUP(C196,'00_SKU_Master'!$B$2:$B$378,'00_SKU_Master'!$C$2:$C$378)</f>
        <v>61050F</v>
      </c>
      <c r="B194" s="138"/>
      <c r="C194" s="138">
        <f t="shared" ref="C194:C257" si="18">X196</f>
        <v>7834</v>
      </c>
      <c r="D194" s="552" t="e">
        <f ca="1">_xludf.IFNA(_xlfn.XLOOKUP(C196,'00_SKU_Master'!$B$2:$B$378,'00_SKU_Master'!$F$2:$F$378,0)*Y196,"")</f>
        <v>#NAME?</v>
      </c>
      <c r="E194" s="552" t="e">
        <f ca="1">_xludf.IFNA(_xlfn.XLOOKUP(C196,'00_SKU_Master'!$B$2:$B$378,'00_SKU_Master'!$F$2:$F$378,0)*Z196,"")</f>
        <v>#NAME?</v>
      </c>
      <c r="F194" s="552" t="e">
        <f ca="1">_xludf.IFNA(_xlfn.XLOOKUP(C196,'00_SKU_Master'!$B$2:$B$378,'00_SKU_Master'!$F$2:$F$378,0)*AA196,"")</f>
        <v>#NAME?</v>
      </c>
      <c r="G194" s="552" t="e">
        <f ca="1">_xludf.IFNA(_xlfn.XLOOKUP(C196,'00_SKU_Master'!$B$2:$B$378,'00_SKU_Master'!$F$2:$F$378,0)*AB196,"")</f>
        <v>#NAME?</v>
      </c>
      <c r="H194" s="552" t="e">
        <f ca="1">_xludf.IFNA(_xlfn.XLOOKUP(C196,'00_SKU_Master'!$B$2:$B$378,'00_SKU_Master'!$F$2:$F$378,0)*AC196,"")</f>
        <v>#NAME?</v>
      </c>
      <c r="I194" s="552" t="e">
        <f ca="1">_xludf.IFNA(_xlfn.XLOOKUP(C196,'00_SKU_Master'!$B$2:$B$378,'00_SKU_Master'!$F$2:$F$378,0)*AD196,"")</f>
        <v>#NAME?</v>
      </c>
      <c r="J194" s="552" t="e">
        <f ca="1">_xludf.IFNA(_xlfn.XLOOKUP(C196,'00_SKU_Master'!$B$2:$B$378,'00_SKU_Master'!$F$2:$F$378,0)*AE196,"")</f>
        <v>#NAME?</v>
      </c>
      <c r="K194" s="553" t="e">
        <f t="shared" ref="K194:K257" ca="1" si="19">SUM(D196:J196)</f>
        <v>#NAME?</v>
      </c>
      <c r="L194" s="187" t="e">
        <f>_xlfn.XLOOKUP(C196,'00_SKU_Master'!$B$2:$B$378,'00_SKU_Master'!K:K)</f>
        <v>#VALUE!</v>
      </c>
      <c r="M194" s="14">
        <f t="shared" ref="M194:M257" si="20">X196</f>
        <v>7834</v>
      </c>
      <c r="N194" s="147" t="e">
        <f ca="1">_xludf.IFNA(D196/_xlfn.XLOOKUP($M196,'00_SKU_Master'!$B$2:$B$378,'00_SKU_Master'!$M$2:$M$378,0)/$M$2,"0")</f>
        <v>#NAME?</v>
      </c>
      <c r="O194" s="147" t="e">
        <f ca="1">_xludf.IFNA(E196/_xlfn.XLOOKUP($M196,'00_SKU_Master'!$B$2:$B$378,'00_SKU_Master'!$M$2:$M$378,0)/$M$2,"0")</f>
        <v>#NAME?</v>
      </c>
      <c r="P194" s="147" t="e">
        <f ca="1">_xludf.IFNA(F196/_xlfn.XLOOKUP($M196,'00_SKU_Master'!$B$2:$B$378,'00_SKU_Master'!$M$2:$M$378,0)/$M$2,"0")</f>
        <v>#NAME?</v>
      </c>
      <c r="Q194" s="147" t="e">
        <f ca="1">_xludf.IFNA(G196/_xlfn.XLOOKUP($M196,'00_SKU_Master'!$B$2:$B$378,'00_SKU_Master'!$M$2:$M$378,0)/$M$2,"0")</f>
        <v>#NAME?</v>
      </c>
      <c r="R194" s="147" t="e">
        <f ca="1">_xludf.IFNA(H196/_xlfn.XLOOKUP($M196,'00_SKU_Master'!$B$2:$B$378,'00_SKU_Master'!$M$2:$M$378,0)/$M$2,"0")</f>
        <v>#NAME?</v>
      </c>
      <c r="S194" s="147" t="e">
        <f ca="1">_xludf.IFNA(I196/_xlfn.XLOOKUP($M196,'00_SKU_Master'!$B$2:$B$378,'00_SKU_Master'!$M$2:$M$378,0)/$M$2,"0")</f>
        <v>#NAME?</v>
      </c>
      <c r="T194" s="147" t="e">
        <f ca="1">_xludf.IFNA(J196/_xlfn.XLOOKUP($M196,'00_SKU_Master'!$B$2:$B$378,'00_SKU_Master'!$M$2:$M$378,0)/$M$2,"0")</f>
        <v>#NAME?</v>
      </c>
      <c r="U194" s="147" t="e">
        <f t="shared" ref="U194:U257" ca="1" si="21">SUM(N196:T196)</f>
        <v>#NAME?</v>
      </c>
      <c r="V194" s="4"/>
      <c r="W194" s="4" t="e">
        <f>_xlfn.XLOOKUP(M196,'00_SKU_Master'!$B$2:$B$378,'00_SKU_Master'!D:D)</f>
        <v>#VALUE!</v>
      </c>
      <c r="X194" s="14">
        <f>'05_Daily_Orders'!B195</f>
        <v>7831</v>
      </c>
      <c r="Y194" s="554"/>
      <c r="Z194" s="555"/>
      <c r="AA194" s="555"/>
      <c r="AB194" s="555"/>
      <c r="AC194" s="555">
        <v>360</v>
      </c>
      <c r="AD194" s="555">
        <v>355</v>
      </c>
      <c r="AE194" s="555">
        <v>241</v>
      </c>
      <c r="AF194" s="553">
        <f t="shared" ref="AF194:AF257" si="22">SUM(Y196:AE196)</f>
        <v>0</v>
      </c>
      <c r="AQ194" s="23">
        <v>0</v>
      </c>
      <c r="AR194" s="23">
        <v>0</v>
      </c>
      <c r="AS194" s="23">
        <f t="shared" ref="AS194:AS256" si="23">AR196-AQ196</f>
        <v>0</v>
      </c>
    </row>
    <row r="195" spans="1:45">
      <c r="A195" s="138" t="str">
        <f>_xlfn.XLOOKUP(C197,'00_SKU_Master'!$B$2:$B$378,'00_SKU_Master'!$C$2:$C$378)</f>
        <v>61050F</v>
      </c>
      <c r="B195" s="138"/>
      <c r="C195" s="138">
        <f t="shared" si="18"/>
        <v>7840</v>
      </c>
      <c r="D195" s="552" t="e">
        <f ca="1">_xludf.IFNA(_xlfn.XLOOKUP(C197,'00_SKU_Master'!$B$2:$B$378,'00_SKU_Master'!$F$2:$F$378,0)*Y197,"")</f>
        <v>#NAME?</v>
      </c>
      <c r="E195" s="552" t="e">
        <f ca="1">_xludf.IFNA(_xlfn.XLOOKUP(C197,'00_SKU_Master'!$B$2:$B$378,'00_SKU_Master'!$F$2:$F$378,0)*Z197,"")</f>
        <v>#NAME?</v>
      </c>
      <c r="F195" s="552" t="e">
        <f ca="1">_xludf.IFNA(_xlfn.XLOOKUP(C197,'00_SKU_Master'!$B$2:$B$378,'00_SKU_Master'!$F$2:$F$378,0)*AA197,"")</f>
        <v>#NAME?</v>
      </c>
      <c r="G195" s="552" t="e">
        <f ca="1">_xludf.IFNA(_xlfn.XLOOKUP(C197,'00_SKU_Master'!$B$2:$B$378,'00_SKU_Master'!$F$2:$F$378,0)*AB197,"")</f>
        <v>#NAME?</v>
      </c>
      <c r="H195" s="552" t="e">
        <f ca="1">_xludf.IFNA(_xlfn.XLOOKUP(C197,'00_SKU_Master'!$B$2:$B$378,'00_SKU_Master'!$F$2:$F$378,0)*AC197,"")</f>
        <v>#NAME?</v>
      </c>
      <c r="I195" s="552" t="e">
        <f ca="1">_xludf.IFNA(_xlfn.XLOOKUP(C197,'00_SKU_Master'!$B$2:$B$378,'00_SKU_Master'!$F$2:$F$378,0)*AD197,"")</f>
        <v>#NAME?</v>
      </c>
      <c r="J195" s="552" t="e">
        <f ca="1">_xludf.IFNA(_xlfn.XLOOKUP(C197,'00_SKU_Master'!$B$2:$B$378,'00_SKU_Master'!$F$2:$F$378,0)*AE197,"")</f>
        <v>#NAME?</v>
      </c>
      <c r="K195" s="553" t="e">
        <f t="shared" ca="1" si="19"/>
        <v>#NAME?</v>
      </c>
      <c r="L195" s="187" t="e">
        <f>_xlfn.XLOOKUP(C197,'00_SKU_Master'!$B$2:$B$378,'00_SKU_Master'!K:K)</f>
        <v>#VALUE!</v>
      </c>
      <c r="M195" s="14">
        <f t="shared" si="20"/>
        <v>7840</v>
      </c>
      <c r="N195" s="147" t="e">
        <f ca="1">_xludf.IFNA(D197/_xlfn.XLOOKUP($M197,'00_SKU_Master'!$B$2:$B$378,'00_SKU_Master'!$M$2:$M$378,0)/$M$2,"0")</f>
        <v>#NAME?</v>
      </c>
      <c r="O195" s="147" t="e">
        <f ca="1">_xludf.IFNA(E197/_xlfn.XLOOKUP($M197,'00_SKU_Master'!$B$2:$B$378,'00_SKU_Master'!$M$2:$M$378,0)/$M$2,"0")</f>
        <v>#NAME?</v>
      </c>
      <c r="P195" s="147" t="e">
        <f ca="1">_xludf.IFNA(F197/_xlfn.XLOOKUP($M197,'00_SKU_Master'!$B$2:$B$378,'00_SKU_Master'!$M$2:$M$378,0)/$M$2,"0")</f>
        <v>#NAME?</v>
      </c>
      <c r="Q195" s="147" t="e">
        <f ca="1">_xludf.IFNA(G197/_xlfn.XLOOKUP($M197,'00_SKU_Master'!$B$2:$B$378,'00_SKU_Master'!$M$2:$M$378,0)/$M$2,"0")</f>
        <v>#NAME?</v>
      </c>
      <c r="R195" s="147" t="e">
        <f ca="1">_xludf.IFNA(H197/_xlfn.XLOOKUP($M197,'00_SKU_Master'!$B$2:$B$378,'00_SKU_Master'!$M$2:$M$378,0)/$M$2,"0")</f>
        <v>#NAME?</v>
      </c>
      <c r="S195" s="147" t="e">
        <f ca="1">_xludf.IFNA(I197/_xlfn.XLOOKUP($M197,'00_SKU_Master'!$B$2:$B$378,'00_SKU_Master'!$M$2:$M$378,0)/$M$2,"0")</f>
        <v>#NAME?</v>
      </c>
      <c r="T195" s="147" t="e">
        <f ca="1">_xludf.IFNA(J197/_xlfn.XLOOKUP($M197,'00_SKU_Master'!$B$2:$B$378,'00_SKU_Master'!$M$2:$M$378,0)/$M$2,"0")</f>
        <v>#NAME?</v>
      </c>
      <c r="U195" s="147" t="e">
        <f t="shared" ca="1" si="21"/>
        <v>#NAME?</v>
      </c>
      <c r="V195" s="4"/>
      <c r="W195" s="4" t="e">
        <f>_xlfn.XLOOKUP(M197,'00_SKU_Master'!$B$2:$B$378,'00_SKU_Master'!D:D)</f>
        <v>#VALUE!</v>
      </c>
      <c r="X195" s="14">
        <f>'05_Daily_Orders'!B196</f>
        <v>7833</v>
      </c>
      <c r="Y195" s="554"/>
      <c r="Z195" s="555"/>
      <c r="AA195" s="555"/>
      <c r="AB195" s="555"/>
      <c r="AC195" s="555">
        <v>733</v>
      </c>
      <c r="AD195" s="555">
        <v>417</v>
      </c>
      <c r="AE195" s="555">
        <v>203</v>
      </c>
      <c r="AF195" s="553">
        <f t="shared" si="22"/>
        <v>0</v>
      </c>
      <c r="AQ195" s="23">
        <v>0</v>
      </c>
      <c r="AR195" s="23">
        <v>0</v>
      </c>
      <c r="AS195" s="23">
        <f t="shared" si="23"/>
        <v>0</v>
      </c>
    </row>
    <row r="196" spans="1:45">
      <c r="A196" s="138" t="str">
        <f>_xlfn.XLOOKUP(C198,'00_SKU_Master'!$B$2:$B$378,'00_SKU_Master'!$C$2:$C$378)</f>
        <v>61050#2</v>
      </c>
      <c r="B196" s="138"/>
      <c r="C196" s="138">
        <f t="shared" si="18"/>
        <v>7841</v>
      </c>
      <c r="D196" s="552" t="e">
        <f ca="1">_xludf.IFNA(_xlfn.XLOOKUP(C198,'00_SKU_Master'!$B$2:$B$378,'00_SKU_Master'!$F$2:$F$378,0)*Y198,"")</f>
        <v>#NAME?</v>
      </c>
      <c r="E196" s="552" t="e">
        <f ca="1">_xludf.IFNA(_xlfn.XLOOKUP(C198,'00_SKU_Master'!$B$2:$B$378,'00_SKU_Master'!$F$2:$F$378,0)*Z198,"")</f>
        <v>#NAME?</v>
      </c>
      <c r="F196" s="552" t="e">
        <f ca="1">_xludf.IFNA(_xlfn.XLOOKUP(C198,'00_SKU_Master'!$B$2:$B$378,'00_SKU_Master'!$F$2:$F$378,0)*AA198,"")</f>
        <v>#NAME?</v>
      </c>
      <c r="G196" s="552" t="e">
        <f ca="1">_xludf.IFNA(_xlfn.XLOOKUP(C198,'00_SKU_Master'!$B$2:$B$378,'00_SKU_Master'!$F$2:$F$378,0)*AB198,"")</f>
        <v>#NAME?</v>
      </c>
      <c r="H196" s="552" t="e">
        <f ca="1">_xludf.IFNA(_xlfn.XLOOKUP(C198,'00_SKU_Master'!$B$2:$B$378,'00_SKU_Master'!$F$2:$F$378,0)*AC198,"")</f>
        <v>#NAME?</v>
      </c>
      <c r="I196" s="552" t="e">
        <f ca="1">_xludf.IFNA(_xlfn.XLOOKUP(C198,'00_SKU_Master'!$B$2:$B$378,'00_SKU_Master'!$F$2:$F$378,0)*AD198,"")</f>
        <v>#NAME?</v>
      </c>
      <c r="J196" s="552" t="e">
        <f ca="1">_xludf.IFNA(_xlfn.XLOOKUP(C198,'00_SKU_Master'!$B$2:$B$378,'00_SKU_Master'!$F$2:$F$378,0)*AE198,"")</f>
        <v>#NAME?</v>
      </c>
      <c r="K196" s="553" t="e">
        <f t="shared" ca="1" si="19"/>
        <v>#NAME?</v>
      </c>
      <c r="L196" s="187" t="e">
        <f>_xlfn.XLOOKUP(C198,'00_SKU_Master'!$B$2:$B$378,'00_SKU_Master'!K:K)</f>
        <v>#VALUE!</v>
      </c>
      <c r="M196" s="14">
        <f t="shared" si="20"/>
        <v>7841</v>
      </c>
      <c r="N196" s="147" t="e">
        <f ca="1">_xludf.IFNA(D198/_xlfn.XLOOKUP($M198,'00_SKU_Master'!$B$2:$B$378,'00_SKU_Master'!$M$2:$M$378,0)/$M$2,"0")</f>
        <v>#NAME?</v>
      </c>
      <c r="O196" s="147" t="e">
        <f ca="1">_xludf.IFNA(E198/_xlfn.XLOOKUP($M198,'00_SKU_Master'!$B$2:$B$378,'00_SKU_Master'!$M$2:$M$378,0)/$M$2,"0")</f>
        <v>#NAME?</v>
      </c>
      <c r="P196" s="147" t="e">
        <f ca="1">_xludf.IFNA(F198/_xlfn.XLOOKUP($M198,'00_SKU_Master'!$B$2:$B$378,'00_SKU_Master'!$M$2:$M$378,0)/$M$2,"0")</f>
        <v>#NAME?</v>
      </c>
      <c r="Q196" s="147" t="e">
        <f ca="1">_xludf.IFNA(G198/_xlfn.XLOOKUP($M198,'00_SKU_Master'!$B$2:$B$378,'00_SKU_Master'!$M$2:$M$378,0)/$M$2,"0")</f>
        <v>#NAME?</v>
      </c>
      <c r="R196" s="147" t="e">
        <f ca="1">_xludf.IFNA(H198/_xlfn.XLOOKUP($M198,'00_SKU_Master'!$B$2:$B$378,'00_SKU_Master'!$M$2:$M$378,0)/$M$2,"0")</f>
        <v>#NAME?</v>
      </c>
      <c r="S196" s="147" t="e">
        <f ca="1">_xludf.IFNA(I198/_xlfn.XLOOKUP($M198,'00_SKU_Master'!$B$2:$B$378,'00_SKU_Master'!$M$2:$M$378,0)/$M$2,"0")</f>
        <v>#NAME?</v>
      </c>
      <c r="T196" s="147" t="e">
        <f ca="1">_xludf.IFNA(J198/_xlfn.XLOOKUP($M198,'00_SKU_Master'!$B$2:$B$378,'00_SKU_Master'!$M$2:$M$378,0)/$M$2,"0")</f>
        <v>#NAME?</v>
      </c>
      <c r="U196" s="147" t="e">
        <f t="shared" ca="1" si="21"/>
        <v>#NAME?</v>
      </c>
      <c r="V196" s="4"/>
      <c r="W196" s="4" t="e">
        <f>_xlfn.XLOOKUP(M198,'00_SKU_Master'!$B$2:$B$378,'00_SKU_Master'!D:D)</f>
        <v>#VALUE!</v>
      </c>
      <c r="X196" s="14">
        <f>'05_Daily_Orders'!B197</f>
        <v>7834</v>
      </c>
      <c r="Y196" s="554"/>
      <c r="Z196" s="555"/>
      <c r="AA196" s="555"/>
      <c r="AB196" s="555"/>
      <c r="AC196" s="555">
        <v>0</v>
      </c>
      <c r="AD196" s="555">
        <v>0</v>
      </c>
      <c r="AE196" s="555">
        <v>0</v>
      </c>
      <c r="AF196" s="553">
        <f t="shared" si="22"/>
        <v>0</v>
      </c>
      <c r="AQ196" s="23">
        <v>0</v>
      </c>
      <c r="AR196" s="23">
        <v>0</v>
      </c>
      <c r="AS196" s="23">
        <f t="shared" si="23"/>
        <v>0</v>
      </c>
    </row>
    <row r="197" spans="1:45">
      <c r="A197" s="138">
        <f>_xlfn.XLOOKUP(C199,'00_SKU_Master'!$B$2:$B$378,'00_SKU_Master'!$C$2:$C$378)</f>
        <v>61050</v>
      </c>
      <c r="B197" s="138"/>
      <c r="C197" s="138">
        <f t="shared" si="18"/>
        <v>7842</v>
      </c>
      <c r="D197" s="552" t="e">
        <f ca="1">_xludf.IFNA(_xlfn.XLOOKUP(C199,'00_SKU_Master'!$B$2:$B$378,'00_SKU_Master'!$F$2:$F$378,0)*Y199,"")</f>
        <v>#NAME?</v>
      </c>
      <c r="E197" s="552" t="e">
        <f ca="1">_xludf.IFNA(_xlfn.XLOOKUP(C199,'00_SKU_Master'!$B$2:$B$378,'00_SKU_Master'!$F$2:$F$378,0)*Z199,"")</f>
        <v>#NAME?</v>
      </c>
      <c r="F197" s="552" t="e">
        <f ca="1">_xludf.IFNA(_xlfn.XLOOKUP(C199,'00_SKU_Master'!$B$2:$B$378,'00_SKU_Master'!$F$2:$F$378,0)*AA199,"")</f>
        <v>#NAME?</v>
      </c>
      <c r="G197" s="552" t="e">
        <f ca="1">_xludf.IFNA(_xlfn.XLOOKUP(C199,'00_SKU_Master'!$B$2:$B$378,'00_SKU_Master'!$F$2:$F$378,0)*AB199,"")</f>
        <v>#NAME?</v>
      </c>
      <c r="H197" s="552" t="e">
        <f ca="1">_xludf.IFNA(_xlfn.XLOOKUP(C199,'00_SKU_Master'!$B$2:$B$378,'00_SKU_Master'!$F$2:$F$378,0)*AC199,"")</f>
        <v>#NAME?</v>
      </c>
      <c r="I197" s="552" t="e">
        <f ca="1">_xludf.IFNA(_xlfn.XLOOKUP(C199,'00_SKU_Master'!$B$2:$B$378,'00_SKU_Master'!$F$2:$F$378,0)*AD199,"")</f>
        <v>#NAME?</v>
      </c>
      <c r="J197" s="552" t="e">
        <f ca="1">_xludf.IFNA(_xlfn.XLOOKUP(C199,'00_SKU_Master'!$B$2:$B$378,'00_SKU_Master'!$F$2:$F$378,0)*AE199,"")</f>
        <v>#NAME?</v>
      </c>
      <c r="K197" s="553" t="e">
        <f t="shared" ca="1" si="19"/>
        <v>#NAME?</v>
      </c>
      <c r="L197" s="187" t="e">
        <f>_xlfn.XLOOKUP(C199,'00_SKU_Master'!$B$2:$B$378,'00_SKU_Master'!K:K)</f>
        <v>#VALUE!</v>
      </c>
      <c r="M197" s="14">
        <f t="shared" si="20"/>
        <v>7842</v>
      </c>
      <c r="N197" s="147" t="e">
        <f ca="1">_xludf.IFNA(D199/_xlfn.XLOOKUP($M199,'00_SKU_Master'!$B$2:$B$378,'00_SKU_Master'!$M$2:$M$378,0)/$M$2,"0")</f>
        <v>#NAME?</v>
      </c>
      <c r="O197" s="147" t="e">
        <f ca="1">_xludf.IFNA(E199/_xlfn.XLOOKUP($M199,'00_SKU_Master'!$B$2:$B$378,'00_SKU_Master'!$M$2:$M$378,0)/$M$2,"0")</f>
        <v>#NAME?</v>
      </c>
      <c r="P197" s="147" t="e">
        <f ca="1">_xludf.IFNA(F199/_xlfn.XLOOKUP($M199,'00_SKU_Master'!$B$2:$B$378,'00_SKU_Master'!$M$2:$M$378,0)/$M$2,"0")</f>
        <v>#NAME?</v>
      </c>
      <c r="Q197" s="147" t="e">
        <f ca="1">_xludf.IFNA(G199/_xlfn.XLOOKUP($M199,'00_SKU_Master'!$B$2:$B$378,'00_SKU_Master'!$M$2:$M$378,0)/$M$2,"0")</f>
        <v>#NAME?</v>
      </c>
      <c r="R197" s="147" t="e">
        <f ca="1">_xludf.IFNA(H199/_xlfn.XLOOKUP($M199,'00_SKU_Master'!$B$2:$B$378,'00_SKU_Master'!$M$2:$M$378,0)/$M$2,"0")</f>
        <v>#NAME?</v>
      </c>
      <c r="S197" s="147" t="e">
        <f ca="1">_xludf.IFNA(I199/_xlfn.XLOOKUP($M199,'00_SKU_Master'!$B$2:$B$378,'00_SKU_Master'!$M$2:$M$378,0)/$M$2,"0")</f>
        <v>#NAME?</v>
      </c>
      <c r="T197" s="147" t="e">
        <f ca="1">_xludf.IFNA(J199/_xlfn.XLOOKUP($M199,'00_SKU_Master'!$B$2:$B$378,'00_SKU_Master'!$M$2:$M$378,0)/$M$2,"0")</f>
        <v>#NAME?</v>
      </c>
      <c r="U197" s="147" t="e">
        <f t="shared" ca="1" si="21"/>
        <v>#NAME?</v>
      </c>
      <c r="V197" s="4"/>
      <c r="W197" s="4" t="e">
        <f>_xlfn.XLOOKUP(M199,'00_SKU_Master'!$B$2:$B$378,'00_SKU_Master'!D:D)</f>
        <v>#VALUE!</v>
      </c>
      <c r="X197" s="14">
        <f>'05_Daily_Orders'!B198</f>
        <v>7840</v>
      </c>
      <c r="Y197" s="554"/>
      <c r="Z197" s="555"/>
      <c r="AA197" s="555"/>
      <c r="AB197" s="555"/>
      <c r="AC197" s="555">
        <v>0</v>
      </c>
      <c r="AD197" s="555">
        <v>0</v>
      </c>
      <c r="AE197" s="555">
        <v>0</v>
      </c>
      <c r="AF197" s="553">
        <f t="shared" si="22"/>
        <v>0</v>
      </c>
      <c r="AQ197" s="23">
        <v>0</v>
      </c>
      <c r="AR197" s="23">
        <v>0</v>
      </c>
      <c r="AS197" s="23">
        <f t="shared" si="23"/>
        <v>-33</v>
      </c>
    </row>
    <row r="198" spans="1:45">
      <c r="A198" s="138">
        <f>_xlfn.XLOOKUP(C200,'00_SKU_Master'!$B$2:$B$378,'00_SKU_Master'!$C$2:$C$378)</f>
        <v>61050</v>
      </c>
      <c r="B198" s="138"/>
      <c r="C198" s="138">
        <f t="shared" si="18"/>
        <v>7843</v>
      </c>
      <c r="D198" s="552" t="e">
        <f ca="1">_xludf.IFNA(_xlfn.XLOOKUP(C200,'00_SKU_Master'!$B$2:$B$378,'00_SKU_Master'!$F$2:$F$378,0)*Y200,"")</f>
        <v>#NAME?</v>
      </c>
      <c r="E198" s="552" t="e">
        <f ca="1">_xludf.IFNA(_xlfn.XLOOKUP(C200,'00_SKU_Master'!$B$2:$B$378,'00_SKU_Master'!$F$2:$F$378,0)*Z200,"")</f>
        <v>#NAME?</v>
      </c>
      <c r="F198" s="552" t="e">
        <f ca="1">_xludf.IFNA(_xlfn.XLOOKUP(C200,'00_SKU_Master'!$B$2:$B$378,'00_SKU_Master'!$F$2:$F$378,0)*AA200,"")</f>
        <v>#NAME?</v>
      </c>
      <c r="G198" s="552" t="e">
        <f ca="1">_xludf.IFNA(_xlfn.XLOOKUP(C200,'00_SKU_Master'!$B$2:$B$378,'00_SKU_Master'!$F$2:$F$378,0)*AB200,"")</f>
        <v>#NAME?</v>
      </c>
      <c r="H198" s="552" t="e">
        <f ca="1">_xludf.IFNA(_xlfn.XLOOKUP(C200,'00_SKU_Master'!$B$2:$B$378,'00_SKU_Master'!$F$2:$F$378,0)*AC200,"")</f>
        <v>#NAME?</v>
      </c>
      <c r="I198" s="552" t="e">
        <f ca="1">_xludf.IFNA(_xlfn.XLOOKUP(C200,'00_SKU_Master'!$B$2:$B$378,'00_SKU_Master'!$F$2:$F$378,0)*AD200,"")</f>
        <v>#NAME?</v>
      </c>
      <c r="J198" s="552" t="e">
        <f ca="1">_xludf.IFNA(_xlfn.XLOOKUP(C200,'00_SKU_Master'!$B$2:$B$378,'00_SKU_Master'!$F$2:$F$378,0)*AE200,"")</f>
        <v>#NAME?</v>
      </c>
      <c r="K198" s="553" t="e">
        <f t="shared" ca="1" si="19"/>
        <v>#NAME?</v>
      </c>
      <c r="L198" s="187" t="e">
        <f>_xlfn.XLOOKUP(C200,'00_SKU_Master'!$B$2:$B$378,'00_SKU_Master'!K:K)</f>
        <v>#VALUE!</v>
      </c>
      <c r="M198" s="14">
        <f t="shared" si="20"/>
        <v>7843</v>
      </c>
      <c r="N198" s="147" t="e">
        <f ca="1">_xludf.IFNA(D200/_xlfn.XLOOKUP($M200,'00_SKU_Master'!$B$2:$B$378,'00_SKU_Master'!$M$2:$M$378,0)/$M$2,"0")</f>
        <v>#NAME?</v>
      </c>
      <c r="O198" s="147" t="e">
        <f ca="1">_xludf.IFNA(E200/_xlfn.XLOOKUP($M200,'00_SKU_Master'!$B$2:$B$378,'00_SKU_Master'!$M$2:$M$378,0)/$M$2,"0")</f>
        <v>#NAME?</v>
      </c>
      <c r="P198" s="147" t="e">
        <f ca="1">_xludf.IFNA(F200/_xlfn.XLOOKUP($M200,'00_SKU_Master'!$B$2:$B$378,'00_SKU_Master'!$M$2:$M$378,0)/$M$2,"0")</f>
        <v>#NAME?</v>
      </c>
      <c r="Q198" s="147" t="e">
        <f ca="1">_xludf.IFNA(G200/_xlfn.XLOOKUP($M200,'00_SKU_Master'!$B$2:$B$378,'00_SKU_Master'!$M$2:$M$378,0)/$M$2,"0")</f>
        <v>#NAME?</v>
      </c>
      <c r="R198" s="147" t="e">
        <f ca="1">_xludf.IFNA(H200/_xlfn.XLOOKUP($M200,'00_SKU_Master'!$B$2:$B$378,'00_SKU_Master'!$M$2:$M$378,0)/$M$2,"0")</f>
        <v>#NAME?</v>
      </c>
      <c r="S198" s="147" t="e">
        <f ca="1">_xludf.IFNA(I200/_xlfn.XLOOKUP($M200,'00_SKU_Master'!$B$2:$B$378,'00_SKU_Master'!$M$2:$M$378,0)/$M$2,"0")</f>
        <v>#NAME?</v>
      </c>
      <c r="T198" s="147" t="e">
        <f ca="1">_xludf.IFNA(J200/_xlfn.XLOOKUP($M200,'00_SKU_Master'!$B$2:$B$378,'00_SKU_Master'!$M$2:$M$378,0)/$M$2,"0")</f>
        <v>#NAME?</v>
      </c>
      <c r="U198" s="147" t="e">
        <f t="shared" ca="1" si="21"/>
        <v>#NAME?</v>
      </c>
      <c r="V198" s="4"/>
      <c r="W198" s="4" t="e">
        <f>_xlfn.XLOOKUP(M200,'00_SKU_Master'!$B$2:$B$378,'00_SKU_Master'!D:D)</f>
        <v>#VALUE!</v>
      </c>
      <c r="X198" s="14">
        <f>'05_Daily_Orders'!B199</f>
        <v>7841</v>
      </c>
      <c r="Y198" s="554"/>
      <c r="Z198" s="555"/>
      <c r="AA198" s="555"/>
      <c r="AB198" s="555"/>
      <c r="AC198" s="555">
        <v>0</v>
      </c>
      <c r="AD198" s="555">
        <v>0</v>
      </c>
      <c r="AE198" s="555">
        <v>0</v>
      </c>
      <c r="AF198" s="553">
        <f t="shared" si="22"/>
        <v>0</v>
      </c>
      <c r="AQ198" s="23">
        <v>0</v>
      </c>
      <c r="AR198" s="23">
        <v>0</v>
      </c>
      <c r="AS198" s="23">
        <f t="shared" si="23"/>
        <v>127</v>
      </c>
    </row>
    <row r="199" spans="1:45">
      <c r="A199" s="138">
        <f>_xlfn.XLOOKUP(C201,'00_SKU_Master'!$B$2:$B$378,'00_SKU_Master'!$C$2:$C$378)</f>
        <v>61077</v>
      </c>
      <c r="B199" s="138"/>
      <c r="C199" s="138">
        <f t="shared" si="18"/>
        <v>7851</v>
      </c>
      <c r="D199" s="552" t="e">
        <f ca="1">_xludf.IFNA(_xlfn.XLOOKUP(C201,'00_SKU_Master'!$B$2:$B$378,'00_SKU_Master'!$F$2:$F$378,0)*Y201,"")</f>
        <v>#NAME?</v>
      </c>
      <c r="E199" s="552" t="e">
        <f ca="1">_xludf.IFNA(_xlfn.XLOOKUP(C201,'00_SKU_Master'!$B$2:$B$378,'00_SKU_Master'!$F$2:$F$378,0)*Z201,"")</f>
        <v>#NAME?</v>
      </c>
      <c r="F199" s="552" t="e">
        <f ca="1">_xludf.IFNA(_xlfn.XLOOKUP(C201,'00_SKU_Master'!$B$2:$B$378,'00_SKU_Master'!$F$2:$F$378,0)*AA201,"")</f>
        <v>#NAME?</v>
      </c>
      <c r="G199" s="552" t="e">
        <f ca="1">_xludf.IFNA(_xlfn.XLOOKUP(C201,'00_SKU_Master'!$B$2:$B$378,'00_SKU_Master'!$F$2:$F$378,0)*AB201,"")</f>
        <v>#NAME?</v>
      </c>
      <c r="H199" s="552" t="e">
        <f ca="1">_xludf.IFNA(_xlfn.XLOOKUP(C201,'00_SKU_Master'!$B$2:$B$378,'00_SKU_Master'!$F$2:$F$378,0)*AC201,"")</f>
        <v>#NAME?</v>
      </c>
      <c r="I199" s="552" t="e">
        <f ca="1">_xludf.IFNA(_xlfn.XLOOKUP(C201,'00_SKU_Master'!$B$2:$B$378,'00_SKU_Master'!$F$2:$F$378,0)*AD201,"")</f>
        <v>#NAME?</v>
      </c>
      <c r="J199" s="552" t="e">
        <f ca="1">_xludf.IFNA(_xlfn.XLOOKUP(C201,'00_SKU_Master'!$B$2:$B$378,'00_SKU_Master'!$F$2:$F$378,0)*AE201,"")</f>
        <v>#NAME?</v>
      </c>
      <c r="K199" s="553" t="e">
        <f t="shared" ca="1" si="19"/>
        <v>#NAME?</v>
      </c>
      <c r="L199" s="187" t="e">
        <f>_xlfn.XLOOKUP(C201,'00_SKU_Master'!$B$2:$B$378,'00_SKU_Master'!K:K)</f>
        <v>#VALUE!</v>
      </c>
      <c r="M199" s="14">
        <f t="shared" si="20"/>
        <v>7851</v>
      </c>
      <c r="N199" s="147" t="e">
        <f ca="1">_xludf.IFNA(D201/_xlfn.XLOOKUP($M201,'00_SKU_Master'!$B$2:$B$378,'00_SKU_Master'!$M$2:$M$378,0)/$M$2,"0")</f>
        <v>#NAME?</v>
      </c>
      <c r="O199" s="147" t="e">
        <f ca="1">_xludf.IFNA(E201/_xlfn.XLOOKUP($M201,'00_SKU_Master'!$B$2:$B$378,'00_SKU_Master'!$M$2:$M$378,0)/$M$2,"0")</f>
        <v>#NAME?</v>
      </c>
      <c r="P199" s="147" t="e">
        <f ca="1">_xludf.IFNA(F201/_xlfn.XLOOKUP($M201,'00_SKU_Master'!$B$2:$B$378,'00_SKU_Master'!$M$2:$M$378,0)/$M$2,"0")</f>
        <v>#NAME?</v>
      </c>
      <c r="Q199" s="147" t="e">
        <f ca="1">_xludf.IFNA(G201/_xlfn.XLOOKUP($M201,'00_SKU_Master'!$B$2:$B$378,'00_SKU_Master'!$M$2:$M$378,0)/$M$2,"0")</f>
        <v>#NAME?</v>
      </c>
      <c r="R199" s="147" t="e">
        <f ca="1">_xludf.IFNA(H201/_xlfn.XLOOKUP($M201,'00_SKU_Master'!$B$2:$B$378,'00_SKU_Master'!$M$2:$M$378,0)/$M$2,"0")</f>
        <v>#NAME?</v>
      </c>
      <c r="S199" s="147" t="e">
        <f ca="1">_xludf.IFNA(I201/_xlfn.XLOOKUP($M201,'00_SKU_Master'!$B$2:$B$378,'00_SKU_Master'!$M$2:$M$378,0)/$M$2,"0")</f>
        <v>#NAME?</v>
      </c>
      <c r="T199" s="147" t="e">
        <f ca="1">_xludf.IFNA(J201/_xlfn.XLOOKUP($M201,'00_SKU_Master'!$B$2:$B$378,'00_SKU_Master'!$M$2:$M$378,0)/$M$2,"0")</f>
        <v>#NAME?</v>
      </c>
      <c r="U199" s="147" t="e">
        <f t="shared" ca="1" si="21"/>
        <v>#NAME?</v>
      </c>
      <c r="V199" s="4"/>
      <c r="W199" s="4" t="e">
        <f>_xlfn.XLOOKUP(M201,'00_SKU_Master'!$B$2:$B$378,'00_SKU_Master'!D:D)</f>
        <v>#VALUE!</v>
      </c>
      <c r="X199" s="14">
        <f>'05_Daily_Orders'!B200</f>
        <v>7842</v>
      </c>
      <c r="Y199" s="554"/>
      <c r="Z199" s="555"/>
      <c r="AA199" s="555"/>
      <c r="AB199" s="555"/>
      <c r="AC199" s="555">
        <v>0</v>
      </c>
      <c r="AD199" s="555">
        <v>0</v>
      </c>
      <c r="AE199" s="555">
        <v>0</v>
      </c>
      <c r="AF199" s="553">
        <f t="shared" si="22"/>
        <v>0</v>
      </c>
      <c r="AQ199" s="23">
        <v>33</v>
      </c>
      <c r="AR199" s="23">
        <v>0</v>
      </c>
      <c r="AS199" s="23">
        <f t="shared" si="23"/>
        <v>-3</v>
      </c>
    </row>
    <row r="200" spans="1:45">
      <c r="A200" s="138" t="str">
        <f>_xlfn.XLOOKUP(C202,'00_SKU_Master'!$B$2:$B$378,'00_SKU_Master'!$C$2:$C$378)</f>
        <v>61072F</v>
      </c>
      <c r="B200" s="138"/>
      <c r="C200" s="138">
        <f t="shared" si="18"/>
        <v>7852</v>
      </c>
      <c r="D200" s="552" t="e">
        <f ca="1">_xludf.IFNA(_xlfn.XLOOKUP(C202,'00_SKU_Master'!$B$2:$B$378,'00_SKU_Master'!$F$2:$F$378,0)*Y202,"")</f>
        <v>#NAME?</v>
      </c>
      <c r="E200" s="552" t="e">
        <f ca="1">_xludf.IFNA(_xlfn.XLOOKUP(C202,'00_SKU_Master'!$B$2:$B$378,'00_SKU_Master'!$F$2:$F$378,0)*Z202,"")</f>
        <v>#NAME?</v>
      </c>
      <c r="F200" s="552" t="e">
        <f ca="1">_xludf.IFNA(_xlfn.XLOOKUP(C202,'00_SKU_Master'!$B$2:$B$378,'00_SKU_Master'!$F$2:$F$378,0)*AA202,"")</f>
        <v>#NAME?</v>
      </c>
      <c r="G200" s="552" t="e">
        <f ca="1">_xludf.IFNA(_xlfn.XLOOKUP(C202,'00_SKU_Master'!$B$2:$B$378,'00_SKU_Master'!$F$2:$F$378,0)*AB202,"")</f>
        <v>#NAME?</v>
      </c>
      <c r="H200" s="552" t="e">
        <f ca="1">_xludf.IFNA(_xlfn.XLOOKUP(C202,'00_SKU_Master'!$B$2:$B$378,'00_SKU_Master'!$F$2:$F$378,0)*AC202,"")</f>
        <v>#NAME?</v>
      </c>
      <c r="I200" s="552" t="e">
        <f ca="1">_xludf.IFNA(_xlfn.XLOOKUP(C202,'00_SKU_Master'!$B$2:$B$378,'00_SKU_Master'!$F$2:$F$378,0)*AD202,"")</f>
        <v>#NAME?</v>
      </c>
      <c r="J200" s="552" t="e">
        <f ca="1">_xludf.IFNA(_xlfn.XLOOKUP(C202,'00_SKU_Master'!$B$2:$B$378,'00_SKU_Master'!$F$2:$F$378,0)*AE202,"")</f>
        <v>#NAME?</v>
      </c>
      <c r="K200" s="553" t="e">
        <f t="shared" ca="1" si="19"/>
        <v>#NAME?</v>
      </c>
      <c r="L200" s="187" t="e">
        <f>_xlfn.XLOOKUP(C202,'00_SKU_Master'!$B$2:$B$378,'00_SKU_Master'!K:K)</f>
        <v>#VALUE!</v>
      </c>
      <c r="M200" s="14">
        <f t="shared" si="20"/>
        <v>7852</v>
      </c>
      <c r="N200" s="147" t="e">
        <f ca="1">_xludf.IFNA(D202/_xlfn.XLOOKUP($M202,'00_SKU_Master'!$B$2:$B$378,'00_SKU_Master'!$M$2:$M$378,0)/$M$2,"0")</f>
        <v>#NAME?</v>
      </c>
      <c r="O200" s="147" t="e">
        <f ca="1">_xludf.IFNA(E202/_xlfn.XLOOKUP($M202,'00_SKU_Master'!$B$2:$B$378,'00_SKU_Master'!$M$2:$M$378,0)/$M$2,"0")</f>
        <v>#NAME?</v>
      </c>
      <c r="P200" s="147" t="e">
        <f ca="1">_xludf.IFNA(F202/_xlfn.XLOOKUP($M202,'00_SKU_Master'!$B$2:$B$378,'00_SKU_Master'!$M$2:$M$378,0)/$M$2,"0")</f>
        <v>#NAME?</v>
      </c>
      <c r="Q200" s="147" t="e">
        <f ca="1">_xludf.IFNA(G202/_xlfn.XLOOKUP($M202,'00_SKU_Master'!$B$2:$B$378,'00_SKU_Master'!$M$2:$M$378,0)/$M$2,"0")</f>
        <v>#NAME?</v>
      </c>
      <c r="R200" s="147" t="e">
        <f ca="1">_xludf.IFNA(H202/_xlfn.XLOOKUP($M202,'00_SKU_Master'!$B$2:$B$378,'00_SKU_Master'!$M$2:$M$378,0)/$M$2,"0")</f>
        <v>#NAME?</v>
      </c>
      <c r="S200" s="147" t="e">
        <f ca="1">_xludf.IFNA(I202/_xlfn.XLOOKUP($M202,'00_SKU_Master'!$B$2:$B$378,'00_SKU_Master'!$M$2:$M$378,0)/$M$2,"0")</f>
        <v>#NAME?</v>
      </c>
      <c r="T200" s="147" t="e">
        <f ca="1">_xludf.IFNA(J202/_xlfn.XLOOKUP($M202,'00_SKU_Master'!$B$2:$B$378,'00_SKU_Master'!$M$2:$M$378,0)/$M$2,"0")</f>
        <v>#NAME?</v>
      </c>
      <c r="U200" s="147" t="e">
        <f t="shared" ca="1" si="21"/>
        <v>#NAME?</v>
      </c>
      <c r="V200" s="4"/>
      <c r="W200" s="4" t="e">
        <f>_xlfn.XLOOKUP(M202,'00_SKU_Master'!$B$2:$B$378,'00_SKU_Master'!D:D)</f>
        <v>#VALUE!</v>
      </c>
      <c r="X200" s="14">
        <f>'05_Daily_Orders'!B201</f>
        <v>7843</v>
      </c>
      <c r="Y200" s="554"/>
      <c r="Z200" s="555"/>
      <c r="AA200" s="555"/>
      <c r="AB200" s="555"/>
      <c r="AC200" s="555">
        <v>0</v>
      </c>
      <c r="AD200" s="555">
        <v>0</v>
      </c>
      <c r="AE200" s="555">
        <v>0</v>
      </c>
      <c r="AF200" s="553">
        <f t="shared" si="22"/>
        <v>381</v>
      </c>
      <c r="AQ200" s="23">
        <v>0</v>
      </c>
      <c r="AR200" s="23">
        <v>127</v>
      </c>
      <c r="AS200" s="23">
        <f t="shared" si="23"/>
        <v>-93</v>
      </c>
    </row>
    <row r="201" spans="1:45">
      <c r="A201" s="138" t="str">
        <f>_xlfn.XLOOKUP(C203,'00_SKU_Master'!$B$2:$B$378,'00_SKU_Master'!$C$2:$C$378)</f>
        <v>61014F</v>
      </c>
      <c r="B201" s="138"/>
      <c r="C201" s="138">
        <f t="shared" si="18"/>
        <v>7853</v>
      </c>
      <c r="D201" s="552" t="e">
        <f ca="1">_xludf.IFNA(_xlfn.XLOOKUP(C203,'00_SKU_Master'!$B$2:$B$378,'00_SKU_Master'!$F$2:$F$378,0)*Y203,"")</f>
        <v>#NAME?</v>
      </c>
      <c r="E201" s="552" t="e">
        <f ca="1">_xludf.IFNA(_xlfn.XLOOKUP(C203,'00_SKU_Master'!$B$2:$B$378,'00_SKU_Master'!$F$2:$F$378,0)*Z203,"")</f>
        <v>#NAME?</v>
      </c>
      <c r="F201" s="552" t="e">
        <f ca="1">_xludf.IFNA(_xlfn.XLOOKUP(C203,'00_SKU_Master'!$B$2:$B$378,'00_SKU_Master'!$F$2:$F$378,0)*AA203,"")</f>
        <v>#NAME?</v>
      </c>
      <c r="G201" s="552" t="e">
        <f ca="1">_xludf.IFNA(_xlfn.XLOOKUP(C203,'00_SKU_Master'!$B$2:$B$378,'00_SKU_Master'!$F$2:$F$378,0)*AB203,"")</f>
        <v>#NAME?</v>
      </c>
      <c r="H201" s="552" t="e">
        <f ca="1">_xludf.IFNA(_xlfn.XLOOKUP(C203,'00_SKU_Master'!$B$2:$B$378,'00_SKU_Master'!$F$2:$F$378,0)*AC203,"")</f>
        <v>#NAME?</v>
      </c>
      <c r="I201" s="552" t="e">
        <f ca="1">_xludf.IFNA(_xlfn.XLOOKUP(C203,'00_SKU_Master'!$B$2:$B$378,'00_SKU_Master'!$F$2:$F$378,0)*AD203,"")</f>
        <v>#NAME?</v>
      </c>
      <c r="J201" s="552" t="e">
        <f ca="1">_xludf.IFNA(_xlfn.XLOOKUP(C203,'00_SKU_Master'!$B$2:$B$378,'00_SKU_Master'!$F$2:$F$378,0)*AE203,"")</f>
        <v>#NAME?</v>
      </c>
      <c r="K201" s="553" t="e">
        <f t="shared" ca="1" si="19"/>
        <v>#NAME?</v>
      </c>
      <c r="L201" s="187" t="e">
        <f>_xlfn.XLOOKUP(C203,'00_SKU_Master'!$B$2:$B$378,'00_SKU_Master'!K:K)</f>
        <v>#VALUE!</v>
      </c>
      <c r="M201" s="14">
        <f t="shared" si="20"/>
        <v>7853</v>
      </c>
      <c r="N201" s="147" t="e">
        <f ca="1">_xludf.IFNA(D203/_xlfn.XLOOKUP($M203,'00_SKU_Master'!$B$2:$B$378,'00_SKU_Master'!$M$2:$M$378,0)/$M$2,"0")</f>
        <v>#NAME?</v>
      </c>
      <c r="O201" s="147" t="e">
        <f ca="1">_xludf.IFNA(E203/_xlfn.XLOOKUP($M203,'00_SKU_Master'!$B$2:$B$378,'00_SKU_Master'!$M$2:$M$378,0)/$M$2,"0")</f>
        <v>#NAME?</v>
      </c>
      <c r="P201" s="147" t="e">
        <f ca="1">_xludf.IFNA(F203/_xlfn.XLOOKUP($M203,'00_SKU_Master'!$B$2:$B$378,'00_SKU_Master'!$M$2:$M$378,0)/$M$2,"0")</f>
        <v>#NAME?</v>
      </c>
      <c r="Q201" s="147" t="e">
        <f ca="1">_xludf.IFNA(G203/_xlfn.XLOOKUP($M203,'00_SKU_Master'!$B$2:$B$378,'00_SKU_Master'!$M$2:$M$378,0)/$M$2,"0")</f>
        <v>#NAME?</v>
      </c>
      <c r="R201" s="147" t="e">
        <f ca="1">_xludf.IFNA(H203/_xlfn.XLOOKUP($M203,'00_SKU_Master'!$B$2:$B$378,'00_SKU_Master'!$M$2:$M$378,0)/$M$2,"0")</f>
        <v>#NAME?</v>
      </c>
      <c r="S201" s="147" t="e">
        <f ca="1">_xludf.IFNA(I203/_xlfn.XLOOKUP($M203,'00_SKU_Master'!$B$2:$B$378,'00_SKU_Master'!$M$2:$M$378,0)/$M$2,"0")</f>
        <v>#NAME?</v>
      </c>
      <c r="T201" s="147" t="e">
        <f ca="1">_xludf.IFNA(J203/_xlfn.XLOOKUP($M203,'00_SKU_Master'!$B$2:$B$378,'00_SKU_Master'!$M$2:$M$378,0)/$M$2,"0")</f>
        <v>#NAME?</v>
      </c>
      <c r="U201" s="147" t="e">
        <f t="shared" ca="1" si="21"/>
        <v>#NAME?</v>
      </c>
      <c r="V201" s="4"/>
      <c r="W201" s="4" t="e">
        <f>_xlfn.XLOOKUP(M203,'00_SKU_Master'!$B$2:$B$378,'00_SKU_Master'!D:D)</f>
        <v>#VALUE!</v>
      </c>
      <c r="X201" s="14">
        <f>'05_Daily_Orders'!B202</f>
        <v>7851</v>
      </c>
      <c r="Y201" s="554"/>
      <c r="Z201" s="555"/>
      <c r="AA201" s="555"/>
      <c r="AB201" s="555"/>
      <c r="AC201" s="555">
        <v>0</v>
      </c>
      <c r="AD201" s="555">
        <v>0</v>
      </c>
      <c r="AE201" s="555">
        <v>0</v>
      </c>
      <c r="AF201" s="553">
        <f t="shared" si="22"/>
        <v>831</v>
      </c>
      <c r="AQ201" s="23">
        <v>3</v>
      </c>
      <c r="AR201" s="23">
        <v>0</v>
      </c>
      <c r="AS201" s="23">
        <f t="shared" si="23"/>
        <v>0</v>
      </c>
    </row>
    <row r="202" spans="1:45">
      <c r="A202" s="138">
        <f>_xlfn.XLOOKUP(C204,'00_SKU_Master'!$B$2:$B$378,'00_SKU_Master'!$C$2:$C$378)</f>
        <v>61052</v>
      </c>
      <c r="B202" s="138"/>
      <c r="C202" s="138">
        <f t="shared" si="18"/>
        <v>7854</v>
      </c>
      <c r="D202" s="552" t="e">
        <f ca="1">_xludf.IFNA(_xlfn.XLOOKUP(C204,'00_SKU_Master'!$B$2:$B$378,'00_SKU_Master'!$F$2:$F$378,0)*Y204,"")</f>
        <v>#NAME?</v>
      </c>
      <c r="E202" s="552" t="e">
        <f ca="1">_xludf.IFNA(_xlfn.XLOOKUP(C204,'00_SKU_Master'!$B$2:$B$378,'00_SKU_Master'!$F$2:$F$378,0)*Z204,"")</f>
        <v>#NAME?</v>
      </c>
      <c r="F202" s="552" t="e">
        <f ca="1">_xludf.IFNA(_xlfn.XLOOKUP(C204,'00_SKU_Master'!$B$2:$B$378,'00_SKU_Master'!$F$2:$F$378,0)*AA204,"")</f>
        <v>#NAME?</v>
      </c>
      <c r="G202" s="552" t="e">
        <f ca="1">_xludf.IFNA(_xlfn.XLOOKUP(C204,'00_SKU_Master'!$B$2:$B$378,'00_SKU_Master'!$F$2:$F$378,0)*AB204,"")</f>
        <v>#NAME?</v>
      </c>
      <c r="H202" s="552" t="e">
        <f ca="1">_xludf.IFNA(_xlfn.XLOOKUP(C204,'00_SKU_Master'!$B$2:$B$378,'00_SKU_Master'!$F$2:$F$378,0)*AC204,"")</f>
        <v>#NAME?</v>
      </c>
      <c r="I202" s="552" t="e">
        <f ca="1">_xludf.IFNA(_xlfn.XLOOKUP(C204,'00_SKU_Master'!$B$2:$B$378,'00_SKU_Master'!$F$2:$F$378,0)*AD204,"")</f>
        <v>#NAME?</v>
      </c>
      <c r="J202" s="552" t="e">
        <f ca="1">_xludf.IFNA(_xlfn.XLOOKUP(C204,'00_SKU_Master'!$B$2:$B$378,'00_SKU_Master'!$F$2:$F$378,0)*AE204,"")</f>
        <v>#NAME?</v>
      </c>
      <c r="K202" s="553" t="e">
        <f t="shared" ca="1" si="19"/>
        <v>#NAME?</v>
      </c>
      <c r="L202" s="187" t="e">
        <f>_xlfn.XLOOKUP(C204,'00_SKU_Master'!$B$2:$B$378,'00_SKU_Master'!K:K)</f>
        <v>#VALUE!</v>
      </c>
      <c r="M202" s="14">
        <f t="shared" si="20"/>
        <v>7854</v>
      </c>
      <c r="N202" s="147" t="e">
        <f ca="1">_xludf.IFNA(D204/_xlfn.XLOOKUP($M204,'00_SKU_Master'!$B$2:$B$378,'00_SKU_Master'!$M$2:$M$378,0)/$M$2,"0")</f>
        <v>#NAME?</v>
      </c>
      <c r="O202" s="147" t="e">
        <f ca="1">_xludf.IFNA(E204/_xlfn.XLOOKUP($M204,'00_SKU_Master'!$B$2:$B$378,'00_SKU_Master'!$M$2:$M$378,0)/$M$2,"0")</f>
        <v>#NAME?</v>
      </c>
      <c r="P202" s="147" t="e">
        <f ca="1">_xludf.IFNA(F204/_xlfn.XLOOKUP($M204,'00_SKU_Master'!$B$2:$B$378,'00_SKU_Master'!$M$2:$M$378,0)/$M$2,"0")</f>
        <v>#NAME?</v>
      </c>
      <c r="Q202" s="147" t="e">
        <f ca="1">_xludf.IFNA(G204/_xlfn.XLOOKUP($M204,'00_SKU_Master'!$B$2:$B$378,'00_SKU_Master'!$M$2:$M$378,0)/$M$2,"0")</f>
        <v>#NAME?</v>
      </c>
      <c r="R202" s="147" t="e">
        <f ca="1">_xludf.IFNA(H204/_xlfn.XLOOKUP($M204,'00_SKU_Master'!$B$2:$B$378,'00_SKU_Master'!$M$2:$M$378,0)/$M$2,"0")</f>
        <v>#NAME?</v>
      </c>
      <c r="S202" s="147" t="e">
        <f ca="1">_xludf.IFNA(I204/_xlfn.XLOOKUP($M204,'00_SKU_Master'!$B$2:$B$378,'00_SKU_Master'!$M$2:$M$378,0)/$M$2,"0")</f>
        <v>#NAME?</v>
      </c>
      <c r="T202" s="147" t="e">
        <f ca="1">_xludf.IFNA(J204/_xlfn.XLOOKUP($M204,'00_SKU_Master'!$B$2:$B$378,'00_SKU_Master'!$M$2:$M$378,0)/$M$2,"0")</f>
        <v>#NAME?</v>
      </c>
      <c r="U202" s="147" t="e">
        <f t="shared" ca="1" si="21"/>
        <v>#NAME?</v>
      </c>
      <c r="V202" s="4"/>
      <c r="W202" s="4" t="e">
        <f>_xlfn.XLOOKUP(M204,'00_SKU_Master'!$B$2:$B$378,'00_SKU_Master'!D:D)</f>
        <v>#VALUE!</v>
      </c>
      <c r="X202" s="14">
        <f>'05_Daily_Orders'!B203</f>
        <v>7852</v>
      </c>
      <c r="Y202" s="554"/>
      <c r="Z202" s="555"/>
      <c r="AA202" s="555"/>
      <c r="AB202" s="555"/>
      <c r="AC202" s="555">
        <v>144</v>
      </c>
      <c r="AD202" s="555">
        <v>167</v>
      </c>
      <c r="AE202" s="555">
        <v>70</v>
      </c>
      <c r="AF202" s="553">
        <f t="shared" si="22"/>
        <v>684</v>
      </c>
      <c r="AQ202" s="23">
        <v>93</v>
      </c>
      <c r="AR202" s="23">
        <v>0</v>
      </c>
      <c r="AS202" s="23">
        <f t="shared" si="23"/>
        <v>6</v>
      </c>
    </row>
    <row r="203" spans="1:45">
      <c r="A203" s="138">
        <f>_xlfn.XLOOKUP(C205,'00_SKU_Master'!$B$2:$B$378,'00_SKU_Master'!$C$2:$C$378)</f>
        <v>61054</v>
      </c>
      <c r="B203" s="138"/>
      <c r="C203" s="138">
        <f t="shared" si="18"/>
        <v>7855</v>
      </c>
      <c r="D203" s="552" t="e">
        <f ca="1">_xludf.IFNA(_xlfn.XLOOKUP(C205,'00_SKU_Master'!$B$2:$B$378,'00_SKU_Master'!$F$2:$F$378,0)*Y205,"")</f>
        <v>#NAME?</v>
      </c>
      <c r="E203" s="552" t="e">
        <f ca="1">_xludf.IFNA(_xlfn.XLOOKUP(C205,'00_SKU_Master'!$B$2:$B$378,'00_SKU_Master'!$F$2:$F$378,0)*Z205,"")</f>
        <v>#NAME?</v>
      </c>
      <c r="F203" s="552" t="e">
        <f ca="1">_xludf.IFNA(_xlfn.XLOOKUP(C205,'00_SKU_Master'!$B$2:$B$378,'00_SKU_Master'!$F$2:$F$378,0)*AA205,"")</f>
        <v>#NAME?</v>
      </c>
      <c r="G203" s="552" t="e">
        <f ca="1">_xludf.IFNA(_xlfn.XLOOKUP(C205,'00_SKU_Master'!$B$2:$B$378,'00_SKU_Master'!$F$2:$F$378,0)*AB205,"")</f>
        <v>#NAME?</v>
      </c>
      <c r="H203" s="552" t="e">
        <f ca="1">_xludf.IFNA(_xlfn.XLOOKUP(C205,'00_SKU_Master'!$B$2:$B$378,'00_SKU_Master'!$F$2:$F$378,0)*AC205,"")</f>
        <v>#NAME?</v>
      </c>
      <c r="I203" s="552" t="e">
        <f ca="1">_xludf.IFNA(_xlfn.XLOOKUP(C205,'00_SKU_Master'!$B$2:$B$378,'00_SKU_Master'!$F$2:$F$378,0)*AD205,"")</f>
        <v>#NAME?</v>
      </c>
      <c r="J203" s="552" t="e">
        <f ca="1">_xludf.IFNA(_xlfn.XLOOKUP(C205,'00_SKU_Master'!$B$2:$B$378,'00_SKU_Master'!$F$2:$F$378,0)*AE205,"")</f>
        <v>#NAME?</v>
      </c>
      <c r="K203" s="553" t="e">
        <f t="shared" ca="1" si="19"/>
        <v>#NAME?</v>
      </c>
      <c r="L203" s="187" t="e">
        <f>_xlfn.XLOOKUP(C205,'00_SKU_Master'!$B$2:$B$378,'00_SKU_Master'!K:K)</f>
        <v>#VALUE!</v>
      </c>
      <c r="M203" s="14">
        <f t="shared" si="20"/>
        <v>7855</v>
      </c>
      <c r="N203" s="147" t="e">
        <f ca="1">_xludf.IFNA(D205/_xlfn.XLOOKUP($M205,'00_SKU_Master'!$B$2:$B$378,'00_SKU_Master'!$M$2:$M$378,0)/$M$2,"0")</f>
        <v>#NAME?</v>
      </c>
      <c r="O203" s="147" t="e">
        <f ca="1">_xludf.IFNA(E205/_xlfn.XLOOKUP($M205,'00_SKU_Master'!$B$2:$B$378,'00_SKU_Master'!$M$2:$M$378,0)/$M$2,"0")</f>
        <v>#NAME?</v>
      </c>
      <c r="P203" s="147" t="e">
        <f ca="1">_xludf.IFNA(F205/_xlfn.XLOOKUP($M205,'00_SKU_Master'!$B$2:$B$378,'00_SKU_Master'!$M$2:$M$378,0)/$M$2,"0")</f>
        <v>#NAME?</v>
      </c>
      <c r="Q203" s="147" t="e">
        <f ca="1">_xludf.IFNA(G205/_xlfn.XLOOKUP($M205,'00_SKU_Master'!$B$2:$B$378,'00_SKU_Master'!$M$2:$M$378,0)/$M$2,"0")</f>
        <v>#NAME?</v>
      </c>
      <c r="R203" s="147" t="e">
        <f ca="1">_xludf.IFNA(H205/_xlfn.XLOOKUP($M205,'00_SKU_Master'!$B$2:$B$378,'00_SKU_Master'!$M$2:$M$378,0)/$M$2,"0")</f>
        <v>#NAME?</v>
      </c>
      <c r="S203" s="147" t="e">
        <f ca="1">_xludf.IFNA(I205/_xlfn.XLOOKUP($M205,'00_SKU_Master'!$B$2:$B$378,'00_SKU_Master'!$M$2:$M$378,0)/$M$2,"0")</f>
        <v>#NAME?</v>
      </c>
      <c r="T203" s="147" t="e">
        <f ca="1">_xludf.IFNA(J205/_xlfn.XLOOKUP($M205,'00_SKU_Master'!$B$2:$B$378,'00_SKU_Master'!$M$2:$M$378,0)/$M$2,"0")</f>
        <v>#NAME?</v>
      </c>
      <c r="U203" s="147" t="e">
        <f t="shared" ca="1" si="21"/>
        <v>#NAME?</v>
      </c>
      <c r="V203" s="4"/>
      <c r="W203" s="4" t="e">
        <f>_xlfn.XLOOKUP(M205,'00_SKU_Master'!$B$2:$B$378,'00_SKU_Master'!D:D)</f>
        <v>#VALUE!</v>
      </c>
      <c r="X203" s="14">
        <f>'05_Daily_Orders'!B204</f>
        <v>7853</v>
      </c>
      <c r="Y203" s="554"/>
      <c r="Z203" s="555"/>
      <c r="AA203" s="555"/>
      <c r="AB203" s="555"/>
      <c r="AC203" s="555">
        <v>323</v>
      </c>
      <c r="AD203" s="555">
        <v>339</v>
      </c>
      <c r="AE203" s="555">
        <v>169</v>
      </c>
      <c r="AF203" s="553">
        <f t="shared" si="22"/>
        <v>344</v>
      </c>
      <c r="AQ203" s="23">
        <v>0</v>
      </c>
      <c r="AR203" s="23">
        <v>0</v>
      </c>
      <c r="AS203" s="23">
        <f t="shared" si="23"/>
        <v>9</v>
      </c>
    </row>
    <row r="204" spans="1:45">
      <c r="A204" s="138">
        <f>_xlfn.XLOOKUP(C206,'00_SKU_Master'!$B$2:$B$378,'00_SKU_Master'!$C$2:$C$378)</f>
        <v>61086</v>
      </c>
      <c r="B204" s="138"/>
      <c r="C204" s="138">
        <f t="shared" si="18"/>
        <v>7858</v>
      </c>
      <c r="D204" s="552" t="e">
        <f ca="1">_xludf.IFNA(_xlfn.XLOOKUP(C206,'00_SKU_Master'!$B$2:$B$378,'00_SKU_Master'!$F$2:$F$378,0)*Y206,"")</f>
        <v>#NAME?</v>
      </c>
      <c r="E204" s="552" t="e">
        <f ca="1">_xludf.IFNA(_xlfn.XLOOKUP(C206,'00_SKU_Master'!$B$2:$B$378,'00_SKU_Master'!$F$2:$F$378,0)*Z206,"")</f>
        <v>#NAME?</v>
      </c>
      <c r="F204" s="552" t="e">
        <f ca="1">_xludf.IFNA(_xlfn.XLOOKUP(C206,'00_SKU_Master'!$B$2:$B$378,'00_SKU_Master'!$F$2:$F$378,0)*AA206,"")</f>
        <v>#NAME?</v>
      </c>
      <c r="G204" s="552" t="e">
        <f ca="1">_xludf.IFNA(_xlfn.XLOOKUP(C206,'00_SKU_Master'!$B$2:$B$378,'00_SKU_Master'!$F$2:$F$378,0)*AB206,"")</f>
        <v>#NAME?</v>
      </c>
      <c r="H204" s="552" t="e">
        <f ca="1">_xludf.IFNA(_xlfn.XLOOKUP(C206,'00_SKU_Master'!$B$2:$B$378,'00_SKU_Master'!$F$2:$F$378,0)*AC206,"")</f>
        <v>#NAME?</v>
      </c>
      <c r="I204" s="552" t="e">
        <f ca="1">_xludf.IFNA(_xlfn.XLOOKUP(C206,'00_SKU_Master'!$B$2:$B$378,'00_SKU_Master'!$F$2:$F$378,0)*AD206,"")</f>
        <v>#NAME?</v>
      </c>
      <c r="J204" s="552" t="e">
        <f ca="1">_xludf.IFNA(_xlfn.XLOOKUP(C206,'00_SKU_Master'!$B$2:$B$378,'00_SKU_Master'!$F$2:$F$378,0)*AE206,"")</f>
        <v>#NAME?</v>
      </c>
      <c r="K204" s="553" t="e">
        <f t="shared" ca="1" si="19"/>
        <v>#NAME?</v>
      </c>
      <c r="L204" s="187" t="e">
        <f>_xlfn.XLOOKUP(C206,'00_SKU_Master'!$B$2:$B$378,'00_SKU_Master'!K:K)</f>
        <v>#VALUE!</v>
      </c>
      <c r="M204" s="14">
        <f t="shared" si="20"/>
        <v>7858</v>
      </c>
      <c r="N204" s="147" t="e">
        <f ca="1">_xludf.IFNA(D206/_xlfn.XLOOKUP($M206,'00_SKU_Master'!$B$2:$B$378,'00_SKU_Master'!$M$2:$M$378,0)/$M$2,"0")</f>
        <v>#NAME?</v>
      </c>
      <c r="O204" s="147" t="e">
        <f ca="1">_xludf.IFNA(E206/_xlfn.XLOOKUP($M206,'00_SKU_Master'!$B$2:$B$378,'00_SKU_Master'!$M$2:$M$378,0)/$M$2,"0")</f>
        <v>#NAME?</v>
      </c>
      <c r="P204" s="147" t="e">
        <f ca="1">_xludf.IFNA(F206/_xlfn.XLOOKUP($M206,'00_SKU_Master'!$B$2:$B$378,'00_SKU_Master'!$M$2:$M$378,0)/$M$2,"0")</f>
        <v>#NAME?</v>
      </c>
      <c r="Q204" s="147" t="e">
        <f ca="1">_xludf.IFNA(G206/_xlfn.XLOOKUP($M206,'00_SKU_Master'!$B$2:$B$378,'00_SKU_Master'!$M$2:$M$378,0)/$M$2,"0")</f>
        <v>#NAME?</v>
      </c>
      <c r="R204" s="147" t="e">
        <f ca="1">_xludf.IFNA(H206/_xlfn.XLOOKUP($M206,'00_SKU_Master'!$B$2:$B$378,'00_SKU_Master'!$M$2:$M$378,0)/$M$2,"0")</f>
        <v>#NAME?</v>
      </c>
      <c r="S204" s="147" t="e">
        <f ca="1">_xludf.IFNA(I206/_xlfn.XLOOKUP($M206,'00_SKU_Master'!$B$2:$B$378,'00_SKU_Master'!$M$2:$M$378,0)/$M$2,"0")</f>
        <v>#NAME?</v>
      </c>
      <c r="T204" s="147" t="e">
        <f ca="1">_xludf.IFNA(J206/_xlfn.XLOOKUP($M206,'00_SKU_Master'!$B$2:$B$378,'00_SKU_Master'!$M$2:$M$378,0)/$M$2,"0")</f>
        <v>#NAME?</v>
      </c>
      <c r="U204" s="147" t="e">
        <f t="shared" ca="1" si="21"/>
        <v>#NAME?</v>
      </c>
      <c r="V204" s="4"/>
      <c r="W204" s="4" t="e">
        <f>_xlfn.XLOOKUP(M206,'00_SKU_Master'!$B$2:$B$378,'00_SKU_Master'!D:D)</f>
        <v>#VALUE!</v>
      </c>
      <c r="X204" s="14">
        <f>'05_Daily_Orders'!B205</f>
        <v>7854</v>
      </c>
      <c r="Y204" s="554"/>
      <c r="Z204" s="555"/>
      <c r="AA204" s="555"/>
      <c r="AB204" s="555"/>
      <c r="AC204" s="555">
        <v>369</v>
      </c>
      <c r="AD204" s="555">
        <v>206</v>
      </c>
      <c r="AE204" s="555">
        <v>109</v>
      </c>
      <c r="AF204" s="553">
        <f t="shared" si="22"/>
        <v>284</v>
      </c>
      <c r="AQ204" s="23">
        <v>0</v>
      </c>
      <c r="AR204" s="23">
        <v>6</v>
      </c>
      <c r="AS204" s="23">
        <f t="shared" si="23"/>
        <v>0</v>
      </c>
    </row>
    <row r="205" spans="1:45">
      <c r="A205" s="138" t="str">
        <f>_xlfn.XLOOKUP(C207,'00_SKU_Master'!$B$2:$B$378,'00_SKU_Master'!$C$2:$C$378)</f>
        <v>61072#2</v>
      </c>
      <c r="B205" s="138"/>
      <c r="C205" s="138">
        <f t="shared" si="18"/>
        <v>7859</v>
      </c>
      <c r="D205" s="552" t="e">
        <f ca="1">_xludf.IFNA(_xlfn.XLOOKUP(C207,'00_SKU_Master'!$B$2:$B$378,'00_SKU_Master'!$F$2:$F$378,0)*Y207,"")</f>
        <v>#NAME?</v>
      </c>
      <c r="E205" s="552" t="e">
        <f ca="1">_xludf.IFNA(_xlfn.XLOOKUP(C207,'00_SKU_Master'!$B$2:$B$378,'00_SKU_Master'!$F$2:$F$378,0)*Z207,"")</f>
        <v>#NAME?</v>
      </c>
      <c r="F205" s="552" t="e">
        <f ca="1">_xludf.IFNA(_xlfn.XLOOKUP(C207,'00_SKU_Master'!$B$2:$B$378,'00_SKU_Master'!$F$2:$F$378,0)*AA207,"")</f>
        <v>#NAME?</v>
      </c>
      <c r="G205" s="552" t="e">
        <f ca="1">_xludf.IFNA(_xlfn.XLOOKUP(C207,'00_SKU_Master'!$B$2:$B$378,'00_SKU_Master'!$F$2:$F$378,0)*AB207,"")</f>
        <v>#NAME?</v>
      </c>
      <c r="H205" s="552" t="e">
        <f ca="1">_xludf.IFNA(_xlfn.XLOOKUP(C207,'00_SKU_Master'!$B$2:$B$378,'00_SKU_Master'!$F$2:$F$378,0)*AC207,"")</f>
        <v>#NAME?</v>
      </c>
      <c r="I205" s="552" t="e">
        <f ca="1">_xludf.IFNA(_xlfn.XLOOKUP(C207,'00_SKU_Master'!$B$2:$B$378,'00_SKU_Master'!$F$2:$F$378,0)*AD207,"")</f>
        <v>#NAME?</v>
      </c>
      <c r="J205" s="552" t="e">
        <f ca="1">_xludf.IFNA(_xlfn.XLOOKUP(C207,'00_SKU_Master'!$B$2:$B$378,'00_SKU_Master'!$F$2:$F$378,0)*AE207,"")</f>
        <v>#NAME?</v>
      </c>
      <c r="K205" s="553" t="e">
        <f t="shared" ca="1" si="19"/>
        <v>#NAME?</v>
      </c>
      <c r="L205" s="187" t="e">
        <f>_xlfn.XLOOKUP(C207,'00_SKU_Master'!$B$2:$B$378,'00_SKU_Master'!K:K)</f>
        <v>#VALUE!</v>
      </c>
      <c r="M205" s="14">
        <f t="shared" si="20"/>
        <v>7859</v>
      </c>
      <c r="N205" s="147" t="e">
        <f ca="1">_xludf.IFNA(D207/_xlfn.XLOOKUP($M207,'00_SKU_Master'!$B$2:$B$378,'00_SKU_Master'!$M$2:$M$378,0)/$M$2,"0")</f>
        <v>#NAME?</v>
      </c>
      <c r="O205" s="147" t="e">
        <f ca="1">_xludf.IFNA(E207/_xlfn.XLOOKUP($M207,'00_SKU_Master'!$B$2:$B$378,'00_SKU_Master'!$M$2:$M$378,0)/$M$2,"0")</f>
        <v>#NAME?</v>
      </c>
      <c r="P205" s="147" t="e">
        <f ca="1">_xludf.IFNA(F207/_xlfn.XLOOKUP($M207,'00_SKU_Master'!$B$2:$B$378,'00_SKU_Master'!$M$2:$M$378,0)/$M$2,"0")</f>
        <v>#NAME?</v>
      </c>
      <c r="Q205" s="147" t="e">
        <f ca="1">_xludf.IFNA(G207/_xlfn.XLOOKUP($M207,'00_SKU_Master'!$B$2:$B$378,'00_SKU_Master'!$M$2:$M$378,0)/$M$2,"0")</f>
        <v>#NAME?</v>
      </c>
      <c r="R205" s="147" t="e">
        <f ca="1">_xludf.IFNA(H207/_xlfn.XLOOKUP($M207,'00_SKU_Master'!$B$2:$B$378,'00_SKU_Master'!$M$2:$M$378,0)/$M$2,"0")</f>
        <v>#NAME?</v>
      </c>
      <c r="S205" s="147" t="e">
        <f ca="1">_xludf.IFNA(I207/_xlfn.XLOOKUP($M207,'00_SKU_Master'!$B$2:$B$378,'00_SKU_Master'!$M$2:$M$378,0)/$M$2,"0")</f>
        <v>#NAME?</v>
      </c>
      <c r="T205" s="147" t="e">
        <f ca="1">_xludf.IFNA(J207/_xlfn.XLOOKUP($M207,'00_SKU_Master'!$B$2:$B$378,'00_SKU_Master'!$M$2:$M$378,0)/$M$2,"0")</f>
        <v>#NAME?</v>
      </c>
      <c r="U205" s="147" t="e">
        <f t="shared" ca="1" si="21"/>
        <v>#NAME?</v>
      </c>
      <c r="V205" s="4"/>
      <c r="W205" s="4" t="e">
        <f>_xlfn.XLOOKUP(M207,'00_SKU_Master'!$B$2:$B$378,'00_SKU_Master'!D:D)</f>
        <v>#VALUE!</v>
      </c>
      <c r="X205" s="14">
        <f>'05_Daily_Orders'!B206</f>
        <v>7855</v>
      </c>
      <c r="Y205" s="554"/>
      <c r="Z205" s="555"/>
      <c r="AA205" s="555"/>
      <c r="AB205" s="555"/>
      <c r="AC205" s="555">
        <v>127</v>
      </c>
      <c r="AD205" s="555">
        <v>138</v>
      </c>
      <c r="AE205" s="555">
        <v>79</v>
      </c>
      <c r="AF205" s="553">
        <f t="shared" si="22"/>
        <v>0</v>
      </c>
      <c r="AQ205" s="23">
        <v>0</v>
      </c>
      <c r="AR205" s="23">
        <v>9</v>
      </c>
      <c r="AS205" s="23">
        <f t="shared" si="23"/>
        <v>0</v>
      </c>
    </row>
    <row r="206" spans="1:45">
      <c r="A206" s="138" t="str">
        <f>_xlfn.XLOOKUP(C208,'00_SKU_Master'!$B$2:$B$378,'00_SKU_Master'!$C$2:$C$378)</f>
        <v>61050#2</v>
      </c>
      <c r="B206" s="138"/>
      <c r="C206" s="138">
        <f t="shared" si="18"/>
        <v>7860</v>
      </c>
      <c r="D206" s="552" t="e">
        <f ca="1">_xludf.IFNA(_xlfn.XLOOKUP(C208,'00_SKU_Master'!$B$2:$B$378,'00_SKU_Master'!$F$2:$F$378,0)*Y208,"")</f>
        <v>#NAME?</v>
      </c>
      <c r="E206" s="552" t="e">
        <f ca="1">_xludf.IFNA(_xlfn.XLOOKUP(C208,'00_SKU_Master'!$B$2:$B$378,'00_SKU_Master'!$F$2:$F$378,0)*Z208,"")</f>
        <v>#NAME?</v>
      </c>
      <c r="F206" s="552" t="e">
        <f ca="1">_xludf.IFNA(_xlfn.XLOOKUP(C208,'00_SKU_Master'!$B$2:$B$378,'00_SKU_Master'!$F$2:$F$378,0)*AA208,"")</f>
        <v>#NAME?</v>
      </c>
      <c r="G206" s="552" t="e">
        <f ca="1">_xludf.IFNA(_xlfn.XLOOKUP(C208,'00_SKU_Master'!$B$2:$B$378,'00_SKU_Master'!$F$2:$F$378,0)*AB208,"")</f>
        <v>#NAME?</v>
      </c>
      <c r="H206" s="552" t="e">
        <f ca="1">_xludf.IFNA(_xlfn.XLOOKUP(C208,'00_SKU_Master'!$B$2:$B$378,'00_SKU_Master'!$F$2:$F$378,0)*AC208,"")</f>
        <v>#NAME?</v>
      </c>
      <c r="I206" s="552" t="e">
        <f ca="1">_xludf.IFNA(_xlfn.XLOOKUP(C208,'00_SKU_Master'!$B$2:$B$378,'00_SKU_Master'!$F$2:$F$378,0)*AD208,"")</f>
        <v>#NAME?</v>
      </c>
      <c r="J206" s="552" t="e">
        <f ca="1">_xludf.IFNA(_xlfn.XLOOKUP(C208,'00_SKU_Master'!$B$2:$B$378,'00_SKU_Master'!$F$2:$F$378,0)*AE208,"")</f>
        <v>#NAME?</v>
      </c>
      <c r="K206" s="553" t="e">
        <f t="shared" ca="1" si="19"/>
        <v>#NAME?</v>
      </c>
      <c r="L206" s="187" t="e">
        <f>_xlfn.XLOOKUP(C208,'00_SKU_Master'!$B$2:$B$378,'00_SKU_Master'!K:K)</f>
        <v>#VALUE!</v>
      </c>
      <c r="M206" s="14">
        <f t="shared" si="20"/>
        <v>7860</v>
      </c>
      <c r="N206" s="147" t="e">
        <f ca="1">_xludf.IFNA(D208/_xlfn.XLOOKUP($M208,'00_SKU_Master'!$B$2:$B$378,'00_SKU_Master'!$M$2:$M$378,0)/$M$2,"0")</f>
        <v>#NAME?</v>
      </c>
      <c r="O206" s="147" t="e">
        <f ca="1">_xludf.IFNA(E208/_xlfn.XLOOKUP($M208,'00_SKU_Master'!$B$2:$B$378,'00_SKU_Master'!$M$2:$M$378,0)/$M$2,"0")</f>
        <v>#NAME?</v>
      </c>
      <c r="P206" s="147" t="e">
        <f ca="1">_xludf.IFNA(F208/_xlfn.XLOOKUP($M208,'00_SKU_Master'!$B$2:$B$378,'00_SKU_Master'!$M$2:$M$378,0)/$M$2,"0")</f>
        <v>#NAME?</v>
      </c>
      <c r="Q206" s="147" t="e">
        <f ca="1">_xludf.IFNA(G208/_xlfn.XLOOKUP($M208,'00_SKU_Master'!$B$2:$B$378,'00_SKU_Master'!$M$2:$M$378,0)/$M$2,"0")</f>
        <v>#NAME?</v>
      </c>
      <c r="R206" s="147" t="e">
        <f ca="1">_xludf.IFNA(H208/_xlfn.XLOOKUP($M208,'00_SKU_Master'!$B$2:$B$378,'00_SKU_Master'!$M$2:$M$378,0)/$M$2,"0")</f>
        <v>#NAME?</v>
      </c>
      <c r="S206" s="147" t="e">
        <f ca="1">_xludf.IFNA(I208/_xlfn.XLOOKUP($M208,'00_SKU_Master'!$B$2:$B$378,'00_SKU_Master'!$M$2:$M$378,0)/$M$2,"0")</f>
        <v>#NAME?</v>
      </c>
      <c r="T206" s="147" t="e">
        <f ca="1">_xludf.IFNA(J208/_xlfn.XLOOKUP($M208,'00_SKU_Master'!$B$2:$B$378,'00_SKU_Master'!$M$2:$M$378,0)/$M$2,"0")</f>
        <v>#NAME?</v>
      </c>
      <c r="U206" s="147" t="e">
        <f t="shared" ca="1" si="21"/>
        <v>#NAME?</v>
      </c>
      <c r="V206" s="4"/>
      <c r="W206" s="4" t="e">
        <f>_xlfn.XLOOKUP(M208,'00_SKU_Master'!$B$2:$B$378,'00_SKU_Master'!D:D)</f>
        <v>#VALUE!</v>
      </c>
      <c r="X206" s="14">
        <f>'05_Daily_Orders'!B207</f>
        <v>7858</v>
      </c>
      <c r="Y206" s="554"/>
      <c r="Z206" s="555"/>
      <c r="AA206" s="555"/>
      <c r="AB206" s="555"/>
      <c r="AC206" s="555">
        <v>109</v>
      </c>
      <c r="AD206" s="555">
        <v>120</v>
      </c>
      <c r="AE206" s="555">
        <v>55</v>
      </c>
      <c r="AF206" s="553">
        <f t="shared" si="22"/>
        <v>52</v>
      </c>
      <c r="AQ206" s="23">
        <v>0</v>
      </c>
      <c r="AR206" s="23">
        <v>0</v>
      </c>
      <c r="AS206" s="23">
        <f t="shared" si="23"/>
        <v>0</v>
      </c>
    </row>
    <row r="207" spans="1:45">
      <c r="A207" s="138">
        <f>_xlfn.XLOOKUP(C209,'00_SKU_Master'!$B$2:$B$378,'00_SKU_Master'!$C$2:$C$378)</f>
        <v>203891</v>
      </c>
      <c r="B207" s="138"/>
      <c r="C207" s="138">
        <f t="shared" si="18"/>
        <v>7862</v>
      </c>
      <c r="D207" s="552" t="e">
        <f ca="1">_xludf.IFNA(_xlfn.XLOOKUP(C209,'00_SKU_Master'!$B$2:$B$378,'00_SKU_Master'!$F$2:$F$378,0)*Y209,"")</f>
        <v>#NAME?</v>
      </c>
      <c r="E207" s="552" t="e">
        <f ca="1">_xludf.IFNA(_xlfn.XLOOKUP(C209,'00_SKU_Master'!$B$2:$B$378,'00_SKU_Master'!$F$2:$F$378,0)*Z209,"")</f>
        <v>#NAME?</v>
      </c>
      <c r="F207" s="552" t="e">
        <f ca="1">_xludf.IFNA(_xlfn.XLOOKUP(C209,'00_SKU_Master'!$B$2:$B$378,'00_SKU_Master'!$F$2:$F$378,0)*AA209,"")</f>
        <v>#NAME?</v>
      </c>
      <c r="G207" s="552" t="e">
        <f ca="1">_xludf.IFNA(_xlfn.XLOOKUP(C209,'00_SKU_Master'!$B$2:$B$378,'00_SKU_Master'!$F$2:$F$378,0)*AB209,"")</f>
        <v>#NAME?</v>
      </c>
      <c r="H207" s="552" t="e">
        <f ca="1">_xludf.IFNA(_xlfn.XLOOKUP(C209,'00_SKU_Master'!$B$2:$B$378,'00_SKU_Master'!$F$2:$F$378,0)*AC209,"")</f>
        <v>#NAME?</v>
      </c>
      <c r="I207" s="552" t="e">
        <f ca="1">_xludf.IFNA(_xlfn.XLOOKUP(C209,'00_SKU_Master'!$B$2:$B$378,'00_SKU_Master'!$F$2:$F$378,0)*AD209,"")</f>
        <v>#NAME?</v>
      </c>
      <c r="J207" s="552" t="e">
        <f ca="1">_xludf.IFNA(_xlfn.XLOOKUP(C209,'00_SKU_Master'!$B$2:$B$378,'00_SKU_Master'!$F$2:$F$378,0)*AE209,"")</f>
        <v>#NAME?</v>
      </c>
      <c r="K207" s="553" t="e">
        <f t="shared" ca="1" si="19"/>
        <v>#NAME?</v>
      </c>
      <c r="L207" s="187" t="e">
        <f>_xlfn.XLOOKUP(C209,'00_SKU_Master'!$B$2:$B$378,'00_SKU_Master'!K:K)</f>
        <v>#VALUE!</v>
      </c>
      <c r="M207" s="14">
        <f t="shared" si="20"/>
        <v>7862</v>
      </c>
      <c r="N207" s="147" t="e">
        <f ca="1">_xludf.IFNA(D209/_xlfn.XLOOKUP($M209,'00_SKU_Master'!$B$2:$B$378,'00_SKU_Master'!$M$2:$M$378,0)/$M$2,"0")</f>
        <v>#NAME?</v>
      </c>
      <c r="O207" s="147" t="e">
        <f ca="1">_xludf.IFNA(E209/_xlfn.XLOOKUP($M209,'00_SKU_Master'!$B$2:$B$378,'00_SKU_Master'!$M$2:$M$378,0)/$M$2,"0")</f>
        <v>#NAME?</v>
      </c>
      <c r="P207" s="147" t="e">
        <f ca="1">_xludf.IFNA(F209/_xlfn.XLOOKUP($M209,'00_SKU_Master'!$B$2:$B$378,'00_SKU_Master'!$M$2:$M$378,0)/$M$2,"0")</f>
        <v>#NAME?</v>
      </c>
      <c r="Q207" s="147" t="e">
        <f ca="1">_xludf.IFNA(G209/_xlfn.XLOOKUP($M209,'00_SKU_Master'!$B$2:$B$378,'00_SKU_Master'!$M$2:$M$378,0)/$M$2,"0")</f>
        <v>#NAME?</v>
      </c>
      <c r="R207" s="147" t="e">
        <f ca="1">_xludf.IFNA(H209/_xlfn.XLOOKUP($M209,'00_SKU_Master'!$B$2:$B$378,'00_SKU_Master'!$M$2:$M$378,0)/$M$2,"0")</f>
        <v>#NAME?</v>
      </c>
      <c r="S207" s="147" t="e">
        <f ca="1">_xludf.IFNA(I209/_xlfn.XLOOKUP($M209,'00_SKU_Master'!$B$2:$B$378,'00_SKU_Master'!$M$2:$M$378,0)/$M$2,"0")</f>
        <v>#NAME?</v>
      </c>
      <c r="T207" s="147" t="e">
        <f ca="1">_xludf.IFNA(J209/_xlfn.XLOOKUP($M209,'00_SKU_Master'!$B$2:$B$378,'00_SKU_Master'!$M$2:$M$378,0)/$M$2,"0")</f>
        <v>#NAME?</v>
      </c>
      <c r="U207" s="147" t="e">
        <f t="shared" ca="1" si="21"/>
        <v>#NAME?</v>
      </c>
      <c r="V207" s="4"/>
      <c r="W207" s="4" t="e">
        <f>_xlfn.XLOOKUP(M209,'00_SKU_Master'!$B$2:$B$378,'00_SKU_Master'!D:D)</f>
        <v>#VALUE!</v>
      </c>
      <c r="X207" s="14">
        <f>'05_Daily_Orders'!B208</f>
        <v>7859</v>
      </c>
      <c r="Y207" s="554"/>
      <c r="Z207" s="555"/>
      <c r="AA207" s="555"/>
      <c r="AB207" s="555"/>
      <c r="AC207" s="555">
        <v>0</v>
      </c>
      <c r="AD207" s="555">
        <v>0</v>
      </c>
      <c r="AE207" s="555">
        <v>0</v>
      </c>
      <c r="AF207" s="553">
        <f t="shared" si="22"/>
        <v>673</v>
      </c>
      <c r="AQ207" s="23">
        <v>0</v>
      </c>
      <c r="AR207" s="23">
        <v>0</v>
      </c>
      <c r="AS207" s="23">
        <f t="shared" si="23"/>
        <v>0</v>
      </c>
    </row>
    <row r="208" spans="1:45">
      <c r="A208" s="138">
        <f>_xlfn.XLOOKUP(C210,'00_SKU_Master'!$B$2:$B$378,'00_SKU_Master'!$C$2:$C$378)</f>
        <v>61082</v>
      </c>
      <c r="B208" s="138"/>
      <c r="C208" s="138">
        <f t="shared" si="18"/>
        <v>7863</v>
      </c>
      <c r="D208" s="552" t="e">
        <f ca="1">_xludf.IFNA(_xlfn.XLOOKUP(C210,'00_SKU_Master'!$B$2:$B$378,'00_SKU_Master'!$F$2:$F$378,0)*Y210,"")</f>
        <v>#NAME?</v>
      </c>
      <c r="E208" s="552" t="e">
        <f ca="1">_xludf.IFNA(_xlfn.XLOOKUP(C210,'00_SKU_Master'!$B$2:$B$378,'00_SKU_Master'!$F$2:$F$378,0)*Z210,"")</f>
        <v>#NAME?</v>
      </c>
      <c r="F208" s="552" t="e">
        <f ca="1">_xludf.IFNA(_xlfn.XLOOKUP(C210,'00_SKU_Master'!$B$2:$B$378,'00_SKU_Master'!$F$2:$F$378,0)*AA210,"")</f>
        <v>#NAME?</v>
      </c>
      <c r="G208" s="552" t="e">
        <f ca="1">_xludf.IFNA(_xlfn.XLOOKUP(C210,'00_SKU_Master'!$B$2:$B$378,'00_SKU_Master'!$F$2:$F$378,0)*AB210,"")</f>
        <v>#NAME?</v>
      </c>
      <c r="H208" s="552" t="e">
        <f ca="1">_xludf.IFNA(_xlfn.XLOOKUP(C210,'00_SKU_Master'!$B$2:$B$378,'00_SKU_Master'!$F$2:$F$378,0)*AC210,"")</f>
        <v>#NAME?</v>
      </c>
      <c r="I208" s="552" t="e">
        <f ca="1">_xludf.IFNA(_xlfn.XLOOKUP(C210,'00_SKU_Master'!$B$2:$B$378,'00_SKU_Master'!$F$2:$F$378,0)*AD210,"")</f>
        <v>#NAME?</v>
      </c>
      <c r="J208" s="552" t="e">
        <f ca="1">_xludf.IFNA(_xlfn.XLOOKUP(C210,'00_SKU_Master'!$B$2:$B$378,'00_SKU_Master'!$F$2:$F$378,0)*AE210,"")</f>
        <v>#NAME?</v>
      </c>
      <c r="K208" s="553" t="e">
        <f t="shared" ca="1" si="19"/>
        <v>#NAME?</v>
      </c>
      <c r="L208" s="187" t="e">
        <f>_xlfn.XLOOKUP(C210,'00_SKU_Master'!$B$2:$B$378,'00_SKU_Master'!K:K)</f>
        <v>#VALUE!</v>
      </c>
      <c r="M208" s="14">
        <f t="shared" si="20"/>
        <v>7863</v>
      </c>
      <c r="N208" s="147" t="e">
        <f ca="1">_xludf.IFNA(D210/_xlfn.XLOOKUP($M210,'00_SKU_Master'!$B$2:$B$378,'00_SKU_Master'!$M$2:$M$378,0)/$M$2,"0")</f>
        <v>#NAME?</v>
      </c>
      <c r="O208" s="147" t="e">
        <f ca="1">_xludf.IFNA(E210/_xlfn.XLOOKUP($M210,'00_SKU_Master'!$B$2:$B$378,'00_SKU_Master'!$M$2:$M$378,0)/$M$2,"0")</f>
        <v>#NAME?</v>
      </c>
      <c r="P208" s="147" t="e">
        <f ca="1">_xludf.IFNA(F210/_xlfn.XLOOKUP($M210,'00_SKU_Master'!$B$2:$B$378,'00_SKU_Master'!$M$2:$M$378,0)/$M$2,"0")</f>
        <v>#NAME?</v>
      </c>
      <c r="Q208" s="147" t="e">
        <f ca="1">_xludf.IFNA(G210/_xlfn.XLOOKUP($M210,'00_SKU_Master'!$B$2:$B$378,'00_SKU_Master'!$M$2:$M$378,0)/$M$2,"0")</f>
        <v>#NAME?</v>
      </c>
      <c r="R208" s="147" t="e">
        <f ca="1">_xludf.IFNA(H210/_xlfn.XLOOKUP($M210,'00_SKU_Master'!$B$2:$B$378,'00_SKU_Master'!$M$2:$M$378,0)/$M$2,"0")</f>
        <v>#NAME?</v>
      </c>
      <c r="S208" s="147" t="e">
        <f ca="1">_xludf.IFNA(I210/_xlfn.XLOOKUP($M210,'00_SKU_Master'!$B$2:$B$378,'00_SKU_Master'!$M$2:$M$378,0)/$M$2,"0")</f>
        <v>#NAME?</v>
      </c>
      <c r="T208" s="147" t="e">
        <f ca="1">_xludf.IFNA(J210/_xlfn.XLOOKUP($M210,'00_SKU_Master'!$B$2:$B$378,'00_SKU_Master'!$M$2:$M$378,0)/$M$2,"0")</f>
        <v>#NAME?</v>
      </c>
      <c r="U208" s="147" t="e">
        <f t="shared" ca="1" si="21"/>
        <v>#NAME?</v>
      </c>
      <c r="V208" s="4"/>
      <c r="W208" s="4" t="e">
        <f>_xlfn.XLOOKUP(M210,'00_SKU_Master'!$B$2:$B$378,'00_SKU_Master'!D:D)</f>
        <v>#VALUE!</v>
      </c>
      <c r="X208" s="14">
        <f>'05_Daily_Orders'!B209</f>
        <v>7860</v>
      </c>
      <c r="Y208" s="554"/>
      <c r="Z208" s="555"/>
      <c r="AA208" s="555"/>
      <c r="AB208" s="555"/>
      <c r="AC208" s="555">
        <v>30</v>
      </c>
      <c r="AD208" s="555">
        <v>13</v>
      </c>
      <c r="AE208" s="555">
        <v>9</v>
      </c>
      <c r="AF208" s="553">
        <f t="shared" si="22"/>
        <v>0</v>
      </c>
      <c r="AQ208" s="23">
        <v>0</v>
      </c>
      <c r="AR208" s="23">
        <v>0</v>
      </c>
      <c r="AS208" s="23">
        <f t="shared" si="23"/>
        <v>0</v>
      </c>
    </row>
    <row r="209" spans="1:45">
      <c r="A209" s="138">
        <f>_xlfn.XLOOKUP(C211,'00_SKU_Master'!$B$2:$B$378,'00_SKU_Master'!$C$2:$C$378)</f>
        <v>61061</v>
      </c>
      <c r="B209" s="138"/>
      <c r="C209" s="138">
        <f t="shared" si="18"/>
        <v>7864</v>
      </c>
      <c r="D209" s="552" t="e">
        <f ca="1">_xludf.IFNA(_xlfn.XLOOKUP(C211,'00_SKU_Master'!$B$2:$B$378,'00_SKU_Master'!$F$2:$F$378,0)*Y211,"")</f>
        <v>#NAME?</v>
      </c>
      <c r="E209" s="552" t="e">
        <f ca="1">_xludf.IFNA(_xlfn.XLOOKUP(C211,'00_SKU_Master'!$B$2:$B$378,'00_SKU_Master'!$F$2:$F$378,0)*Z211,"")</f>
        <v>#NAME?</v>
      </c>
      <c r="F209" s="552" t="e">
        <f ca="1">_xludf.IFNA(_xlfn.XLOOKUP(C211,'00_SKU_Master'!$B$2:$B$378,'00_SKU_Master'!$F$2:$F$378,0)*AA211,"")</f>
        <v>#NAME?</v>
      </c>
      <c r="G209" s="552" t="e">
        <f ca="1">_xludf.IFNA(_xlfn.XLOOKUP(C211,'00_SKU_Master'!$B$2:$B$378,'00_SKU_Master'!$F$2:$F$378,0)*AB211,"")</f>
        <v>#NAME?</v>
      </c>
      <c r="H209" s="552" t="e">
        <f ca="1">_xludf.IFNA(_xlfn.XLOOKUP(C211,'00_SKU_Master'!$B$2:$B$378,'00_SKU_Master'!$F$2:$F$378,0)*AC211,"")</f>
        <v>#NAME?</v>
      </c>
      <c r="I209" s="552" t="e">
        <f ca="1">_xludf.IFNA(_xlfn.XLOOKUP(C211,'00_SKU_Master'!$B$2:$B$378,'00_SKU_Master'!$F$2:$F$378,0)*AD211,"")</f>
        <v>#NAME?</v>
      </c>
      <c r="J209" s="552" t="e">
        <f ca="1">_xludf.IFNA(_xlfn.XLOOKUP(C211,'00_SKU_Master'!$B$2:$B$378,'00_SKU_Master'!$F$2:$F$378,0)*AE211,"")</f>
        <v>#NAME?</v>
      </c>
      <c r="K209" s="553" t="e">
        <f t="shared" ca="1" si="19"/>
        <v>#NAME?</v>
      </c>
      <c r="L209" s="187" t="e">
        <f>_xlfn.XLOOKUP(C211,'00_SKU_Master'!$B$2:$B$378,'00_SKU_Master'!K:K)</f>
        <v>#VALUE!</v>
      </c>
      <c r="M209" s="14">
        <f t="shared" si="20"/>
        <v>7864</v>
      </c>
      <c r="N209" s="147" t="e">
        <f ca="1">_xludf.IFNA(D211/_xlfn.XLOOKUP($M211,'00_SKU_Master'!$B$2:$B$378,'00_SKU_Master'!$M$2:$M$378,0)/$M$2,"0")</f>
        <v>#NAME?</v>
      </c>
      <c r="O209" s="147" t="e">
        <f ca="1">_xludf.IFNA(E211/_xlfn.XLOOKUP($M211,'00_SKU_Master'!$B$2:$B$378,'00_SKU_Master'!$M$2:$M$378,0)/$M$2,"0")</f>
        <v>#NAME?</v>
      </c>
      <c r="P209" s="147" t="e">
        <f ca="1">_xludf.IFNA(F211/_xlfn.XLOOKUP($M211,'00_SKU_Master'!$B$2:$B$378,'00_SKU_Master'!$M$2:$M$378,0)/$M$2,"0")</f>
        <v>#NAME?</v>
      </c>
      <c r="Q209" s="147" t="e">
        <f ca="1">_xludf.IFNA(G211/_xlfn.XLOOKUP($M211,'00_SKU_Master'!$B$2:$B$378,'00_SKU_Master'!$M$2:$M$378,0)/$M$2,"0")</f>
        <v>#NAME?</v>
      </c>
      <c r="R209" s="147" t="e">
        <f ca="1">_xludf.IFNA(H211/_xlfn.XLOOKUP($M211,'00_SKU_Master'!$B$2:$B$378,'00_SKU_Master'!$M$2:$M$378,0)/$M$2,"0")</f>
        <v>#NAME?</v>
      </c>
      <c r="S209" s="147" t="e">
        <f ca="1">_xludf.IFNA(I211/_xlfn.XLOOKUP($M211,'00_SKU_Master'!$B$2:$B$378,'00_SKU_Master'!$M$2:$M$378,0)/$M$2,"0")</f>
        <v>#NAME?</v>
      </c>
      <c r="T209" s="147" t="e">
        <f ca="1">_xludf.IFNA(J211/_xlfn.XLOOKUP($M211,'00_SKU_Master'!$B$2:$B$378,'00_SKU_Master'!$M$2:$M$378,0)/$M$2,"0")</f>
        <v>#NAME?</v>
      </c>
      <c r="U209" s="147" t="e">
        <f t="shared" ca="1" si="21"/>
        <v>#NAME?</v>
      </c>
      <c r="V209" s="4"/>
      <c r="W209" s="4" t="e">
        <f>_xlfn.XLOOKUP(M211,'00_SKU_Master'!$B$2:$B$378,'00_SKU_Master'!D:D)</f>
        <v>#VALUE!</v>
      </c>
      <c r="X209" s="14">
        <f>'05_Daily_Orders'!B210</f>
        <v>7862</v>
      </c>
      <c r="Y209" s="554"/>
      <c r="Z209" s="555"/>
      <c r="AA209" s="555"/>
      <c r="AB209" s="555"/>
      <c r="AC209" s="555">
        <v>258</v>
      </c>
      <c r="AD209" s="555">
        <v>273</v>
      </c>
      <c r="AE209" s="555">
        <v>142</v>
      </c>
      <c r="AF209" s="553">
        <f t="shared" si="22"/>
        <v>0</v>
      </c>
      <c r="AQ209" s="23">
        <v>0</v>
      </c>
      <c r="AR209" s="23">
        <v>0</v>
      </c>
      <c r="AS209" s="23">
        <f t="shared" si="23"/>
        <v>0</v>
      </c>
    </row>
    <row r="210" spans="1:45">
      <c r="A210" s="138" t="str">
        <f>_xlfn.XLOOKUP(C212,'00_SKU_Master'!$B$2:$B$378,'00_SKU_Master'!$C$2:$C$378)</f>
        <v>61086#2</v>
      </c>
      <c r="B210" s="138"/>
      <c r="C210" s="138">
        <f t="shared" si="18"/>
        <v>7865</v>
      </c>
      <c r="D210" s="552" t="e">
        <f ca="1">_xludf.IFNA(_xlfn.XLOOKUP(C212,'00_SKU_Master'!$B$2:$B$378,'00_SKU_Master'!$F$2:$F$378,0)*Y212,"")</f>
        <v>#NAME?</v>
      </c>
      <c r="E210" s="552" t="e">
        <f ca="1">_xludf.IFNA(_xlfn.XLOOKUP(C212,'00_SKU_Master'!$B$2:$B$378,'00_SKU_Master'!$F$2:$F$378,0)*Z212,"")</f>
        <v>#NAME?</v>
      </c>
      <c r="F210" s="552" t="e">
        <f ca="1">_xludf.IFNA(_xlfn.XLOOKUP(C212,'00_SKU_Master'!$B$2:$B$378,'00_SKU_Master'!$F$2:$F$378,0)*AA212,"")</f>
        <v>#NAME?</v>
      </c>
      <c r="G210" s="552" t="e">
        <f ca="1">_xludf.IFNA(_xlfn.XLOOKUP(C212,'00_SKU_Master'!$B$2:$B$378,'00_SKU_Master'!$F$2:$F$378,0)*AB212,"")</f>
        <v>#NAME?</v>
      </c>
      <c r="H210" s="552" t="e">
        <f ca="1">_xludf.IFNA(_xlfn.XLOOKUP(C212,'00_SKU_Master'!$B$2:$B$378,'00_SKU_Master'!$F$2:$F$378,0)*AC212,"")</f>
        <v>#NAME?</v>
      </c>
      <c r="I210" s="552" t="e">
        <f ca="1">_xludf.IFNA(_xlfn.XLOOKUP(C212,'00_SKU_Master'!$B$2:$B$378,'00_SKU_Master'!$F$2:$F$378,0)*AD212,"")</f>
        <v>#NAME?</v>
      </c>
      <c r="J210" s="552" t="e">
        <f ca="1">_xludf.IFNA(_xlfn.XLOOKUP(C212,'00_SKU_Master'!$B$2:$B$378,'00_SKU_Master'!$F$2:$F$378,0)*AE212,"")</f>
        <v>#NAME?</v>
      </c>
      <c r="K210" s="553" t="e">
        <f t="shared" ca="1" si="19"/>
        <v>#NAME?</v>
      </c>
      <c r="L210" s="187" t="e">
        <f>_xlfn.XLOOKUP(C212,'00_SKU_Master'!$B$2:$B$378,'00_SKU_Master'!K:K)</f>
        <v>#VALUE!</v>
      </c>
      <c r="M210" s="14">
        <f t="shared" si="20"/>
        <v>7865</v>
      </c>
      <c r="N210" s="147" t="e">
        <f ca="1">_xludf.IFNA(D212/_xlfn.XLOOKUP($M212,'00_SKU_Master'!$B$2:$B$378,'00_SKU_Master'!$M$2:$M$378,0)/$M$2,"0")</f>
        <v>#NAME?</v>
      </c>
      <c r="O210" s="147" t="e">
        <f ca="1">_xludf.IFNA(E212/_xlfn.XLOOKUP($M212,'00_SKU_Master'!$B$2:$B$378,'00_SKU_Master'!$M$2:$M$378,0)/$M$2,"0")</f>
        <v>#NAME?</v>
      </c>
      <c r="P210" s="147" t="e">
        <f ca="1">_xludf.IFNA(F212/_xlfn.XLOOKUP($M212,'00_SKU_Master'!$B$2:$B$378,'00_SKU_Master'!$M$2:$M$378,0)/$M$2,"0")</f>
        <v>#NAME?</v>
      </c>
      <c r="Q210" s="147" t="e">
        <f ca="1">_xludf.IFNA(G212/_xlfn.XLOOKUP($M212,'00_SKU_Master'!$B$2:$B$378,'00_SKU_Master'!$M$2:$M$378,0)/$M$2,"0")</f>
        <v>#NAME?</v>
      </c>
      <c r="R210" s="147" t="e">
        <f ca="1">_xludf.IFNA(H212/_xlfn.XLOOKUP($M212,'00_SKU_Master'!$B$2:$B$378,'00_SKU_Master'!$M$2:$M$378,0)/$M$2,"0")</f>
        <v>#NAME?</v>
      </c>
      <c r="S210" s="147" t="e">
        <f ca="1">_xludf.IFNA(I212/_xlfn.XLOOKUP($M212,'00_SKU_Master'!$B$2:$B$378,'00_SKU_Master'!$M$2:$M$378,0)/$M$2,"0")</f>
        <v>#NAME?</v>
      </c>
      <c r="T210" s="147" t="e">
        <f ca="1">_xludf.IFNA(J212/_xlfn.XLOOKUP($M212,'00_SKU_Master'!$B$2:$B$378,'00_SKU_Master'!$M$2:$M$378,0)/$M$2,"0")</f>
        <v>#NAME?</v>
      </c>
      <c r="U210" s="147" t="e">
        <f t="shared" ca="1" si="21"/>
        <v>#NAME?</v>
      </c>
      <c r="V210" s="4"/>
      <c r="W210" s="4" t="e">
        <f>_xlfn.XLOOKUP(M212,'00_SKU_Master'!$B$2:$B$378,'00_SKU_Master'!D:D)</f>
        <v>#VALUE!</v>
      </c>
      <c r="X210" s="14">
        <f>'05_Daily_Orders'!B211</f>
        <v>7863</v>
      </c>
      <c r="Y210" s="554"/>
      <c r="Z210" s="555"/>
      <c r="AA210" s="555"/>
      <c r="AB210" s="555"/>
      <c r="AC210" s="555">
        <v>0</v>
      </c>
      <c r="AD210" s="555">
        <v>0</v>
      </c>
      <c r="AE210" s="555">
        <v>0</v>
      </c>
      <c r="AF210" s="553">
        <f t="shared" si="22"/>
        <v>0</v>
      </c>
      <c r="AQ210" s="23">
        <v>0</v>
      </c>
      <c r="AR210" s="23">
        <v>0</v>
      </c>
      <c r="AS210" s="23">
        <f t="shared" si="23"/>
        <v>0</v>
      </c>
    </row>
    <row r="211" spans="1:45">
      <c r="A211" s="138">
        <f>_xlfn.XLOOKUP(C213,'00_SKU_Master'!$B$2:$B$378,'00_SKU_Master'!$C$2:$C$378)</f>
        <v>61064</v>
      </c>
      <c r="B211" s="138"/>
      <c r="C211" s="138">
        <f t="shared" si="18"/>
        <v>7866</v>
      </c>
      <c r="D211" s="552" t="e">
        <f ca="1">_xludf.IFNA(_xlfn.XLOOKUP(C213,'00_SKU_Master'!$B$2:$B$378,'00_SKU_Master'!$F$2:$F$378,0)*Y213,"")</f>
        <v>#NAME?</v>
      </c>
      <c r="E211" s="552" t="e">
        <f ca="1">_xludf.IFNA(_xlfn.XLOOKUP(C213,'00_SKU_Master'!$B$2:$B$378,'00_SKU_Master'!$F$2:$F$378,0)*Z213,"")</f>
        <v>#NAME?</v>
      </c>
      <c r="F211" s="552" t="e">
        <f ca="1">_xludf.IFNA(_xlfn.XLOOKUP(C213,'00_SKU_Master'!$B$2:$B$378,'00_SKU_Master'!$F$2:$F$378,0)*AA213,"")</f>
        <v>#NAME?</v>
      </c>
      <c r="G211" s="552" t="e">
        <f ca="1">_xludf.IFNA(_xlfn.XLOOKUP(C213,'00_SKU_Master'!$B$2:$B$378,'00_SKU_Master'!$F$2:$F$378,0)*AB213,"")</f>
        <v>#NAME?</v>
      </c>
      <c r="H211" s="552" t="e">
        <f ca="1">_xludf.IFNA(_xlfn.XLOOKUP(C213,'00_SKU_Master'!$B$2:$B$378,'00_SKU_Master'!$F$2:$F$378,0)*AC213,"")</f>
        <v>#NAME?</v>
      </c>
      <c r="I211" s="552" t="e">
        <f ca="1">_xludf.IFNA(_xlfn.XLOOKUP(C213,'00_SKU_Master'!$B$2:$B$378,'00_SKU_Master'!$F$2:$F$378,0)*AD213,"")</f>
        <v>#NAME?</v>
      </c>
      <c r="J211" s="552" t="e">
        <f ca="1">_xludf.IFNA(_xlfn.XLOOKUP(C213,'00_SKU_Master'!$B$2:$B$378,'00_SKU_Master'!$F$2:$F$378,0)*AE213,"")</f>
        <v>#NAME?</v>
      </c>
      <c r="K211" s="553" t="e">
        <f t="shared" ca="1" si="19"/>
        <v>#NAME?</v>
      </c>
      <c r="L211" s="187" t="e">
        <f>_xlfn.XLOOKUP(C213,'00_SKU_Master'!$B$2:$B$378,'00_SKU_Master'!K:K)</f>
        <v>#VALUE!</v>
      </c>
      <c r="M211" s="14">
        <f t="shared" si="20"/>
        <v>7866</v>
      </c>
      <c r="N211" s="147" t="e">
        <f ca="1">_xludf.IFNA(D213/_xlfn.XLOOKUP($M213,'00_SKU_Master'!$B$2:$B$378,'00_SKU_Master'!$M$2:$M$378,0)/$M$2,"0")</f>
        <v>#NAME?</v>
      </c>
      <c r="O211" s="147" t="e">
        <f ca="1">_xludf.IFNA(E213/_xlfn.XLOOKUP($M213,'00_SKU_Master'!$B$2:$B$378,'00_SKU_Master'!$M$2:$M$378,0)/$M$2,"0")</f>
        <v>#NAME?</v>
      </c>
      <c r="P211" s="147" t="e">
        <f ca="1">_xludf.IFNA(F213/_xlfn.XLOOKUP($M213,'00_SKU_Master'!$B$2:$B$378,'00_SKU_Master'!$M$2:$M$378,0)/$M$2,"0")</f>
        <v>#NAME?</v>
      </c>
      <c r="Q211" s="147" t="e">
        <f ca="1">_xludf.IFNA(G213/_xlfn.XLOOKUP($M213,'00_SKU_Master'!$B$2:$B$378,'00_SKU_Master'!$M$2:$M$378,0)/$M$2,"0")</f>
        <v>#NAME?</v>
      </c>
      <c r="R211" s="147" t="e">
        <f ca="1">_xludf.IFNA(H213/_xlfn.XLOOKUP($M213,'00_SKU_Master'!$B$2:$B$378,'00_SKU_Master'!$M$2:$M$378,0)/$M$2,"0")</f>
        <v>#NAME?</v>
      </c>
      <c r="S211" s="147" t="e">
        <f ca="1">_xludf.IFNA(I213/_xlfn.XLOOKUP($M213,'00_SKU_Master'!$B$2:$B$378,'00_SKU_Master'!$M$2:$M$378,0)/$M$2,"0")</f>
        <v>#NAME?</v>
      </c>
      <c r="T211" s="147" t="e">
        <f ca="1">_xludf.IFNA(J213/_xlfn.XLOOKUP($M213,'00_SKU_Master'!$B$2:$B$378,'00_SKU_Master'!$M$2:$M$378,0)/$M$2,"0")</f>
        <v>#NAME?</v>
      </c>
      <c r="U211" s="147" t="e">
        <f t="shared" ca="1" si="21"/>
        <v>#NAME?</v>
      </c>
      <c r="V211" s="4"/>
      <c r="W211" s="4" t="e">
        <f>_xlfn.XLOOKUP(M213,'00_SKU_Master'!$B$2:$B$378,'00_SKU_Master'!D:D)</f>
        <v>#VALUE!</v>
      </c>
      <c r="X211" s="14">
        <f>'05_Daily_Orders'!B212</f>
        <v>7864</v>
      </c>
      <c r="Y211" s="554"/>
      <c r="Z211" s="555"/>
      <c r="AA211" s="555"/>
      <c r="AB211" s="555"/>
      <c r="AC211" s="555">
        <v>0</v>
      </c>
      <c r="AD211" s="555">
        <v>0</v>
      </c>
      <c r="AE211" s="555">
        <v>0</v>
      </c>
      <c r="AF211" s="553">
        <f t="shared" si="22"/>
        <v>0</v>
      </c>
      <c r="AQ211" s="23">
        <v>0</v>
      </c>
      <c r="AR211" s="23">
        <v>0</v>
      </c>
      <c r="AS211" s="23">
        <f t="shared" si="23"/>
        <v>9</v>
      </c>
    </row>
    <row r="212" spans="1:45">
      <c r="A212" s="138">
        <f>_xlfn.XLOOKUP(C214,'00_SKU_Master'!$B$2:$B$378,'00_SKU_Master'!$C$2:$C$378)</f>
        <v>61064</v>
      </c>
      <c r="B212" s="138"/>
      <c r="C212" s="138">
        <f t="shared" si="18"/>
        <v>7867</v>
      </c>
      <c r="D212" s="552" t="e">
        <f ca="1">_xludf.IFNA(_xlfn.XLOOKUP(C214,'00_SKU_Master'!$B$2:$B$378,'00_SKU_Master'!$F$2:$F$378,0)*Y214,"")</f>
        <v>#NAME?</v>
      </c>
      <c r="E212" s="552" t="e">
        <f ca="1">_xludf.IFNA(_xlfn.XLOOKUP(C214,'00_SKU_Master'!$B$2:$B$378,'00_SKU_Master'!$F$2:$F$378,0)*Z214,"")</f>
        <v>#NAME?</v>
      </c>
      <c r="F212" s="552" t="e">
        <f ca="1">_xludf.IFNA(_xlfn.XLOOKUP(C214,'00_SKU_Master'!$B$2:$B$378,'00_SKU_Master'!$F$2:$F$378,0)*AA214,"")</f>
        <v>#NAME?</v>
      </c>
      <c r="G212" s="552" t="e">
        <f ca="1">_xludf.IFNA(_xlfn.XLOOKUP(C214,'00_SKU_Master'!$B$2:$B$378,'00_SKU_Master'!$F$2:$F$378,0)*AB214,"")</f>
        <v>#NAME?</v>
      </c>
      <c r="H212" s="552" t="e">
        <f ca="1">_xludf.IFNA(_xlfn.XLOOKUP(C214,'00_SKU_Master'!$B$2:$B$378,'00_SKU_Master'!$F$2:$F$378,0)*AC214,"")</f>
        <v>#NAME?</v>
      </c>
      <c r="I212" s="552" t="e">
        <f ca="1">_xludf.IFNA(_xlfn.XLOOKUP(C214,'00_SKU_Master'!$B$2:$B$378,'00_SKU_Master'!$F$2:$F$378,0)*AD214,"")</f>
        <v>#NAME?</v>
      </c>
      <c r="J212" s="552" t="e">
        <f ca="1">_xludf.IFNA(_xlfn.XLOOKUP(C214,'00_SKU_Master'!$B$2:$B$378,'00_SKU_Master'!$F$2:$F$378,0)*AE214,"")</f>
        <v>#NAME?</v>
      </c>
      <c r="K212" s="553" t="e">
        <f t="shared" ca="1" si="19"/>
        <v>#NAME?</v>
      </c>
      <c r="L212" s="187" t="e">
        <f>_xlfn.XLOOKUP(C214,'00_SKU_Master'!$B$2:$B$378,'00_SKU_Master'!K:K)</f>
        <v>#VALUE!</v>
      </c>
      <c r="M212" s="14">
        <f t="shared" si="20"/>
        <v>7867</v>
      </c>
      <c r="N212" s="147" t="e">
        <f ca="1">_xludf.IFNA(D214/_xlfn.XLOOKUP($M214,'00_SKU_Master'!$B$2:$B$378,'00_SKU_Master'!$M$2:$M$378,0)/$M$2,"0")</f>
        <v>#NAME?</v>
      </c>
      <c r="O212" s="147" t="e">
        <f ca="1">_xludf.IFNA(E214/_xlfn.XLOOKUP($M214,'00_SKU_Master'!$B$2:$B$378,'00_SKU_Master'!$M$2:$M$378,0)/$M$2,"0")</f>
        <v>#NAME?</v>
      </c>
      <c r="P212" s="147" t="e">
        <f ca="1">_xludf.IFNA(F214/_xlfn.XLOOKUP($M214,'00_SKU_Master'!$B$2:$B$378,'00_SKU_Master'!$M$2:$M$378,0)/$M$2,"0")</f>
        <v>#NAME?</v>
      </c>
      <c r="Q212" s="147" t="e">
        <f ca="1">_xludf.IFNA(G214/_xlfn.XLOOKUP($M214,'00_SKU_Master'!$B$2:$B$378,'00_SKU_Master'!$M$2:$M$378,0)/$M$2,"0")</f>
        <v>#NAME?</v>
      </c>
      <c r="R212" s="147" t="e">
        <f ca="1">_xludf.IFNA(H214/_xlfn.XLOOKUP($M214,'00_SKU_Master'!$B$2:$B$378,'00_SKU_Master'!$M$2:$M$378,0)/$M$2,"0")</f>
        <v>#NAME?</v>
      </c>
      <c r="S212" s="147" t="e">
        <f ca="1">_xludf.IFNA(I214/_xlfn.XLOOKUP($M214,'00_SKU_Master'!$B$2:$B$378,'00_SKU_Master'!$M$2:$M$378,0)/$M$2,"0")</f>
        <v>#NAME?</v>
      </c>
      <c r="T212" s="147" t="e">
        <f ca="1">_xludf.IFNA(J214/_xlfn.XLOOKUP($M214,'00_SKU_Master'!$B$2:$B$378,'00_SKU_Master'!$M$2:$M$378,0)/$M$2,"0")</f>
        <v>#NAME?</v>
      </c>
      <c r="U212" s="147" t="e">
        <f t="shared" ca="1" si="21"/>
        <v>#NAME?</v>
      </c>
      <c r="V212" s="4"/>
      <c r="W212" s="4" t="e">
        <f>_xlfn.XLOOKUP(M214,'00_SKU_Master'!$B$2:$B$378,'00_SKU_Master'!D:D)</f>
        <v>#VALUE!</v>
      </c>
      <c r="X212" s="14">
        <f>'05_Daily_Orders'!B213</f>
        <v>7865</v>
      </c>
      <c r="Y212" s="554"/>
      <c r="Z212" s="555"/>
      <c r="AA212" s="555"/>
      <c r="AB212" s="555"/>
      <c r="AC212" s="555">
        <v>0</v>
      </c>
      <c r="AD212" s="555">
        <v>0</v>
      </c>
      <c r="AE212" s="555">
        <v>0</v>
      </c>
      <c r="AF212" s="553">
        <f t="shared" si="22"/>
        <v>0</v>
      </c>
      <c r="AQ212" s="23">
        <v>0</v>
      </c>
      <c r="AR212" s="23">
        <v>0</v>
      </c>
      <c r="AS212" s="23">
        <f t="shared" si="23"/>
        <v>0</v>
      </c>
    </row>
    <row r="213" spans="1:45">
      <c r="A213" s="138" t="str">
        <f>_xlfn.XLOOKUP(C215,'00_SKU_Master'!$B$2:$B$378,'00_SKU_Master'!$C$2:$C$378)</f>
        <v>61040#2</v>
      </c>
      <c r="B213" s="138"/>
      <c r="C213" s="138">
        <f t="shared" si="18"/>
        <v>7868</v>
      </c>
      <c r="D213" s="552" t="e">
        <f ca="1">_xludf.IFNA(_xlfn.XLOOKUP(C215,'00_SKU_Master'!$B$2:$B$378,'00_SKU_Master'!$F$2:$F$378,0)*Y215,"")</f>
        <v>#NAME?</v>
      </c>
      <c r="E213" s="552" t="e">
        <f ca="1">_xludf.IFNA(_xlfn.XLOOKUP(C215,'00_SKU_Master'!$B$2:$B$378,'00_SKU_Master'!$F$2:$F$378,0)*Z215,"")</f>
        <v>#NAME?</v>
      </c>
      <c r="F213" s="552" t="e">
        <f ca="1">_xludf.IFNA(_xlfn.XLOOKUP(C215,'00_SKU_Master'!$B$2:$B$378,'00_SKU_Master'!$F$2:$F$378,0)*AA215,"")</f>
        <v>#NAME?</v>
      </c>
      <c r="G213" s="552" t="e">
        <f ca="1">_xludf.IFNA(_xlfn.XLOOKUP(C215,'00_SKU_Master'!$B$2:$B$378,'00_SKU_Master'!$F$2:$F$378,0)*AB215,"")</f>
        <v>#NAME?</v>
      </c>
      <c r="H213" s="552" t="e">
        <f ca="1">_xludf.IFNA(_xlfn.XLOOKUP(C215,'00_SKU_Master'!$B$2:$B$378,'00_SKU_Master'!$F$2:$F$378,0)*AC215,"")</f>
        <v>#NAME?</v>
      </c>
      <c r="I213" s="552" t="e">
        <f ca="1">_xludf.IFNA(_xlfn.XLOOKUP(C215,'00_SKU_Master'!$B$2:$B$378,'00_SKU_Master'!$F$2:$F$378,0)*AD215,"")</f>
        <v>#NAME?</v>
      </c>
      <c r="J213" s="552" t="e">
        <f ca="1">_xludf.IFNA(_xlfn.XLOOKUP(C215,'00_SKU_Master'!$B$2:$B$378,'00_SKU_Master'!$F$2:$F$378,0)*AE215,"")</f>
        <v>#NAME?</v>
      </c>
      <c r="K213" s="553" t="e">
        <f t="shared" ca="1" si="19"/>
        <v>#NAME?</v>
      </c>
      <c r="L213" s="187" t="e">
        <f>_xlfn.XLOOKUP(C215,'00_SKU_Master'!$B$2:$B$378,'00_SKU_Master'!K:K)</f>
        <v>#VALUE!</v>
      </c>
      <c r="M213" s="14">
        <f t="shared" si="20"/>
        <v>7868</v>
      </c>
      <c r="N213" s="147" t="e">
        <f ca="1">_xludf.IFNA(D215/_xlfn.XLOOKUP($M215,'00_SKU_Master'!$B$2:$B$378,'00_SKU_Master'!$M$2:$M$378,0)/$M$2,"0")</f>
        <v>#NAME?</v>
      </c>
      <c r="O213" s="147" t="e">
        <f ca="1">_xludf.IFNA(E215/_xlfn.XLOOKUP($M215,'00_SKU_Master'!$B$2:$B$378,'00_SKU_Master'!$M$2:$M$378,0)/$M$2,"0")</f>
        <v>#NAME?</v>
      </c>
      <c r="P213" s="147" t="e">
        <f ca="1">_xludf.IFNA(F215/_xlfn.XLOOKUP($M215,'00_SKU_Master'!$B$2:$B$378,'00_SKU_Master'!$M$2:$M$378,0)/$M$2,"0")</f>
        <v>#NAME?</v>
      </c>
      <c r="Q213" s="147" t="e">
        <f ca="1">_xludf.IFNA(G215/_xlfn.XLOOKUP($M215,'00_SKU_Master'!$B$2:$B$378,'00_SKU_Master'!$M$2:$M$378,0)/$M$2,"0")</f>
        <v>#NAME?</v>
      </c>
      <c r="R213" s="147" t="e">
        <f ca="1">_xludf.IFNA(H215/_xlfn.XLOOKUP($M215,'00_SKU_Master'!$B$2:$B$378,'00_SKU_Master'!$M$2:$M$378,0)/$M$2,"0")</f>
        <v>#NAME?</v>
      </c>
      <c r="S213" s="147" t="e">
        <f ca="1">_xludf.IFNA(I215/_xlfn.XLOOKUP($M215,'00_SKU_Master'!$B$2:$B$378,'00_SKU_Master'!$M$2:$M$378,0)/$M$2,"0")</f>
        <v>#NAME?</v>
      </c>
      <c r="T213" s="147" t="e">
        <f ca="1">_xludf.IFNA(J215/_xlfn.XLOOKUP($M215,'00_SKU_Master'!$B$2:$B$378,'00_SKU_Master'!$M$2:$M$378,0)/$M$2,"0")</f>
        <v>#NAME?</v>
      </c>
      <c r="U213" s="147" t="e">
        <f t="shared" ca="1" si="21"/>
        <v>#NAME?</v>
      </c>
      <c r="V213" s="4"/>
      <c r="W213" s="4" t="e">
        <f>_xlfn.XLOOKUP(M215,'00_SKU_Master'!$B$2:$B$378,'00_SKU_Master'!D:D)</f>
        <v>#VALUE!</v>
      </c>
      <c r="X213" s="14">
        <f>'05_Daily_Orders'!B214</f>
        <v>7866</v>
      </c>
      <c r="Y213" s="554"/>
      <c r="Z213" s="555"/>
      <c r="AA213" s="555"/>
      <c r="AB213" s="555"/>
      <c r="AC213" s="555">
        <v>0</v>
      </c>
      <c r="AD213" s="555">
        <v>0</v>
      </c>
      <c r="AE213" s="555">
        <v>0</v>
      </c>
      <c r="AF213" s="553">
        <f t="shared" si="22"/>
        <v>0</v>
      </c>
      <c r="AQ213" s="23">
        <v>0</v>
      </c>
      <c r="AR213" s="23">
        <v>9</v>
      </c>
      <c r="AS213" s="23">
        <f t="shared" si="23"/>
        <v>0</v>
      </c>
    </row>
    <row r="214" spans="1:45">
      <c r="A214" s="138">
        <f>_xlfn.XLOOKUP(C216,'00_SKU_Master'!$B$2:$B$378,'00_SKU_Master'!$C$2:$C$378)</f>
        <v>61010</v>
      </c>
      <c r="B214" s="138"/>
      <c r="C214" s="138">
        <f t="shared" si="18"/>
        <v>7869</v>
      </c>
      <c r="D214" s="552" t="e">
        <f ca="1">_xludf.IFNA(_xlfn.XLOOKUP(C216,'00_SKU_Master'!$B$2:$B$378,'00_SKU_Master'!$F$2:$F$378,0)*Y216,"")</f>
        <v>#NAME?</v>
      </c>
      <c r="E214" s="552" t="e">
        <f ca="1">_xludf.IFNA(_xlfn.XLOOKUP(C216,'00_SKU_Master'!$B$2:$B$378,'00_SKU_Master'!$F$2:$F$378,0)*Z216,"")</f>
        <v>#NAME?</v>
      </c>
      <c r="F214" s="552" t="e">
        <f ca="1">_xludf.IFNA(_xlfn.XLOOKUP(C216,'00_SKU_Master'!$B$2:$B$378,'00_SKU_Master'!$F$2:$F$378,0)*AA216,"")</f>
        <v>#NAME?</v>
      </c>
      <c r="G214" s="552" t="e">
        <f ca="1">_xludf.IFNA(_xlfn.XLOOKUP(C216,'00_SKU_Master'!$B$2:$B$378,'00_SKU_Master'!$F$2:$F$378,0)*AB216,"")</f>
        <v>#NAME?</v>
      </c>
      <c r="H214" s="552" t="e">
        <f ca="1">_xludf.IFNA(_xlfn.XLOOKUP(C216,'00_SKU_Master'!$B$2:$B$378,'00_SKU_Master'!$F$2:$F$378,0)*AC216,"")</f>
        <v>#NAME?</v>
      </c>
      <c r="I214" s="552" t="e">
        <f ca="1">_xludf.IFNA(_xlfn.XLOOKUP(C216,'00_SKU_Master'!$B$2:$B$378,'00_SKU_Master'!$F$2:$F$378,0)*AD216,"")</f>
        <v>#NAME?</v>
      </c>
      <c r="J214" s="552" t="e">
        <f ca="1">_xludf.IFNA(_xlfn.XLOOKUP(C216,'00_SKU_Master'!$B$2:$B$378,'00_SKU_Master'!$F$2:$F$378,0)*AE216,"")</f>
        <v>#NAME?</v>
      </c>
      <c r="K214" s="553" t="e">
        <f t="shared" ca="1" si="19"/>
        <v>#NAME?</v>
      </c>
      <c r="L214" s="187" t="e">
        <f>_xlfn.XLOOKUP(C216,'00_SKU_Master'!$B$2:$B$378,'00_SKU_Master'!K:K)</f>
        <v>#VALUE!</v>
      </c>
      <c r="M214" s="14">
        <f t="shared" si="20"/>
        <v>7869</v>
      </c>
      <c r="N214" s="147" t="e">
        <f ca="1">_xludf.IFNA(D216/_xlfn.XLOOKUP($M216,'00_SKU_Master'!$B$2:$B$378,'00_SKU_Master'!$M$2:$M$378,0)/$M$2,"0")</f>
        <v>#NAME?</v>
      </c>
      <c r="O214" s="147" t="e">
        <f ca="1">_xludf.IFNA(E216/_xlfn.XLOOKUP($M216,'00_SKU_Master'!$B$2:$B$378,'00_SKU_Master'!$M$2:$M$378,0)/$M$2,"0")</f>
        <v>#NAME?</v>
      </c>
      <c r="P214" s="147" t="e">
        <f ca="1">_xludf.IFNA(F216/_xlfn.XLOOKUP($M216,'00_SKU_Master'!$B$2:$B$378,'00_SKU_Master'!$M$2:$M$378,0)/$M$2,"0")</f>
        <v>#NAME?</v>
      </c>
      <c r="Q214" s="147" t="e">
        <f ca="1">_xludf.IFNA(G216/_xlfn.XLOOKUP($M216,'00_SKU_Master'!$B$2:$B$378,'00_SKU_Master'!$M$2:$M$378,0)/$M$2,"0")</f>
        <v>#NAME?</v>
      </c>
      <c r="R214" s="147" t="e">
        <f ca="1">_xludf.IFNA(H216/_xlfn.XLOOKUP($M216,'00_SKU_Master'!$B$2:$B$378,'00_SKU_Master'!$M$2:$M$378,0)/$M$2,"0")</f>
        <v>#NAME?</v>
      </c>
      <c r="S214" s="147" t="e">
        <f ca="1">_xludf.IFNA(I216/_xlfn.XLOOKUP($M216,'00_SKU_Master'!$B$2:$B$378,'00_SKU_Master'!$M$2:$M$378,0)/$M$2,"0")</f>
        <v>#NAME?</v>
      </c>
      <c r="T214" s="147" t="e">
        <f ca="1">_xludf.IFNA(J216/_xlfn.XLOOKUP($M216,'00_SKU_Master'!$B$2:$B$378,'00_SKU_Master'!$M$2:$M$378,0)/$M$2,"0")</f>
        <v>#NAME?</v>
      </c>
      <c r="U214" s="147" t="e">
        <f t="shared" ca="1" si="21"/>
        <v>#NAME?</v>
      </c>
      <c r="V214" s="4"/>
      <c r="W214" s="4" t="e">
        <f>_xlfn.XLOOKUP(M216,'00_SKU_Master'!$B$2:$B$378,'00_SKU_Master'!D:D)</f>
        <v>#VALUE!</v>
      </c>
      <c r="X214" s="14">
        <f>'05_Daily_Orders'!B215</f>
        <v>7867</v>
      </c>
      <c r="Y214" s="554"/>
      <c r="Z214" s="555"/>
      <c r="AA214" s="555"/>
      <c r="AB214" s="555"/>
      <c r="AC214" s="555">
        <v>0</v>
      </c>
      <c r="AD214" s="555">
        <v>0</v>
      </c>
      <c r="AE214" s="555">
        <v>0</v>
      </c>
      <c r="AF214" s="553">
        <f t="shared" si="22"/>
        <v>0</v>
      </c>
      <c r="AQ214" s="23">
        <v>0</v>
      </c>
      <c r="AR214" s="23">
        <v>0</v>
      </c>
      <c r="AS214" s="23">
        <f t="shared" si="23"/>
        <v>0</v>
      </c>
    </row>
    <row r="215" spans="1:45">
      <c r="A215" s="138">
        <f>_xlfn.XLOOKUP(C217,'00_SKU_Master'!$B$2:$B$378,'00_SKU_Master'!$C$2:$C$378)</f>
        <v>61061</v>
      </c>
      <c r="B215" s="138"/>
      <c r="C215" s="138">
        <f t="shared" si="18"/>
        <v>7912</v>
      </c>
      <c r="D215" s="552" t="e">
        <f ca="1">_xludf.IFNA(_xlfn.XLOOKUP(C217,'00_SKU_Master'!$B$2:$B$378,'00_SKU_Master'!$F$2:$F$378,0)*Y217,"")</f>
        <v>#NAME?</v>
      </c>
      <c r="E215" s="552" t="e">
        <f ca="1">_xludf.IFNA(_xlfn.XLOOKUP(C217,'00_SKU_Master'!$B$2:$B$378,'00_SKU_Master'!$F$2:$F$378,0)*Z217,"")</f>
        <v>#NAME?</v>
      </c>
      <c r="F215" s="552" t="e">
        <f ca="1">_xludf.IFNA(_xlfn.XLOOKUP(C217,'00_SKU_Master'!$B$2:$B$378,'00_SKU_Master'!$F$2:$F$378,0)*AA217,"")</f>
        <v>#NAME?</v>
      </c>
      <c r="G215" s="552" t="e">
        <f ca="1">_xludf.IFNA(_xlfn.XLOOKUP(C217,'00_SKU_Master'!$B$2:$B$378,'00_SKU_Master'!$F$2:$F$378,0)*AB217,"")</f>
        <v>#NAME?</v>
      </c>
      <c r="H215" s="552" t="e">
        <f ca="1">_xludf.IFNA(_xlfn.XLOOKUP(C217,'00_SKU_Master'!$B$2:$B$378,'00_SKU_Master'!$F$2:$F$378,0)*AC217,"")</f>
        <v>#NAME?</v>
      </c>
      <c r="I215" s="552" t="e">
        <f ca="1">_xludf.IFNA(_xlfn.XLOOKUP(C217,'00_SKU_Master'!$B$2:$B$378,'00_SKU_Master'!$F$2:$F$378,0)*AD217,"")</f>
        <v>#NAME?</v>
      </c>
      <c r="J215" s="552" t="e">
        <f ca="1">_xludf.IFNA(_xlfn.XLOOKUP(C217,'00_SKU_Master'!$B$2:$B$378,'00_SKU_Master'!$F$2:$F$378,0)*AE217,"")</f>
        <v>#NAME?</v>
      </c>
      <c r="K215" s="553" t="e">
        <f t="shared" ca="1" si="19"/>
        <v>#NAME?</v>
      </c>
      <c r="L215" s="187" t="e">
        <f>_xlfn.XLOOKUP(C217,'00_SKU_Master'!$B$2:$B$378,'00_SKU_Master'!K:K)</f>
        <v>#VALUE!</v>
      </c>
      <c r="M215" s="14">
        <f t="shared" si="20"/>
        <v>7912</v>
      </c>
      <c r="N215" s="147" t="e">
        <f ca="1">_xludf.IFNA(D217/_xlfn.XLOOKUP($M217,'00_SKU_Master'!$B$2:$B$378,'00_SKU_Master'!$M$2:$M$378,0)/$M$2,"0")</f>
        <v>#NAME?</v>
      </c>
      <c r="O215" s="147" t="e">
        <f ca="1">_xludf.IFNA(E217/_xlfn.XLOOKUP($M217,'00_SKU_Master'!$B$2:$B$378,'00_SKU_Master'!$M$2:$M$378,0)/$M$2,"0")</f>
        <v>#NAME?</v>
      </c>
      <c r="P215" s="147" t="e">
        <f ca="1">_xludf.IFNA(F217/_xlfn.XLOOKUP($M217,'00_SKU_Master'!$B$2:$B$378,'00_SKU_Master'!$M$2:$M$378,0)/$M$2,"0")</f>
        <v>#NAME?</v>
      </c>
      <c r="Q215" s="147" t="e">
        <f ca="1">_xludf.IFNA(G217/_xlfn.XLOOKUP($M217,'00_SKU_Master'!$B$2:$B$378,'00_SKU_Master'!$M$2:$M$378,0)/$M$2,"0")</f>
        <v>#NAME?</v>
      </c>
      <c r="R215" s="147" t="e">
        <f ca="1">_xludf.IFNA(H217/_xlfn.XLOOKUP($M217,'00_SKU_Master'!$B$2:$B$378,'00_SKU_Master'!$M$2:$M$378,0)/$M$2,"0")</f>
        <v>#NAME?</v>
      </c>
      <c r="S215" s="147" t="e">
        <f ca="1">_xludf.IFNA(I217/_xlfn.XLOOKUP($M217,'00_SKU_Master'!$B$2:$B$378,'00_SKU_Master'!$M$2:$M$378,0)/$M$2,"0")</f>
        <v>#NAME?</v>
      </c>
      <c r="T215" s="147" t="e">
        <f ca="1">_xludf.IFNA(J217/_xlfn.XLOOKUP($M217,'00_SKU_Master'!$B$2:$B$378,'00_SKU_Master'!$M$2:$M$378,0)/$M$2,"0")</f>
        <v>#NAME?</v>
      </c>
      <c r="U215" s="147" t="e">
        <f t="shared" ca="1" si="21"/>
        <v>#NAME?</v>
      </c>
      <c r="V215" s="4"/>
      <c r="W215" s="4" t="e">
        <f>_xlfn.XLOOKUP(M217,'00_SKU_Master'!$B$2:$B$378,'00_SKU_Master'!D:D)</f>
        <v>#VALUE!</v>
      </c>
      <c r="X215" s="14">
        <f>'05_Daily_Orders'!B216</f>
        <v>7868</v>
      </c>
      <c r="Y215" s="554"/>
      <c r="Z215" s="555"/>
      <c r="AA215" s="555"/>
      <c r="AB215" s="555"/>
      <c r="AC215" s="555">
        <v>0</v>
      </c>
      <c r="AD215" s="555">
        <v>0</v>
      </c>
      <c r="AE215" s="555">
        <v>0</v>
      </c>
      <c r="AF215" s="553">
        <f t="shared" si="22"/>
        <v>97</v>
      </c>
      <c r="AQ215" s="23">
        <v>0</v>
      </c>
      <c r="AR215" s="23">
        <v>0</v>
      </c>
      <c r="AS215" s="23">
        <f t="shared" si="23"/>
        <v>0</v>
      </c>
    </row>
    <row r="216" spans="1:45">
      <c r="A216" s="138" t="str">
        <f>_xlfn.XLOOKUP(C218,'00_SKU_Master'!$B$2:$B$378,'00_SKU_Master'!$C$2:$C$378)</f>
        <v>61050#2</v>
      </c>
      <c r="B216" s="138"/>
      <c r="C216" s="138">
        <f t="shared" si="18"/>
        <v>7939</v>
      </c>
      <c r="D216" s="552" t="e">
        <f ca="1">_xludf.IFNA(_xlfn.XLOOKUP(C218,'00_SKU_Master'!$B$2:$B$378,'00_SKU_Master'!$F$2:$F$378,0)*Y218,"")</f>
        <v>#NAME?</v>
      </c>
      <c r="E216" s="552" t="e">
        <f ca="1">_xludf.IFNA(_xlfn.XLOOKUP(C218,'00_SKU_Master'!$B$2:$B$378,'00_SKU_Master'!$F$2:$F$378,0)*Z218,"")</f>
        <v>#NAME?</v>
      </c>
      <c r="F216" s="552" t="e">
        <f ca="1">_xludf.IFNA(_xlfn.XLOOKUP(C218,'00_SKU_Master'!$B$2:$B$378,'00_SKU_Master'!$F$2:$F$378,0)*AA218,"")</f>
        <v>#NAME?</v>
      </c>
      <c r="G216" s="552" t="e">
        <f ca="1">_xludf.IFNA(_xlfn.XLOOKUP(C218,'00_SKU_Master'!$B$2:$B$378,'00_SKU_Master'!$F$2:$F$378,0)*AB218,"")</f>
        <v>#NAME?</v>
      </c>
      <c r="H216" s="552" t="e">
        <f ca="1">_xludf.IFNA(_xlfn.XLOOKUP(C218,'00_SKU_Master'!$B$2:$B$378,'00_SKU_Master'!$F$2:$F$378,0)*AC218,"")</f>
        <v>#NAME?</v>
      </c>
      <c r="I216" s="552" t="e">
        <f ca="1">_xludf.IFNA(_xlfn.XLOOKUP(C218,'00_SKU_Master'!$B$2:$B$378,'00_SKU_Master'!$F$2:$F$378,0)*AD218,"")</f>
        <v>#NAME?</v>
      </c>
      <c r="J216" s="552" t="e">
        <f ca="1">_xludf.IFNA(_xlfn.XLOOKUP(C218,'00_SKU_Master'!$B$2:$B$378,'00_SKU_Master'!$F$2:$F$378,0)*AE218,"")</f>
        <v>#NAME?</v>
      </c>
      <c r="K216" s="553" t="e">
        <f t="shared" ca="1" si="19"/>
        <v>#NAME?</v>
      </c>
      <c r="L216" s="187" t="e">
        <f>_xlfn.XLOOKUP(C218,'00_SKU_Master'!$B$2:$B$378,'00_SKU_Master'!K:K)</f>
        <v>#VALUE!</v>
      </c>
      <c r="M216" s="14">
        <f t="shared" si="20"/>
        <v>7939</v>
      </c>
      <c r="N216" s="147" t="e">
        <f ca="1">_xludf.IFNA(D218/_xlfn.XLOOKUP($M218,'00_SKU_Master'!$B$2:$B$378,'00_SKU_Master'!$M$2:$M$378,0)/$M$2,"0")</f>
        <v>#NAME?</v>
      </c>
      <c r="O216" s="147" t="e">
        <f ca="1">_xludf.IFNA(E218/_xlfn.XLOOKUP($M218,'00_SKU_Master'!$B$2:$B$378,'00_SKU_Master'!$M$2:$M$378,0)/$M$2,"0")</f>
        <v>#NAME?</v>
      </c>
      <c r="P216" s="147" t="e">
        <f ca="1">_xludf.IFNA(F218/_xlfn.XLOOKUP($M218,'00_SKU_Master'!$B$2:$B$378,'00_SKU_Master'!$M$2:$M$378,0)/$M$2,"0")</f>
        <v>#NAME?</v>
      </c>
      <c r="Q216" s="147" t="e">
        <f ca="1">_xludf.IFNA(G218/_xlfn.XLOOKUP($M218,'00_SKU_Master'!$B$2:$B$378,'00_SKU_Master'!$M$2:$M$378,0)/$M$2,"0")</f>
        <v>#NAME?</v>
      </c>
      <c r="R216" s="147" t="e">
        <f ca="1">_xludf.IFNA(H218/_xlfn.XLOOKUP($M218,'00_SKU_Master'!$B$2:$B$378,'00_SKU_Master'!$M$2:$M$378,0)/$M$2,"0")</f>
        <v>#NAME?</v>
      </c>
      <c r="S216" s="147" t="e">
        <f ca="1">_xludf.IFNA(I218/_xlfn.XLOOKUP($M218,'00_SKU_Master'!$B$2:$B$378,'00_SKU_Master'!$M$2:$M$378,0)/$M$2,"0")</f>
        <v>#NAME?</v>
      </c>
      <c r="T216" s="147" t="e">
        <f ca="1">_xludf.IFNA(J218/_xlfn.XLOOKUP($M218,'00_SKU_Master'!$B$2:$B$378,'00_SKU_Master'!$M$2:$M$378,0)/$M$2,"0")</f>
        <v>#NAME?</v>
      </c>
      <c r="U216" s="147" t="e">
        <f t="shared" ca="1" si="21"/>
        <v>#NAME?</v>
      </c>
      <c r="V216" s="4"/>
      <c r="W216" s="4" t="e">
        <f>_xlfn.XLOOKUP(M218,'00_SKU_Master'!$B$2:$B$378,'00_SKU_Master'!D:D)</f>
        <v>#VALUE!</v>
      </c>
      <c r="X216" s="14">
        <f>'05_Daily_Orders'!B217</f>
        <v>7869</v>
      </c>
      <c r="Y216" s="554"/>
      <c r="Z216" s="555"/>
      <c r="AA216" s="555"/>
      <c r="AB216" s="555"/>
      <c r="AC216" s="555">
        <v>0</v>
      </c>
      <c r="AD216" s="555">
        <v>0</v>
      </c>
      <c r="AE216" s="555">
        <v>0</v>
      </c>
      <c r="AF216" s="553">
        <f t="shared" si="22"/>
        <v>0</v>
      </c>
      <c r="AQ216" s="23">
        <v>0</v>
      </c>
      <c r="AR216" s="23">
        <v>0</v>
      </c>
      <c r="AS216" s="23">
        <f t="shared" si="23"/>
        <v>0</v>
      </c>
    </row>
    <row r="217" spans="1:45">
      <c r="A217" s="138" t="str">
        <f>_xlfn.XLOOKUP(C219,'00_SKU_Master'!$B$2:$B$378,'00_SKU_Master'!$C$2:$C$378)</f>
        <v>61050#2</v>
      </c>
      <c r="B217" s="138"/>
      <c r="C217" s="138">
        <f t="shared" si="18"/>
        <v>7976</v>
      </c>
      <c r="D217" s="552" t="e">
        <f ca="1">_xludf.IFNA(_xlfn.XLOOKUP(C219,'00_SKU_Master'!$B$2:$B$378,'00_SKU_Master'!$F$2:$F$378,0)*Y219,"")</f>
        <v>#NAME?</v>
      </c>
      <c r="E217" s="552" t="e">
        <f ca="1">_xludf.IFNA(_xlfn.XLOOKUP(C219,'00_SKU_Master'!$B$2:$B$378,'00_SKU_Master'!$F$2:$F$378,0)*Z219,"")</f>
        <v>#NAME?</v>
      </c>
      <c r="F217" s="552" t="e">
        <f ca="1">_xludf.IFNA(_xlfn.XLOOKUP(C219,'00_SKU_Master'!$B$2:$B$378,'00_SKU_Master'!$F$2:$F$378,0)*AA219,"")</f>
        <v>#NAME?</v>
      </c>
      <c r="G217" s="552" t="e">
        <f ca="1">_xludf.IFNA(_xlfn.XLOOKUP(C219,'00_SKU_Master'!$B$2:$B$378,'00_SKU_Master'!$F$2:$F$378,0)*AB219,"")</f>
        <v>#NAME?</v>
      </c>
      <c r="H217" s="552" t="e">
        <f ca="1">_xludf.IFNA(_xlfn.XLOOKUP(C219,'00_SKU_Master'!$B$2:$B$378,'00_SKU_Master'!$F$2:$F$378,0)*AC219,"")</f>
        <v>#NAME?</v>
      </c>
      <c r="I217" s="552" t="e">
        <f ca="1">_xludf.IFNA(_xlfn.XLOOKUP(C219,'00_SKU_Master'!$B$2:$B$378,'00_SKU_Master'!$F$2:$F$378,0)*AD219,"")</f>
        <v>#NAME?</v>
      </c>
      <c r="J217" s="552" t="e">
        <f ca="1">_xludf.IFNA(_xlfn.XLOOKUP(C219,'00_SKU_Master'!$B$2:$B$378,'00_SKU_Master'!$F$2:$F$378,0)*AE219,"")</f>
        <v>#NAME?</v>
      </c>
      <c r="K217" s="553" t="e">
        <f t="shared" ca="1" si="19"/>
        <v>#NAME?</v>
      </c>
      <c r="L217" s="187" t="e">
        <f>_xlfn.XLOOKUP(C219,'00_SKU_Master'!$B$2:$B$378,'00_SKU_Master'!K:K)</f>
        <v>#VALUE!</v>
      </c>
      <c r="M217" s="14">
        <f t="shared" si="20"/>
        <v>7976</v>
      </c>
      <c r="N217" s="147" t="e">
        <f ca="1">_xludf.IFNA(D219/_xlfn.XLOOKUP($M219,'00_SKU_Master'!$B$2:$B$378,'00_SKU_Master'!$M$2:$M$378,0)/$M$2,"0")</f>
        <v>#NAME?</v>
      </c>
      <c r="O217" s="147" t="e">
        <f ca="1">_xludf.IFNA(E219/_xlfn.XLOOKUP($M219,'00_SKU_Master'!$B$2:$B$378,'00_SKU_Master'!$M$2:$M$378,0)/$M$2,"0")</f>
        <v>#NAME?</v>
      </c>
      <c r="P217" s="147" t="e">
        <f ca="1">_xludf.IFNA(F219/_xlfn.XLOOKUP($M219,'00_SKU_Master'!$B$2:$B$378,'00_SKU_Master'!$M$2:$M$378,0)/$M$2,"0")</f>
        <v>#NAME?</v>
      </c>
      <c r="Q217" s="147" t="e">
        <f ca="1">_xludf.IFNA(G219/_xlfn.XLOOKUP($M219,'00_SKU_Master'!$B$2:$B$378,'00_SKU_Master'!$M$2:$M$378,0)/$M$2,"0")</f>
        <v>#NAME?</v>
      </c>
      <c r="R217" s="147" t="e">
        <f ca="1">_xludf.IFNA(H219/_xlfn.XLOOKUP($M219,'00_SKU_Master'!$B$2:$B$378,'00_SKU_Master'!$M$2:$M$378,0)/$M$2,"0")</f>
        <v>#NAME?</v>
      </c>
      <c r="S217" s="147" t="e">
        <f ca="1">_xludf.IFNA(I219/_xlfn.XLOOKUP($M219,'00_SKU_Master'!$B$2:$B$378,'00_SKU_Master'!$M$2:$M$378,0)/$M$2,"0")</f>
        <v>#NAME?</v>
      </c>
      <c r="T217" s="147" t="e">
        <f ca="1">_xludf.IFNA(J219/_xlfn.XLOOKUP($M219,'00_SKU_Master'!$B$2:$B$378,'00_SKU_Master'!$M$2:$M$378,0)/$M$2,"0")</f>
        <v>#NAME?</v>
      </c>
      <c r="U217" s="147" t="e">
        <f t="shared" ca="1" si="21"/>
        <v>#NAME?</v>
      </c>
      <c r="V217" s="4"/>
      <c r="W217" s="4" t="e">
        <f>_xlfn.XLOOKUP(M219,'00_SKU_Master'!$B$2:$B$378,'00_SKU_Master'!D:D)</f>
        <v>#VALUE!</v>
      </c>
      <c r="X217" s="14">
        <f>'05_Daily_Orders'!B218</f>
        <v>7912</v>
      </c>
      <c r="Y217" s="554"/>
      <c r="Z217" s="555"/>
      <c r="AA217" s="555"/>
      <c r="AB217" s="555"/>
      <c r="AC217" s="555">
        <v>41</v>
      </c>
      <c r="AD217" s="555">
        <v>28</v>
      </c>
      <c r="AE217" s="555">
        <v>28</v>
      </c>
      <c r="AF217" s="553">
        <f t="shared" si="22"/>
        <v>0</v>
      </c>
      <c r="AQ217" s="23">
        <v>0</v>
      </c>
      <c r="AR217" s="23">
        <v>0</v>
      </c>
      <c r="AS217" s="23">
        <f t="shared" si="23"/>
        <v>8</v>
      </c>
    </row>
    <row r="218" spans="1:45">
      <c r="A218" s="138">
        <f>_xlfn.XLOOKUP(C220,'00_SKU_Master'!$B$2:$B$378,'00_SKU_Master'!$C$2:$C$378)</f>
        <v>61061</v>
      </c>
      <c r="B218" s="138"/>
      <c r="C218" s="138">
        <f t="shared" si="18"/>
        <v>7978</v>
      </c>
      <c r="D218" s="552" t="e">
        <f ca="1">_xludf.IFNA(_xlfn.XLOOKUP(C220,'00_SKU_Master'!$B$2:$B$378,'00_SKU_Master'!$F$2:$F$378,0)*Y220,"")</f>
        <v>#NAME?</v>
      </c>
      <c r="E218" s="552" t="e">
        <f ca="1">_xludf.IFNA(_xlfn.XLOOKUP(C220,'00_SKU_Master'!$B$2:$B$378,'00_SKU_Master'!$F$2:$F$378,0)*Z220,"")</f>
        <v>#NAME?</v>
      </c>
      <c r="F218" s="552" t="e">
        <f ca="1">_xludf.IFNA(_xlfn.XLOOKUP(C220,'00_SKU_Master'!$B$2:$B$378,'00_SKU_Master'!$F$2:$F$378,0)*AA220,"")</f>
        <v>#NAME?</v>
      </c>
      <c r="G218" s="552" t="e">
        <f ca="1">_xludf.IFNA(_xlfn.XLOOKUP(C220,'00_SKU_Master'!$B$2:$B$378,'00_SKU_Master'!$F$2:$F$378,0)*AB220,"")</f>
        <v>#NAME?</v>
      </c>
      <c r="H218" s="552" t="e">
        <f ca="1">_xludf.IFNA(_xlfn.XLOOKUP(C220,'00_SKU_Master'!$B$2:$B$378,'00_SKU_Master'!$F$2:$F$378,0)*AC220,"")</f>
        <v>#NAME?</v>
      </c>
      <c r="I218" s="552" t="e">
        <f ca="1">_xludf.IFNA(_xlfn.XLOOKUP(C220,'00_SKU_Master'!$B$2:$B$378,'00_SKU_Master'!$F$2:$F$378,0)*AD220,"")</f>
        <v>#NAME?</v>
      </c>
      <c r="J218" s="552" t="e">
        <f ca="1">_xludf.IFNA(_xlfn.XLOOKUP(C220,'00_SKU_Master'!$B$2:$B$378,'00_SKU_Master'!$F$2:$F$378,0)*AE220,"")</f>
        <v>#NAME?</v>
      </c>
      <c r="K218" s="553" t="e">
        <f t="shared" ca="1" si="19"/>
        <v>#NAME?</v>
      </c>
      <c r="L218" s="187" t="e">
        <f>_xlfn.XLOOKUP(C220,'00_SKU_Master'!$B$2:$B$378,'00_SKU_Master'!K:K)</f>
        <v>#VALUE!</v>
      </c>
      <c r="M218" s="14">
        <f t="shared" si="20"/>
        <v>7978</v>
      </c>
      <c r="N218" s="147" t="e">
        <f ca="1">_xludf.IFNA(D220/_xlfn.XLOOKUP($M220,'00_SKU_Master'!$B$2:$B$378,'00_SKU_Master'!$M$2:$M$378,0)/$M$2,"0")</f>
        <v>#NAME?</v>
      </c>
      <c r="O218" s="147" t="e">
        <f ca="1">_xludf.IFNA(E220/_xlfn.XLOOKUP($M220,'00_SKU_Master'!$B$2:$B$378,'00_SKU_Master'!$M$2:$M$378,0)/$M$2,"0")</f>
        <v>#NAME?</v>
      </c>
      <c r="P218" s="147" t="e">
        <f ca="1">_xludf.IFNA(F220/_xlfn.XLOOKUP($M220,'00_SKU_Master'!$B$2:$B$378,'00_SKU_Master'!$M$2:$M$378,0)/$M$2,"0")</f>
        <v>#NAME?</v>
      </c>
      <c r="Q218" s="147" t="e">
        <f ca="1">_xludf.IFNA(G220/_xlfn.XLOOKUP($M220,'00_SKU_Master'!$B$2:$B$378,'00_SKU_Master'!$M$2:$M$378,0)/$M$2,"0")</f>
        <v>#NAME?</v>
      </c>
      <c r="R218" s="147" t="e">
        <f ca="1">_xludf.IFNA(H220/_xlfn.XLOOKUP($M220,'00_SKU_Master'!$B$2:$B$378,'00_SKU_Master'!$M$2:$M$378,0)/$M$2,"0")</f>
        <v>#NAME?</v>
      </c>
      <c r="S218" s="147" t="e">
        <f ca="1">_xludf.IFNA(I220/_xlfn.XLOOKUP($M220,'00_SKU_Master'!$B$2:$B$378,'00_SKU_Master'!$M$2:$M$378,0)/$M$2,"0")</f>
        <v>#NAME?</v>
      </c>
      <c r="T218" s="147" t="e">
        <f ca="1">_xludf.IFNA(J220/_xlfn.XLOOKUP($M220,'00_SKU_Master'!$B$2:$B$378,'00_SKU_Master'!$M$2:$M$378,0)/$M$2,"0")</f>
        <v>#NAME?</v>
      </c>
      <c r="U218" s="147" t="e">
        <f t="shared" ca="1" si="21"/>
        <v>#NAME?</v>
      </c>
      <c r="V218" s="4"/>
      <c r="W218" s="4" t="e">
        <f>_xlfn.XLOOKUP(M220,'00_SKU_Master'!$B$2:$B$378,'00_SKU_Master'!D:D)</f>
        <v>#VALUE!</v>
      </c>
      <c r="X218" s="14">
        <f>'05_Daily_Orders'!B219</f>
        <v>7939</v>
      </c>
      <c r="Y218" s="554"/>
      <c r="Z218" s="555"/>
      <c r="AA218" s="555"/>
      <c r="AB218" s="555"/>
      <c r="AC218" s="555">
        <v>0</v>
      </c>
      <c r="AD218" s="555">
        <v>0</v>
      </c>
      <c r="AE218" s="555">
        <v>0</v>
      </c>
      <c r="AF218" s="553">
        <f t="shared" si="22"/>
        <v>0</v>
      </c>
      <c r="AQ218" s="23">
        <v>0</v>
      </c>
      <c r="AR218" s="23">
        <v>0</v>
      </c>
      <c r="AS218" s="23">
        <f t="shared" si="23"/>
        <v>-63</v>
      </c>
    </row>
    <row r="219" spans="1:45">
      <c r="A219" s="138" t="str">
        <f>_xlfn.XLOOKUP(C221,'00_SKU_Master'!$B$2:$B$378,'00_SKU_Master'!$C$2:$C$378)</f>
        <v>61050F</v>
      </c>
      <c r="B219" s="138"/>
      <c r="C219" s="138">
        <f t="shared" si="18"/>
        <v>7979</v>
      </c>
      <c r="D219" s="552" t="e">
        <f ca="1">_xludf.IFNA(_xlfn.XLOOKUP(C221,'00_SKU_Master'!$B$2:$B$378,'00_SKU_Master'!$F$2:$F$378,0)*Y221,"")</f>
        <v>#NAME?</v>
      </c>
      <c r="E219" s="552" t="e">
        <f ca="1">_xludf.IFNA(_xlfn.XLOOKUP(C221,'00_SKU_Master'!$B$2:$B$378,'00_SKU_Master'!$F$2:$F$378,0)*Z221,"")</f>
        <v>#NAME?</v>
      </c>
      <c r="F219" s="552" t="e">
        <f ca="1">_xludf.IFNA(_xlfn.XLOOKUP(C221,'00_SKU_Master'!$B$2:$B$378,'00_SKU_Master'!$F$2:$F$378,0)*AA221,"")</f>
        <v>#NAME?</v>
      </c>
      <c r="G219" s="552" t="e">
        <f ca="1">_xludf.IFNA(_xlfn.XLOOKUP(C221,'00_SKU_Master'!$B$2:$B$378,'00_SKU_Master'!$F$2:$F$378,0)*AB221,"")</f>
        <v>#NAME?</v>
      </c>
      <c r="H219" s="552" t="e">
        <f ca="1">_xludf.IFNA(_xlfn.XLOOKUP(C221,'00_SKU_Master'!$B$2:$B$378,'00_SKU_Master'!$F$2:$F$378,0)*AC221,"")</f>
        <v>#NAME?</v>
      </c>
      <c r="I219" s="552" t="e">
        <f ca="1">_xludf.IFNA(_xlfn.XLOOKUP(C221,'00_SKU_Master'!$B$2:$B$378,'00_SKU_Master'!$F$2:$F$378,0)*AD221,"")</f>
        <v>#NAME?</v>
      </c>
      <c r="J219" s="552" t="e">
        <f ca="1">_xludf.IFNA(_xlfn.XLOOKUP(C221,'00_SKU_Master'!$B$2:$B$378,'00_SKU_Master'!$F$2:$F$378,0)*AE221,"")</f>
        <v>#NAME?</v>
      </c>
      <c r="K219" s="553" t="e">
        <f t="shared" ca="1" si="19"/>
        <v>#NAME?</v>
      </c>
      <c r="L219" s="187" t="e">
        <f>_xlfn.XLOOKUP(C221,'00_SKU_Master'!$B$2:$B$378,'00_SKU_Master'!K:K)</f>
        <v>#VALUE!</v>
      </c>
      <c r="M219" s="14">
        <f t="shared" si="20"/>
        <v>7979</v>
      </c>
      <c r="N219" s="147" t="e">
        <f ca="1">_xludf.IFNA(D221/_xlfn.XLOOKUP($M221,'00_SKU_Master'!$B$2:$B$378,'00_SKU_Master'!$M$2:$M$378,0)/$M$2,"0")</f>
        <v>#NAME?</v>
      </c>
      <c r="O219" s="147" t="e">
        <f ca="1">_xludf.IFNA(E221/_xlfn.XLOOKUP($M221,'00_SKU_Master'!$B$2:$B$378,'00_SKU_Master'!$M$2:$M$378,0)/$M$2,"0")</f>
        <v>#NAME?</v>
      </c>
      <c r="P219" s="147" t="e">
        <f ca="1">_xludf.IFNA(F221/_xlfn.XLOOKUP($M221,'00_SKU_Master'!$B$2:$B$378,'00_SKU_Master'!$M$2:$M$378,0)/$M$2,"0")</f>
        <v>#NAME?</v>
      </c>
      <c r="Q219" s="147" t="e">
        <f ca="1">_xludf.IFNA(G221/_xlfn.XLOOKUP($M221,'00_SKU_Master'!$B$2:$B$378,'00_SKU_Master'!$M$2:$M$378,0)/$M$2,"0")</f>
        <v>#NAME?</v>
      </c>
      <c r="R219" s="147" t="e">
        <f ca="1">_xludf.IFNA(H221/_xlfn.XLOOKUP($M221,'00_SKU_Master'!$B$2:$B$378,'00_SKU_Master'!$M$2:$M$378,0)/$M$2,"0")</f>
        <v>#NAME?</v>
      </c>
      <c r="S219" s="147" t="e">
        <f ca="1">_xludf.IFNA(I221/_xlfn.XLOOKUP($M221,'00_SKU_Master'!$B$2:$B$378,'00_SKU_Master'!$M$2:$M$378,0)/$M$2,"0")</f>
        <v>#NAME?</v>
      </c>
      <c r="T219" s="147" t="e">
        <f ca="1">_xludf.IFNA(J221/_xlfn.XLOOKUP($M221,'00_SKU_Master'!$B$2:$B$378,'00_SKU_Master'!$M$2:$M$378,0)/$M$2,"0")</f>
        <v>#NAME?</v>
      </c>
      <c r="U219" s="147" t="e">
        <f t="shared" ca="1" si="21"/>
        <v>#NAME?</v>
      </c>
      <c r="V219" s="4"/>
      <c r="W219" s="4" t="e">
        <f>_xlfn.XLOOKUP(M221,'00_SKU_Master'!$B$2:$B$378,'00_SKU_Master'!D:D)</f>
        <v>#VALUE!</v>
      </c>
      <c r="X219" s="14">
        <f>'05_Daily_Orders'!B220</f>
        <v>7976</v>
      </c>
      <c r="Y219" s="554"/>
      <c r="Z219" s="555"/>
      <c r="AA219" s="555"/>
      <c r="AB219" s="555"/>
      <c r="AC219" s="555">
        <v>0</v>
      </c>
      <c r="AD219" s="555">
        <v>0</v>
      </c>
      <c r="AE219" s="555">
        <v>0</v>
      </c>
      <c r="AF219" s="553">
        <f t="shared" si="22"/>
        <v>0</v>
      </c>
      <c r="AQ219" s="23">
        <v>0</v>
      </c>
      <c r="AR219" s="23">
        <v>8</v>
      </c>
      <c r="AS219" s="23">
        <f t="shared" si="23"/>
        <v>37</v>
      </c>
    </row>
    <row r="220" spans="1:45">
      <c r="A220" s="138">
        <f>_xlfn.XLOOKUP(C222,'00_SKU_Master'!$B$2:$B$378,'00_SKU_Master'!$C$2:$C$378)</f>
        <v>203021</v>
      </c>
      <c r="B220" s="138"/>
      <c r="C220" s="138">
        <f t="shared" si="18"/>
        <v>200168</v>
      </c>
      <c r="D220" s="552" t="e">
        <f ca="1">_xludf.IFNA(_xlfn.XLOOKUP(C222,'00_SKU_Master'!$B$2:$B$378,'00_SKU_Master'!$F$2:$F$378,0)*Y222,"")</f>
        <v>#NAME?</v>
      </c>
      <c r="E220" s="552" t="e">
        <f ca="1">_xludf.IFNA(_xlfn.XLOOKUP(C222,'00_SKU_Master'!$B$2:$B$378,'00_SKU_Master'!$F$2:$F$378,0)*Z222,"")</f>
        <v>#NAME?</v>
      </c>
      <c r="F220" s="552" t="e">
        <f ca="1">_xludf.IFNA(_xlfn.XLOOKUP(C222,'00_SKU_Master'!$B$2:$B$378,'00_SKU_Master'!$F$2:$F$378,0)*AA222,"")</f>
        <v>#NAME?</v>
      </c>
      <c r="G220" s="552" t="e">
        <f ca="1">_xludf.IFNA(_xlfn.XLOOKUP(C222,'00_SKU_Master'!$B$2:$B$378,'00_SKU_Master'!$F$2:$F$378,0)*AB222,"")</f>
        <v>#NAME?</v>
      </c>
      <c r="H220" s="552" t="e">
        <f ca="1">_xludf.IFNA(_xlfn.XLOOKUP(C222,'00_SKU_Master'!$B$2:$B$378,'00_SKU_Master'!$F$2:$F$378,0)*AC222,"")</f>
        <v>#NAME?</v>
      </c>
      <c r="I220" s="552" t="e">
        <f ca="1">_xludf.IFNA(_xlfn.XLOOKUP(C222,'00_SKU_Master'!$B$2:$B$378,'00_SKU_Master'!$F$2:$F$378,0)*AD222,"")</f>
        <v>#NAME?</v>
      </c>
      <c r="J220" s="552" t="e">
        <f ca="1">_xludf.IFNA(_xlfn.XLOOKUP(C222,'00_SKU_Master'!$B$2:$B$378,'00_SKU_Master'!$F$2:$F$378,0)*AE222,"")</f>
        <v>#NAME?</v>
      </c>
      <c r="K220" s="553" t="e">
        <f t="shared" ca="1" si="19"/>
        <v>#NAME?</v>
      </c>
      <c r="L220" s="187" t="e">
        <f>_xlfn.XLOOKUP(C222,'00_SKU_Master'!$B$2:$B$378,'00_SKU_Master'!K:K)</f>
        <v>#VALUE!</v>
      </c>
      <c r="M220" s="14">
        <f t="shared" si="20"/>
        <v>200168</v>
      </c>
      <c r="N220" s="147" t="e">
        <f ca="1">_xludf.IFNA(D222/_xlfn.XLOOKUP($M222,'00_SKU_Master'!$B$2:$B$378,'00_SKU_Master'!$M$2:$M$378,0)/$M$2,"0")</f>
        <v>#NAME?</v>
      </c>
      <c r="O220" s="147" t="e">
        <f ca="1">_xludf.IFNA(E222/_xlfn.XLOOKUP($M222,'00_SKU_Master'!$B$2:$B$378,'00_SKU_Master'!$M$2:$M$378,0)/$M$2,"0")</f>
        <v>#NAME?</v>
      </c>
      <c r="P220" s="147" t="e">
        <f ca="1">_xludf.IFNA(F222/_xlfn.XLOOKUP($M222,'00_SKU_Master'!$B$2:$B$378,'00_SKU_Master'!$M$2:$M$378,0)/$M$2,"0")</f>
        <v>#NAME?</v>
      </c>
      <c r="Q220" s="147" t="e">
        <f ca="1">_xludf.IFNA(G222/_xlfn.XLOOKUP($M222,'00_SKU_Master'!$B$2:$B$378,'00_SKU_Master'!$M$2:$M$378,0)/$M$2,"0")</f>
        <v>#NAME?</v>
      </c>
      <c r="R220" s="147" t="e">
        <f ca="1">_xludf.IFNA(H222/_xlfn.XLOOKUP($M222,'00_SKU_Master'!$B$2:$B$378,'00_SKU_Master'!$M$2:$M$378,0)/$M$2,"0")</f>
        <v>#NAME?</v>
      </c>
      <c r="S220" s="147" t="e">
        <f ca="1">_xludf.IFNA(I222/_xlfn.XLOOKUP($M222,'00_SKU_Master'!$B$2:$B$378,'00_SKU_Master'!$M$2:$M$378,0)/$M$2,"0")</f>
        <v>#NAME?</v>
      </c>
      <c r="T220" s="147" t="e">
        <f ca="1">_xludf.IFNA(J222/_xlfn.XLOOKUP($M222,'00_SKU_Master'!$B$2:$B$378,'00_SKU_Master'!$M$2:$M$378,0)/$M$2,"0")</f>
        <v>#NAME?</v>
      </c>
      <c r="U220" s="147" t="e">
        <f t="shared" ca="1" si="21"/>
        <v>#NAME?</v>
      </c>
      <c r="V220" s="4"/>
      <c r="W220" s="4" t="e">
        <f>_xlfn.XLOOKUP(M222,'00_SKU_Master'!$B$2:$B$378,'00_SKU_Master'!D:D)</f>
        <v>#VALUE!</v>
      </c>
      <c r="X220" s="14">
        <f>'05_Daily_Orders'!B221</f>
        <v>7978</v>
      </c>
      <c r="Y220" s="554"/>
      <c r="Z220" s="555"/>
      <c r="AA220" s="555"/>
      <c r="AB220" s="555"/>
      <c r="AC220" s="555">
        <v>0</v>
      </c>
      <c r="AD220" s="555">
        <v>0</v>
      </c>
      <c r="AE220" s="555">
        <v>0</v>
      </c>
      <c r="AF220" s="553">
        <f t="shared" si="22"/>
        <v>0</v>
      </c>
      <c r="AQ220" s="23">
        <v>63</v>
      </c>
      <c r="AR220" s="23">
        <v>0</v>
      </c>
      <c r="AS220" s="23">
        <f t="shared" si="23"/>
        <v>-29</v>
      </c>
    </row>
    <row r="221" spans="1:45">
      <c r="A221" s="138">
        <f>_xlfn.XLOOKUP(C223,'00_SKU_Master'!$B$2:$B$378,'00_SKU_Master'!$C$2:$C$378)</f>
        <v>61072</v>
      </c>
      <c r="B221" s="138"/>
      <c r="C221" s="138">
        <f t="shared" si="18"/>
        <v>200703</v>
      </c>
      <c r="D221" s="552" t="e">
        <f ca="1">_xludf.IFNA(_xlfn.XLOOKUP(C223,'00_SKU_Master'!$B$2:$B$378,'00_SKU_Master'!$F$2:$F$378,0)*Y223,"")</f>
        <v>#NAME?</v>
      </c>
      <c r="E221" s="552" t="e">
        <f ca="1">_xludf.IFNA(_xlfn.XLOOKUP(C223,'00_SKU_Master'!$B$2:$B$378,'00_SKU_Master'!$F$2:$F$378,0)*Z223,"")</f>
        <v>#NAME?</v>
      </c>
      <c r="F221" s="552" t="e">
        <f ca="1">_xludf.IFNA(_xlfn.XLOOKUP(C223,'00_SKU_Master'!$B$2:$B$378,'00_SKU_Master'!$F$2:$F$378,0)*AA223,"")</f>
        <v>#NAME?</v>
      </c>
      <c r="G221" s="552" t="e">
        <f ca="1">_xludf.IFNA(_xlfn.XLOOKUP(C223,'00_SKU_Master'!$B$2:$B$378,'00_SKU_Master'!$F$2:$F$378,0)*AB223,"")</f>
        <v>#NAME?</v>
      </c>
      <c r="H221" s="552" t="e">
        <f ca="1">_xludf.IFNA(_xlfn.XLOOKUP(C223,'00_SKU_Master'!$B$2:$B$378,'00_SKU_Master'!$F$2:$F$378,0)*AC223,"")</f>
        <v>#NAME?</v>
      </c>
      <c r="I221" s="552" t="e">
        <f ca="1">_xludf.IFNA(_xlfn.XLOOKUP(C223,'00_SKU_Master'!$B$2:$B$378,'00_SKU_Master'!$F$2:$F$378,0)*AD223,"")</f>
        <v>#NAME?</v>
      </c>
      <c r="J221" s="552" t="e">
        <f ca="1">_xludf.IFNA(_xlfn.XLOOKUP(C223,'00_SKU_Master'!$B$2:$B$378,'00_SKU_Master'!$F$2:$F$378,0)*AE223,"")</f>
        <v>#NAME?</v>
      </c>
      <c r="K221" s="553" t="e">
        <f t="shared" ca="1" si="19"/>
        <v>#NAME?</v>
      </c>
      <c r="L221" s="187" t="e">
        <f>_xlfn.XLOOKUP(C223,'00_SKU_Master'!$B$2:$B$378,'00_SKU_Master'!K:K)</f>
        <v>#VALUE!</v>
      </c>
      <c r="M221" s="14">
        <f t="shared" si="20"/>
        <v>200703</v>
      </c>
      <c r="N221" s="147" t="e">
        <f ca="1">_xludf.IFNA(D223/_xlfn.XLOOKUP($M223,'00_SKU_Master'!$B$2:$B$378,'00_SKU_Master'!$M$2:$M$378,0)/$M$2,"0")</f>
        <v>#NAME?</v>
      </c>
      <c r="O221" s="147" t="e">
        <f ca="1">_xludf.IFNA(E223/_xlfn.XLOOKUP($M223,'00_SKU_Master'!$B$2:$B$378,'00_SKU_Master'!$M$2:$M$378,0)/$M$2,"0")</f>
        <v>#NAME?</v>
      </c>
      <c r="P221" s="147" t="e">
        <f ca="1">_xludf.IFNA(F223/_xlfn.XLOOKUP($M223,'00_SKU_Master'!$B$2:$B$378,'00_SKU_Master'!$M$2:$M$378,0)/$M$2,"0")</f>
        <v>#NAME?</v>
      </c>
      <c r="Q221" s="147" t="e">
        <f ca="1">_xludf.IFNA(G223/_xlfn.XLOOKUP($M223,'00_SKU_Master'!$B$2:$B$378,'00_SKU_Master'!$M$2:$M$378,0)/$M$2,"0")</f>
        <v>#NAME?</v>
      </c>
      <c r="R221" s="147" t="e">
        <f ca="1">_xludf.IFNA(H223/_xlfn.XLOOKUP($M223,'00_SKU_Master'!$B$2:$B$378,'00_SKU_Master'!$M$2:$M$378,0)/$M$2,"0")</f>
        <v>#NAME?</v>
      </c>
      <c r="S221" s="147" t="e">
        <f ca="1">_xludf.IFNA(I223/_xlfn.XLOOKUP($M223,'00_SKU_Master'!$B$2:$B$378,'00_SKU_Master'!$M$2:$M$378,0)/$M$2,"0")</f>
        <v>#NAME?</v>
      </c>
      <c r="T221" s="147" t="e">
        <f ca="1">_xludf.IFNA(J223/_xlfn.XLOOKUP($M223,'00_SKU_Master'!$B$2:$B$378,'00_SKU_Master'!$M$2:$M$378,0)/$M$2,"0")</f>
        <v>#NAME?</v>
      </c>
      <c r="U221" s="147" t="e">
        <f t="shared" ca="1" si="21"/>
        <v>#NAME?</v>
      </c>
      <c r="V221" s="4"/>
      <c r="W221" s="4" t="e">
        <f>_xlfn.XLOOKUP(M223,'00_SKU_Master'!$B$2:$B$378,'00_SKU_Master'!D:D)</f>
        <v>#VALUE!</v>
      </c>
      <c r="X221" s="14">
        <f>'05_Daily_Orders'!B222</f>
        <v>7979</v>
      </c>
      <c r="Y221" s="554"/>
      <c r="Z221" s="555"/>
      <c r="AA221" s="555"/>
      <c r="AB221" s="555"/>
      <c r="AC221" s="555">
        <v>0</v>
      </c>
      <c r="AD221" s="555">
        <v>0</v>
      </c>
      <c r="AE221" s="555">
        <v>0</v>
      </c>
      <c r="AF221" s="553">
        <f t="shared" si="22"/>
        <v>135</v>
      </c>
      <c r="AQ221" s="23">
        <v>0</v>
      </c>
      <c r="AR221" s="23">
        <v>37</v>
      </c>
      <c r="AS221" s="23">
        <f t="shared" si="23"/>
        <v>-41</v>
      </c>
    </row>
    <row r="222" spans="1:45">
      <c r="A222" s="138" t="str">
        <f>_xlfn.XLOOKUP(C224,'00_SKU_Master'!$B$2:$B$378,'00_SKU_Master'!$C$2:$C$378)</f>
        <v>61086F</v>
      </c>
      <c r="B222" s="138"/>
      <c r="C222" s="138">
        <f t="shared" si="18"/>
        <v>200704</v>
      </c>
      <c r="D222" s="552" t="e">
        <f ca="1">_xludf.IFNA(_xlfn.XLOOKUP(C224,'00_SKU_Master'!$B$2:$B$378,'00_SKU_Master'!$F$2:$F$378,0)*Y224,"")</f>
        <v>#NAME?</v>
      </c>
      <c r="E222" s="552" t="e">
        <f ca="1">_xludf.IFNA(_xlfn.XLOOKUP(C224,'00_SKU_Master'!$B$2:$B$378,'00_SKU_Master'!$F$2:$F$378,0)*Z224,"")</f>
        <v>#NAME?</v>
      </c>
      <c r="F222" s="552" t="e">
        <f ca="1">_xludf.IFNA(_xlfn.XLOOKUP(C224,'00_SKU_Master'!$B$2:$B$378,'00_SKU_Master'!$F$2:$F$378,0)*AA224,"")</f>
        <v>#NAME?</v>
      </c>
      <c r="G222" s="552" t="e">
        <f ca="1">_xludf.IFNA(_xlfn.XLOOKUP(C224,'00_SKU_Master'!$B$2:$B$378,'00_SKU_Master'!$F$2:$F$378,0)*AB224,"")</f>
        <v>#NAME?</v>
      </c>
      <c r="H222" s="552" t="e">
        <f ca="1">_xludf.IFNA(_xlfn.XLOOKUP(C224,'00_SKU_Master'!$B$2:$B$378,'00_SKU_Master'!$F$2:$F$378,0)*AC224,"")</f>
        <v>#NAME?</v>
      </c>
      <c r="I222" s="552" t="e">
        <f ca="1">_xludf.IFNA(_xlfn.XLOOKUP(C224,'00_SKU_Master'!$B$2:$B$378,'00_SKU_Master'!$F$2:$F$378,0)*AD224,"")</f>
        <v>#NAME?</v>
      </c>
      <c r="J222" s="552" t="e">
        <f ca="1">_xludf.IFNA(_xlfn.XLOOKUP(C224,'00_SKU_Master'!$B$2:$B$378,'00_SKU_Master'!$F$2:$F$378,0)*AE224,"")</f>
        <v>#NAME?</v>
      </c>
      <c r="K222" s="553" t="e">
        <f t="shared" ca="1" si="19"/>
        <v>#NAME?</v>
      </c>
      <c r="L222" s="187" t="e">
        <f>_xlfn.XLOOKUP(C224,'00_SKU_Master'!$B$2:$B$378,'00_SKU_Master'!K:K)</f>
        <v>#VALUE!</v>
      </c>
      <c r="M222" s="14">
        <f t="shared" si="20"/>
        <v>200704</v>
      </c>
      <c r="N222" s="147" t="e">
        <f ca="1">_xludf.IFNA(D224/_xlfn.XLOOKUP($M224,'00_SKU_Master'!$B$2:$B$378,'00_SKU_Master'!$M$2:$M$378,0)/$M$2,"0")</f>
        <v>#NAME?</v>
      </c>
      <c r="O222" s="147" t="e">
        <f ca="1">_xludf.IFNA(E224/_xlfn.XLOOKUP($M224,'00_SKU_Master'!$B$2:$B$378,'00_SKU_Master'!$M$2:$M$378,0)/$M$2,"0")</f>
        <v>#NAME?</v>
      </c>
      <c r="P222" s="147" t="e">
        <f ca="1">_xludf.IFNA(F224/_xlfn.XLOOKUP($M224,'00_SKU_Master'!$B$2:$B$378,'00_SKU_Master'!$M$2:$M$378,0)/$M$2,"0")</f>
        <v>#NAME?</v>
      </c>
      <c r="Q222" s="147" t="e">
        <f ca="1">_xludf.IFNA(G224/_xlfn.XLOOKUP($M224,'00_SKU_Master'!$B$2:$B$378,'00_SKU_Master'!$M$2:$M$378,0)/$M$2,"0")</f>
        <v>#NAME?</v>
      </c>
      <c r="R222" s="147" t="e">
        <f ca="1">_xludf.IFNA(H224/_xlfn.XLOOKUP($M224,'00_SKU_Master'!$B$2:$B$378,'00_SKU_Master'!$M$2:$M$378,0)/$M$2,"0")</f>
        <v>#NAME?</v>
      </c>
      <c r="S222" s="147" t="e">
        <f ca="1">_xludf.IFNA(I224/_xlfn.XLOOKUP($M224,'00_SKU_Master'!$B$2:$B$378,'00_SKU_Master'!$M$2:$M$378,0)/$M$2,"0")</f>
        <v>#NAME?</v>
      </c>
      <c r="T222" s="147" t="e">
        <f ca="1">_xludf.IFNA(J224/_xlfn.XLOOKUP($M224,'00_SKU_Master'!$B$2:$B$378,'00_SKU_Master'!$M$2:$M$378,0)/$M$2,"0")</f>
        <v>#NAME?</v>
      </c>
      <c r="U222" s="147" t="e">
        <f t="shared" ca="1" si="21"/>
        <v>#NAME?</v>
      </c>
      <c r="V222" s="4"/>
      <c r="W222" s="4" t="e">
        <f>_xlfn.XLOOKUP(M224,'00_SKU_Master'!$B$2:$B$378,'00_SKU_Master'!D:D)</f>
        <v>#VALUE!</v>
      </c>
      <c r="X222" s="14">
        <f>'05_Daily_Orders'!B223</f>
        <v>200168</v>
      </c>
      <c r="Y222" s="554"/>
      <c r="Z222" s="555"/>
      <c r="AA222" s="555"/>
      <c r="AB222" s="555"/>
      <c r="AC222" s="555">
        <v>0</v>
      </c>
      <c r="AD222" s="555">
        <v>0</v>
      </c>
      <c r="AE222" s="555">
        <v>0</v>
      </c>
      <c r="AF222" s="553">
        <f t="shared" si="22"/>
        <v>116</v>
      </c>
      <c r="AQ222" s="23">
        <v>29</v>
      </c>
      <c r="AR222" s="23">
        <v>0</v>
      </c>
      <c r="AS222" s="23">
        <f t="shared" si="23"/>
        <v>-28</v>
      </c>
    </row>
    <row r="223" spans="1:45">
      <c r="A223" s="138">
        <f>_xlfn.XLOOKUP(C225,'00_SKU_Master'!$B$2:$B$378,'00_SKU_Master'!$C$2:$C$378)</f>
        <v>61077</v>
      </c>
      <c r="B223" s="138"/>
      <c r="C223" s="138">
        <f t="shared" si="18"/>
        <v>200705</v>
      </c>
      <c r="D223" s="552" t="e">
        <f ca="1">_xludf.IFNA(_xlfn.XLOOKUP(C225,'00_SKU_Master'!$B$2:$B$378,'00_SKU_Master'!$F$2:$F$378,0)*Y225,"")</f>
        <v>#NAME?</v>
      </c>
      <c r="E223" s="552" t="e">
        <f ca="1">_xludf.IFNA(_xlfn.XLOOKUP(C225,'00_SKU_Master'!$B$2:$B$378,'00_SKU_Master'!$F$2:$F$378,0)*Z225,"")</f>
        <v>#NAME?</v>
      </c>
      <c r="F223" s="552" t="e">
        <f ca="1">_xludf.IFNA(_xlfn.XLOOKUP(C225,'00_SKU_Master'!$B$2:$B$378,'00_SKU_Master'!$F$2:$F$378,0)*AA225,"")</f>
        <v>#NAME?</v>
      </c>
      <c r="G223" s="552" t="e">
        <f ca="1">_xludf.IFNA(_xlfn.XLOOKUP(C225,'00_SKU_Master'!$B$2:$B$378,'00_SKU_Master'!$F$2:$F$378,0)*AB225,"")</f>
        <v>#NAME?</v>
      </c>
      <c r="H223" s="552" t="e">
        <f ca="1">_xludf.IFNA(_xlfn.XLOOKUP(C225,'00_SKU_Master'!$B$2:$B$378,'00_SKU_Master'!$F$2:$F$378,0)*AC225,"")</f>
        <v>#NAME?</v>
      </c>
      <c r="I223" s="552" t="e">
        <f ca="1">_xludf.IFNA(_xlfn.XLOOKUP(C225,'00_SKU_Master'!$B$2:$B$378,'00_SKU_Master'!$F$2:$F$378,0)*AD225,"")</f>
        <v>#NAME?</v>
      </c>
      <c r="J223" s="552" t="e">
        <f ca="1">_xludf.IFNA(_xlfn.XLOOKUP(C225,'00_SKU_Master'!$B$2:$B$378,'00_SKU_Master'!$F$2:$F$378,0)*AE225,"")</f>
        <v>#NAME?</v>
      </c>
      <c r="K223" s="553" t="e">
        <f t="shared" ca="1" si="19"/>
        <v>#NAME?</v>
      </c>
      <c r="L223" s="187" t="e">
        <f>_xlfn.XLOOKUP(C225,'00_SKU_Master'!$B$2:$B$378,'00_SKU_Master'!K:K)</f>
        <v>#VALUE!</v>
      </c>
      <c r="M223" s="14">
        <f t="shared" si="20"/>
        <v>200705</v>
      </c>
      <c r="N223" s="147" t="e">
        <f ca="1">_xludf.IFNA(D225/_xlfn.XLOOKUP($M225,'00_SKU_Master'!$B$2:$B$378,'00_SKU_Master'!$M$2:$M$378,0)/$M$2,"0")</f>
        <v>#NAME?</v>
      </c>
      <c r="O223" s="147" t="e">
        <f ca="1">_xludf.IFNA(E225/_xlfn.XLOOKUP($M225,'00_SKU_Master'!$B$2:$B$378,'00_SKU_Master'!$M$2:$M$378,0)/$M$2,"0")</f>
        <v>#NAME?</v>
      </c>
      <c r="P223" s="147" t="e">
        <f ca="1">_xludf.IFNA(F225/_xlfn.XLOOKUP($M225,'00_SKU_Master'!$B$2:$B$378,'00_SKU_Master'!$M$2:$M$378,0)/$M$2,"0")</f>
        <v>#NAME?</v>
      </c>
      <c r="Q223" s="147" t="e">
        <f ca="1">_xludf.IFNA(G225/_xlfn.XLOOKUP($M225,'00_SKU_Master'!$B$2:$B$378,'00_SKU_Master'!$M$2:$M$378,0)/$M$2,"0")</f>
        <v>#NAME?</v>
      </c>
      <c r="R223" s="147" t="e">
        <f ca="1">_xludf.IFNA(H225/_xlfn.XLOOKUP($M225,'00_SKU_Master'!$B$2:$B$378,'00_SKU_Master'!$M$2:$M$378,0)/$M$2,"0")</f>
        <v>#NAME?</v>
      </c>
      <c r="S223" s="147" t="e">
        <f ca="1">_xludf.IFNA(I225/_xlfn.XLOOKUP($M225,'00_SKU_Master'!$B$2:$B$378,'00_SKU_Master'!$M$2:$M$378,0)/$M$2,"0")</f>
        <v>#NAME?</v>
      </c>
      <c r="T223" s="147" t="e">
        <f ca="1">_xludf.IFNA(J225/_xlfn.XLOOKUP($M225,'00_SKU_Master'!$B$2:$B$378,'00_SKU_Master'!$M$2:$M$378,0)/$M$2,"0")</f>
        <v>#NAME?</v>
      </c>
      <c r="U223" s="147" t="e">
        <f t="shared" ca="1" si="21"/>
        <v>#NAME?</v>
      </c>
      <c r="V223" s="4"/>
      <c r="W223" s="4" t="e">
        <f>_xlfn.XLOOKUP(M225,'00_SKU_Master'!$B$2:$B$378,'00_SKU_Master'!D:D)</f>
        <v>#VALUE!</v>
      </c>
      <c r="X223" s="14">
        <f>'05_Daily_Orders'!B224</f>
        <v>200703</v>
      </c>
      <c r="Y223" s="554"/>
      <c r="Z223" s="555"/>
      <c r="AA223" s="555"/>
      <c r="AB223" s="555"/>
      <c r="AC223" s="555">
        <v>10</v>
      </c>
      <c r="AD223" s="555">
        <v>0</v>
      </c>
      <c r="AE223" s="555">
        <v>125</v>
      </c>
      <c r="AF223" s="553">
        <f t="shared" si="22"/>
        <v>388</v>
      </c>
      <c r="AQ223" s="23">
        <v>41</v>
      </c>
      <c r="AR223" s="23">
        <v>0</v>
      </c>
      <c r="AS223" s="23">
        <f t="shared" si="23"/>
        <v>0</v>
      </c>
    </row>
    <row r="224" spans="1:45">
      <c r="A224" s="138">
        <f>_xlfn.XLOOKUP(C226,'00_SKU_Master'!$B$2:$B$378,'00_SKU_Master'!$C$2:$C$378)</f>
        <v>61014</v>
      </c>
      <c r="B224" s="138"/>
      <c r="C224" s="138">
        <f t="shared" si="18"/>
        <v>200706</v>
      </c>
      <c r="D224" s="552" t="e">
        <f ca="1">_xludf.IFNA(_xlfn.XLOOKUP(C226,'00_SKU_Master'!$B$2:$B$378,'00_SKU_Master'!$F$2:$F$378,0)*Y226,"")</f>
        <v>#NAME?</v>
      </c>
      <c r="E224" s="552" t="e">
        <f ca="1">_xludf.IFNA(_xlfn.XLOOKUP(C226,'00_SKU_Master'!$B$2:$B$378,'00_SKU_Master'!$F$2:$F$378,0)*Z226,"")</f>
        <v>#NAME?</v>
      </c>
      <c r="F224" s="552" t="e">
        <f ca="1">_xludf.IFNA(_xlfn.XLOOKUP(C226,'00_SKU_Master'!$B$2:$B$378,'00_SKU_Master'!$F$2:$F$378,0)*AA226,"")</f>
        <v>#NAME?</v>
      </c>
      <c r="G224" s="552" t="e">
        <f ca="1">_xludf.IFNA(_xlfn.XLOOKUP(C226,'00_SKU_Master'!$B$2:$B$378,'00_SKU_Master'!$F$2:$F$378,0)*AB226,"")</f>
        <v>#NAME?</v>
      </c>
      <c r="H224" s="552" t="e">
        <f ca="1">_xludf.IFNA(_xlfn.XLOOKUP(C226,'00_SKU_Master'!$B$2:$B$378,'00_SKU_Master'!$F$2:$F$378,0)*AC226,"")</f>
        <v>#NAME?</v>
      </c>
      <c r="I224" s="552" t="e">
        <f ca="1">_xludf.IFNA(_xlfn.XLOOKUP(C226,'00_SKU_Master'!$B$2:$B$378,'00_SKU_Master'!$F$2:$F$378,0)*AD226,"")</f>
        <v>#NAME?</v>
      </c>
      <c r="J224" s="552" t="e">
        <f ca="1">_xludf.IFNA(_xlfn.XLOOKUP(C226,'00_SKU_Master'!$B$2:$B$378,'00_SKU_Master'!$F$2:$F$378,0)*AE226,"")</f>
        <v>#NAME?</v>
      </c>
      <c r="K224" s="553" t="e">
        <f t="shared" ca="1" si="19"/>
        <v>#NAME?</v>
      </c>
      <c r="L224" s="187" t="e">
        <f>_xlfn.XLOOKUP(C226,'00_SKU_Master'!$B$2:$B$378,'00_SKU_Master'!K:K)</f>
        <v>#VALUE!</v>
      </c>
      <c r="M224" s="14">
        <f t="shared" si="20"/>
        <v>200706</v>
      </c>
      <c r="N224" s="147" t="e">
        <f ca="1">_xludf.IFNA(D226/_xlfn.XLOOKUP($M226,'00_SKU_Master'!$B$2:$B$378,'00_SKU_Master'!$M$2:$M$378,0)/$M$2,"0")</f>
        <v>#NAME?</v>
      </c>
      <c r="O224" s="147" t="e">
        <f ca="1">_xludf.IFNA(E226/_xlfn.XLOOKUP($M226,'00_SKU_Master'!$B$2:$B$378,'00_SKU_Master'!$M$2:$M$378,0)/$M$2,"0")</f>
        <v>#NAME?</v>
      </c>
      <c r="P224" s="147" t="e">
        <f ca="1">_xludf.IFNA(F226/_xlfn.XLOOKUP($M226,'00_SKU_Master'!$B$2:$B$378,'00_SKU_Master'!$M$2:$M$378,0)/$M$2,"0")</f>
        <v>#NAME?</v>
      </c>
      <c r="Q224" s="147" t="e">
        <f ca="1">_xludf.IFNA(G226/_xlfn.XLOOKUP($M226,'00_SKU_Master'!$B$2:$B$378,'00_SKU_Master'!$M$2:$M$378,0)/$M$2,"0")</f>
        <v>#NAME?</v>
      </c>
      <c r="R224" s="147" t="e">
        <f ca="1">_xludf.IFNA(H226/_xlfn.XLOOKUP($M226,'00_SKU_Master'!$B$2:$B$378,'00_SKU_Master'!$M$2:$M$378,0)/$M$2,"0")</f>
        <v>#NAME?</v>
      </c>
      <c r="S224" s="147" t="e">
        <f ca="1">_xludf.IFNA(I226/_xlfn.XLOOKUP($M226,'00_SKU_Master'!$B$2:$B$378,'00_SKU_Master'!$M$2:$M$378,0)/$M$2,"0")</f>
        <v>#NAME?</v>
      </c>
      <c r="T224" s="147" t="e">
        <f ca="1">_xludf.IFNA(J226/_xlfn.XLOOKUP($M226,'00_SKU_Master'!$B$2:$B$378,'00_SKU_Master'!$M$2:$M$378,0)/$M$2,"0")</f>
        <v>#NAME?</v>
      </c>
      <c r="U224" s="147" t="e">
        <f t="shared" ca="1" si="21"/>
        <v>#NAME?</v>
      </c>
      <c r="V224" s="4"/>
      <c r="W224" s="4" t="e">
        <f>_xlfn.XLOOKUP(M226,'00_SKU_Master'!$B$2:$B$378,'00_SKU_Master'!D:D)</f>
        <v>#VALUE!</v>
      </c>
      <c r="X224" s="14">
        <f>'05_Daily_Orders'!B225</f>
        <v>200704</v>
      </c>
      <c r="Y224" s="554"/>
      <c r="Z224" s="555"/>
      <c r="AA224" s="555"/>
      <c r="AB224" s="555"/>
      <c r="AC224" s="555">
        <v>41</v>
      </c>
      <c r="AD224" s="555">
        <v>0</v>
      </c>
      <c r="AE224" s="555">
        <v>75</v>
      </c>
      <c r="AF224" s="553">
        <f t="shared" si="22"/>
        <v>38</v>
      </c>
      <c r="AQ224" s="23">
        <v>28</v>
      </c>
      <c r="AR224" s="23">
        <v>0</v>
      </c>
      <c r="AS224" s="23">
        <f t="shared" si="23"/>
        <v>-1</v>
      </c>
    </row>
    <row r="225" spans="1:45">
      <c r="A225" s="138" t="str">
        <f>_xlfn.XLOOKUP(C227,'00_SKU_Master'!$B$2:$B$378,'00_SKU_Master'!$C$2:$C$378)</f>
        <v>61050F</v>
      </c>
      <c r="B225" s="138"/>
      <c r="C225" s="138">
        <f t="shared" si="18"/>
        <v>200707</v>
      </c>
      <c r="D225" s="552" t="e">
        <f ca="1">_xludf.IFNA(_xlfn.XLOOKUP(C227,'00_SKU_Master'!$B$2:$B$378,'00_SKU_Master'!$F$2:$F$378,0)*Y227,"")</f>
        <v>#NAME?</v>
      </c>
      <c r="E225" s="552" t="e">
        <f ca="1">_xludf.IFNA(_xlfn.XLOOKUP(C227,'00_SKU_Master'!$B$2:$B$378,'00_SKU_Master'!$F$2:$F$378,0)*Z227,"")</f>
        <v>#NAME?</v>
      </c>
      <c r="F225" s="552" t="e">
        <f ca="1">_xludf.IFNA(_xlfn.XLOOKUP(C227,'00_SKU_Master'!$B$2:$B$378,'00_SKU_Master'!$F$2:$F$378,0)*AA227,"")</f>
        <v>#NAME?</v>
      </c>
      <c r="G225" s="552" t="e">
        <f ca="1">_xludf.IFNA(_xlfn.XLOOKUP(C227,'00_SKU_Master'!$B$2:$B$378,'00_SKU_Master'!$F$2:$F$378,0)*AB227,"")</f>
        <v>#NAME?</v>
      </c>
      <c r="H225" s="552" t="e">
        <f ca="1">_xludf.IFNA(_xlfn.XLOOKUP(C227,'00_SKU_Master'!$B$2:$B$378,'00_SKU_Master'!$F$2:$F$378,0)*AC227,"")</f>
        <v>#NAME?</v>
      </c>
      <c r="I225" s="552" t="e">
        <f ca="1">_xludf.IFNA(_xlfn.XLOOKUP(C227,'00_SKU_Master'!$B$2:$B$378,'00_SKU_Master'!$F$2:$F$378,0)*AD227,"")</f>
        <v>#NAME?</v>
      </c>
      <c r="J225" s="552" t="e">
        <f ca="1">_xludf.IFNA(_xlfn.XLOOKUP(C227,'00_SKU_Master'!$B$2:$B$378,'00_SKU_Master'!$F$2:$F$378,0)*AE227,"")</f>
        <v>#NAME?</v>
      </c>
      <c r="K225" s="553" t="e">
        <f t="shared" ca="1" si="19"/>
        <v>#NAME?</v>
      </c>
      <c r="L225" s="187" t="e">
        <f>_xlfn.XLOOKUP(C227,'00_SKU_Master'!$B$2:$B$378,'00_SKU_Master'!K:K)</f>
        <v>#VALUE!</v>
      </c>
      <c r="M225" s="14">
        <f t="shared" si="20"/>
        <v>200707</v>
      </c>
      <c r="N225" s="147" t="e">
        <f ca="1">_xludf.IFNA(D227/_xlfn.XLOOKUP($M227,'00_SKU_Master'!$B$2:$B$378,'00_SKU_Master'!$M$2:$M$378,0)/$M$2,"0")</f>
        <v>#NAME?</v>
      </c>
      <c r="O225" s="147" t="e">
        <f ca="1">_xludf.IFNA(E227/_xlfn.XLOOKUP($M227,'00_SKU_Master'!$B$2:$B$378,'00_SKU_Master'!$M$2:$M$378,0)/$M$2,"0")</f>
        <v>#NAME?</v>
      </c>
      <c r="P225" s="147" t="e">
        <f ca="1">_xludf.IFNA(F227/_xlfn.XLOOKUP($M227,'00_SKU_Master'!$B$2:$B$378,'00_SKU_Master'!$M$2:$M$378,0)/$M$2,"0")</f>
        <v>#NAME?</v>
      </c>
      <c r="Q225" s="147" t="e">
        <f ca="1">_xludf.IFNA(G227/_xlfn.XLOOKUP($M227,'00_SKU_Master'!$B$2:$B$378,'00_SKU_Master'!$M$2:$M$378,0)/$M$2,"0")</f>
        <v>#NAME?</v>
      </c>
      <c r="R225" s="147" t="e">
        <f ca="1">_xludf.IFNA(H227/_xlfn.XLOOKUP($M227,'00_SKU_Master'!$B$2:$B$378,'00_SKU_Master'!$M$2:$M$378,0)/$M$2,"0")</f>
        <v>#NAME?</v>
      </c>
      <c r="S225" s="147" t="e">
        <f ca="1">_xludf.IFNA(I227/_xlfn.XLOOKUP($M227,'00_SKU_Master'!$B$2:$B$378,'00_SKU_Master'!$M$2:$M$378,0)/$M$2,"0")</f>
        <v>#NAME?</v>
      </c>
      <c r="T225" s="147" t="e">
        <f ca="1">_xludf.IFNA(J227/_xlfn.XLOOKUP($M227,'00_SKU_Master'!$B$2:$B$378,'00_SKU_Master'!$M$2:$M$378,0)/$M$2,"0")</f>
        <v>#NAME?</v>
      </c>
      <c r="U225" s="147" t="e">
        <f t="shared" ca="1" si="21"/>
        <v>#NAME?</v>
      </c>
      <c r="V225" s="4"/>
      <c r="W225" s="4" t="e">
        <f>_xlfn.XLOOKUP(M227,'00_SKU_Master'!$B$2:$B$378,'00_SKU_Master'!D:D)</f>
        <v>#VALUE!</v>
      </c>
      <c r="X225" s="14">
        <f>'05_Daily_Orders'!B226</f>
        <v>200705</v>
      </c>
      <c r="Y225" s="554"/>
      <c r="Z225" s="555"/>
      <c r="AA225" s="555"/>
      <c r="AB225" s="555"/>
      <c r="AC225" s="555">
        <v>250</v>
      </c>
      <c r="AD225" s="555">
        <v>0</v>
      </c>
      <c r="AE225" s="555">
        <v>138</v>
      </c>
      <c r="AF225" s="553">
        <f t="shared" si="22"/>
        <v>80</v>
      </c>
      <c r="AQ225" s="23">
        <v>0</v>
      </c>
      <c r="AR225" s="23">
        <v>0</v>
      </c>
      <c r="AS225" s="23">
        <f t="shared" si="23"/>
        <v>35</v>
      </c>
    </row>
    <row r="226" spans="1:45">
      <c r="A226" s="138">
        <f>_xlfn.XLOOKUP(C228,'00_SKU_Master'!$B$2:$B$378,'00_SKU_Master'!$C$2:$C$378)</f>
        <v>203021</v>
      </c>
      <c r="B226" s="138"/>
      <c r="C226" s="138">
        <f t="shared" si="18"/>
        <v>200708</v>
      </c>
      <c r="D226" s="552" t="e">
        <f ca="1">_xludf.IFNA(_xlfn.XLOOKUP(C228,'00_SKU_Master'!$B$2:$B$378,'00_SKU_Master'!$F$2:$F$378,0)*Y228,"")</f>
        <v>#NAME?</v>
      </c>
      <c r="E226" s="552" t="e">
        <f ca="1">_xludf.IFNA(_xlfn.XLOOKUP(C228,'00_SKU_Master'!$B$2:$B$378,'00_SKU_Master'!$F$2:$F$378,0)*Z228,"")</f>
        <v>#NAME?</v>
      </c>
      <c r="F226" s="552" t="e">
        <f ca="1">_xludf.IFNA(_xlfn.XLOOKUP(C228,'00_SKU_Master'!$B$2:$B$378,'00_SKU_Master'!$F$2:$F$378,0)*AA228,"")</f>
        <v>#NAME?</v>
      </c>
      <c r="G226" s="552" t="e">
        <f ca="1">_xludf.IFNA(_xlfn.XLOOKUP(C228,'00_SKU_Master'!$B$2:$B$378,'00_SKU_Master'!$F$2:$F$378,0)*AB228,"")</f>
        <v>#NAME?</v>
      </c>
      <c r="H226" s="552" t="e">
        <f ca="1">_xludf.IFNA(_xlfn.XLOOKUP(C228,'00_SKU_Master'!$B$2:$B$378,'00_SKU_Master'!$F$2:$F$378,0)*AC228,"")</f>
        <v>#NAME?</v>
      </c>
      <c r="I226" s="552" t="e">
        <f ca="1">_xludf.IFNA(_xlfn.XLOOKUP(C228,'00_SKU_Master'!$B$2:$B$378,'00_SKU_Master'!$F$2:$F$378,0)*AD228,"")</f>
        <v>#NAME?</v>
      </c>
      <c r="J226" s="552" t="e">
        <f ca="1">_xludf.IFNA(_xlfn.XLOOKUP(C228,'00_SKU_Master'!$B$2:$B$378,'00_SKU_Master'!$F$2:$F$378,0)*AE228,"")</f>
        <v>#NAME?</v>
      </c>
      <c r="K226" s="553" t="e">
        <f t="shared" ca="1" si="19"/>
        <v>#NAME?</v>
      </c>
      <c r="L226" s="187" t="e">
        <f>_xlfn.XLOOKUP(C228,'00_SKU_Master'!$B$2:$B$378,'00_SKU_Master'!K:K)</f>
        <v>#VALUE!</v>
      </c>
      <c r="M226" s="14">
        <f t="shared" si="20"/>
        <v>200708</v>
      </c>
      <c r="N226" s="147" t="e">
        <f ca="1">_xludf.IFNA(D228/_xlfn.XLOOKUP($M228,'00_SKU_Master'!$B$2:$B$378,'00_SKU_Master'!$M$2:$M$378,0)/$M$2,"0")</f>
        <v>#NAME?</v>
      </c>
      <c r="O226" s="147" t="e">
        <f ca="1">_xludf.IFNA(E228/_xlfn.XLOOKUP($M228,'00_SKU_Master'!$B$2:$B$378,'00_SKU_Master'!$M$2:$M$378,0)/$M$2,"0")</f>
        <v>#NAME?</v>
      </c>
      <c r="P226" s="147" t="e">
        <f ca="1">_xludf.IFNA(F228/_xlfn.XLOOKUP($M228,'00_SKU_Master'!$B$2:$B$378,'00_SKU_Master'!$M$2:$M$378,0)/$M$2,"0")</f>
        <v>#NAME?</v>
      </c>
      <c r="Q226" s="147" t="e">
        <f ca="1">_xludf.IFNA(G228/_xlfn.XLOOKUP($M228,'00_SKU_Master'!$B$2:$B$378,'00_SKU_Master'!$M$2:$M$378,0)/$M$2,"0")</f>
        <v>#NAME?</v>
      </c>
      <c r="R226" s="147" t="e">
        <f ca="1">_xludf.IFNA(H228/_xlfn.XLOOKUP($M228,'00_SKU_Master'!$B$2:$B$378,'00_SKU_Master'!$M$2:$M$378,0)/$M$2,"0")</f>
        <v>#NAME?</v>
      </c>
      <c r="S226" s="147" t="e">
        <f ca="1">_xludf.IFNA(I228/_xlfn.XLOOKUP($M228,'00_SKU_Master'!$B$2:$B$378,'00_SKU_Master'!$M$2:$M$378,0)/$M$2,"0")</f>
        <v>#NAME?</v>
      </c>
      <c r="T226" s="147" t="e">
        <f ca="1">_xludf.IFNA(J228/_xlfn.XLOOKUP($M228,'00_SKU_Master'!$B$2:$B$378,'00_SKU_Master'!$M$2:$M$378,0)/$M$2,"0")</f>
        <v>#NAME?</v>
      </c>
      <c r="U226" s="147" t="e">
        <f t="shared" ca="1" si="21"/>
        <v>#NAME?</v>
      </c>
      <c r="V226" s="4"/>
      <c r="W226" s="4" t="e">
        <f>_xlfn.XLOOKUP(M228,'00_SKU_Master'!$B$2:$B$378,'00_SKU_Master'!D:D)</f>
        <v>#VALUE!</v>
      </c>
      <c r="X226" s="14">
        <f>'05_Daily_Orders'!B227</f>
        <v>200706</v>
      </c>
      <c r="Y226" s="554"/>
      <c r="Z226" s="555"/>
      <c r="AA226" s="555"/>
      <c r="AB226" s="555"/>
      <c r="AC226" s="555">
        <v>2</v>
      </c>
      <c r="AD226" s="555">
        <v>0</v>
      </c>
      <c r="AE226" s="555">
        <v>36</v>
      </c>
      <c r="AF226" s="553">
        <f t="shared" si="22"/>
        <v>33</v>
      </c>
      <c r="AQ226" s="23">
        <v>1</v>
      </c>
      <c r="AR226" s="23">
        <v>0</v>
      </c>
      <c r="AS226" s="23">
        <f t="shared" si="23"/>
        <v>-1</v>
      </c>
    </row>
    <row r="227" spans="1:45">
      <c r="A227" s="138">
        <f>_xlfn.XLOOKUP(C229,'00_SKU_Master'!$B$2:$B$378,'00_SKU_Master'!$C$2:$C$378)</f>
        <v>61072</v>
      </c>
      <c r="B227" s="138"/>
      <c r="C227" s="138">
        <f t="shared" si="18"/>
        <v>200709</v>
      </c>
      <c r="D227" s="552" t="e">
        <f ca="1">_xludf.IFNA(_xlfn.XLOOKUP(C229,'00_SKU_Master'!$B$2:$B$378,'00_SKU_Master'!$F$2:$F$378,0)*Y229,"")</f>
        <v>#NAME?</v>
      </c>
      <c r="E227" s="552" t="e">
        <f ca="1">_xludf.IFNA(_xlfn.XLOOKUP(C229,'00_SKU_Master'!$B$2:$B$378,'00_SKU_Master'!$F$2:$F$378,0)*Z229,"")</f>
        <v>#NAME?</v>
      </c>
      <c r="F227" s="552" t="e">
        <f ca="1">_xludf.IFNA(_xlfn.XLOOKUP(C229,'00_SKU_Master'!$B$2:$B$378,'00_SKU_Master'!$F$2:$F$378,0)*AA229,"")</f>
        <v>#NAME?</v>
      </c>
      <c r="G227" s="552" t="e">
        <f ca="1">_xludf.IFNA(_xlfn.XLOOKUP(C229,'00_SKU_Master'!$B$2:$B$378,'00_SKU_Master'!$F$2:$F$378,0)*AB229,"")</f>
        <v>#NAME?</v>
      </c>
      <c r="H227" s="552" t="e">
        <f ca="1">_xludf.IFNA(_xlfn.XLOOKUP(C229,'00_SKU_Master'!$B$2:$B$378,'00_SKU_Master'!$F$2:$F$378,0)*AC229,"")</f>
        <v>#NAME?</v>
      </c>
      <c r="I227" s="552" t="e">
        <f ca="1">_xludf.IFNA(_xlfn.XLOOKUP(C229,'00_SKU_Master'!$B$2:$B$378,'00_SKU_Master'!$F$2:$F$378,0)*AD229,"")</f>
        <v>#NAME?</v>
      </c>
      <c r="J227" s="552" t="e">
        <f ca="1">_xludf.IFNA(_xlfn.XLOOKUP(C229,'00_SKU_Master'!$B$2:$B$378,'00_SKU_Master'!$F$2:$F$378,0)*AE229,"")</f>
        <v>#NAME?</v>
      </c>
      <c r="K227" s="553" t="e">
        <f t="shared" ca="1" si="19"/>
        <v>#NAME?</v>
      </c>
      <c r="L227" s="187" t="e">
        <f>_xlfn.XLOOKUP(C229,'00_SKU_Master'!$B$2:$B$378,'00_SKU_Master'!K:K)</f>
        <v>#VALUE!</v>
      </c>
      <c r="M227" s="14">
        <f t="shared" si="20"/>
        <v>200709</v>
      </c>
      <c r="N227" s="147" t="e">
        <f ca="1">_xludf.IFNA(D229/_xlfn.XLOOKUP($M229,'00_SKU_Master'!$B$2:$B$378,'00_SKU_Master'!$M$2:$M$378,0)/$M$2,"0")</f>
        <v>#NAME?</v>
      </c>
      <c r="O227" s="147" t="e">
        <f ca="1">_xludf.IFNA(E229/_xlfn.XLOOKUP($M229,'00_SKU_Master'!$B$2:$B$378,'00_SKU_Master'!$M$2:$M$378,0)/$M$2,"0")</f>
        <v>#NAME?</v>
      </c>
      <c r="P227" s="147" t="e">
        <f ca="1">_xludf.IFNA(F229/_xlfn.XLOOKUP($M229,'00_SKU_Master'!$B$2:$B$378,'00_SKU_Master'!$M$2:$M$378,0)/$M$2,"0")</f>
        <v>#NAME?</v>
      </c>
      <c r="Q227" s="147" t="e">
        <f ca="1">_xludf.IFNA(G229/_xlfn.XLOOKUP($M229,'00_SKU_Master'!$B$2:$B$378,'00_SKU_Master'!$M$2:$M$378,0)/$M$2,"0")</f>
        <v>#NAME?</v>
      </c>
      <c r="R227" s="147" t="e">
        <f ca="1">_xludf.IFNA(H229/_xlfn.XLOOKUP($M229,'00_SKU_Master'!$B$2:$B$378,'00_SKU_Master'!$M$2:$M$378,0)/$M$2,"0")</f>
        <v>#NAME?</v>
      </c>
      <c r="S227" s="147" t="e">
        <f ca="1">_xludf.IFNA(I229/_xlfn.XLOOKUP($M229,'00_SKU_Master'!$B$2:$B$378,'00_SKU_Master'!$M$2:$M$378,0)/$M$2,"0")</f>
        <v>#NAME?</v>
      </c>
      <c r="T227" s="147" t="e">
        <f ca="1">_xludf.IFNA(J229/_xlfn.XLOOKUP($M229,'00_SKU_Master'!$B$2:$B$378,'00_SKU_Master'!$M$2:$M$378,0)/$M$2,"0")</f>
        <v>#NAME?</v>
      </c>
      <c r="U227" s="147" t="e">
        <f t="shared" ca="1" si="21"/>
        <v>#NAME?</v>
      </c>
      <c r="V227" s="4"/>
      <c r="W227" s="4" t="e">
        <f>_xlfn.XLOOKUP(M229,'00_SKU_Master'!$B$2:$B$378,'00_SKU_Master'!D:D)</f>
        <v>#VALUE!</v>
      </c>
      <c r="X227" s="14">
        <f>'05_Daily_Orders'!B228</f>
        <v>200707</v>
      </c>
      <c r="Y227" s="554"/>
      <c r="Z227" s="555"/>
      <c r="AA227" s="555"/>
      <c r="AB227" s="555"/>
      <c r="AC227" s="555">
        <v>18</v>
      </c>
      <c r="AD227" s="555">
        <v>0</v>
      </c>
      <c r="AE227" s="555">
        <v>62</v>
      </c>
      <c r="AF227" s="553">
        <f t="shared" si="22"/>
        <v>0</v>
      </c>
      <c r="AQ227" s="23">
        <v>0</v>
      </c>
      <c r="AR227" s="23">
        <v>35</v>
      </c>
      <c r="AS227" s="23">
        <f t="shared" si="23"/>
        <v>0</v>
      </c>
    </row>
    <row r="228" spans="1:45">
      <c r="A228" s="138" t="str">
        <f>_xlfn.XLOOKUP(C230,'00_SKU_Master'!$B$2:$B$378,'00_SKU_Master'!$C$2:$C$378)</f>
        <v>61086F</v>
      </c>
      <c r="B228" s="138"/>
      <c r="C228" s="138">
        <f t="shared" si="18"/>
        <v>200710</v>
      </c>
      <c r="D228" s="552" t="e">
        <f ca="1">_xludf.IFNA(_xlfn.XLOOKUP(C230,'00_SKU_Master'!$B$2:$B$378,'00_SKU_Master'!$F$2:$F$378,0)*Y230,"")</f>
        <v>#NAME?</v>
      </c>
      <c r="E228" s="552" t="e">
        <f ca="1">_xludf.IFNA(_xlfn.XLOOKUP(C230,'00_SKU_Master'!$B$2:$B$378,'00_SKU_Master'!$F$2:$F$378,0)*Z230,"")</f>
        <v>#NAME?</v>
      </c>
      <c r="F228" s="552" t="e">
        <f ca="1">_xludf.IFNA(_xlfn.XLOOKUP(C230,'00_SKU_Master'!$B$2:$B$378,'00_SKU_Master'!$F$2:$F$378,0)*AA230,"")</f>
        <v>#NAME?</v>
      </c>
      <c r="G228" s="552" t="e">
        <f ca="1">_xludf.IFNA(_xlfn.XLOOKUP(C230,'00_SKU_Master'!$B$2:$B$378,'00_SKU_Master'!$F$2:$F$378,0)*AB230,"")</f>
        <v>#NAME?</v>
      </c>
      <c r="H228" s="552" t="e">
        <f ca="1">_xludf.IFNA(_xlfn.XLOOKUP(C230,'00_SKU_Master'!$B$2:$B$378,'00_SKU_Master'!$F$2:$F$378,0)*AC230,"")</f>
        <v>#NAME?</v>
      </c>
      <c r="I228" s="552" t="e">
        <f ca="1">_xludf.IFNA(_xlfn.XLOOKUP(C230,'00_SKU_Master'!$B$2:$B$378,'00_SKU_Master'!$F$2:$F$378,0)*AD230,"")</f>
        <v>#NAME?</v>
      </c>
      <c r="J228" s="552" t="e">
        <f ca="1">_xludf.IFNA(_xlfn.XLOOKUP(C230,'00_SKU_Master'!$B$2:$B$378,'00_SKU_Master'!$F$2:$F$378,0)*AE230,"")</f>
        <v>#NAME?</v>
      </c>
      <c r="K228" s="553" t="e">
        <f t="shared" ca="1" si="19"/>
        <v>#NAME?</v>
      </c>
      <c r="L228" s="187" t="e">
        <f>_xlfn.XLOOKUP(C230,'00_SKU_Master'!$B$2:$B$378,'00_SKU_Master'!K:K)</f>
        <v>#VALUE!</v>
      </c>
      <c r="M228" s="14">
        <f t="shared" si="20"/>
        <v>200710</v>
      </c>
      <c r="N228" s="147" t="e">
        <f ca="1">_xludf.IFNA(D230/_xlfn.XLOOKUP($M230,'00_SKU_Master'!$B$2:$B$378,'00_SKU_Master'!$M$2:$M$378,0)/$M$2,"0")</f>
        <v>#NAME?</v>
      </c>
      <c r="O228" s="147" t="e">
        <f ca="1">_xludf.IFNA(E230/_xlfn.XLOOKUP($M230,'00_SKU_Master'!$B$2:$B$378,'00_SKU_Master'!$M$2:$M$378,0)/$M$2,"0")</f>
        <v>#NAME?</v>
      </c>
      <c r="P228" s="147" t="e">
        <f ca="1">_xludf.IFNA(F230/_xlfn.XLOOKUP($M230,'00_SKU_Master'!$B$2:$B$378,'00_SKU_Master'!$M$2:$M$378,0)/$M$2,"0")</f>
        <v>#NAME?</v>
      </c>
      <c r="Q228" s="147" t="e">
        <f ca="1">_xludf.IFNA(G230/_xlfn.XLOOKUP($M230,'00_SKU_Master'!$B$2:$B$378,'00_SKU_Master'!$M$2:$M$378,0)/$M$2,"0")</f>
        <v>#NAME?</v>
      </c>
      <c r="R228" s="147" t="e">
        <f ca="1">_xludf.IFNA(H230/_xlfn.XLOOKUP($M230,'00_SKU_Master'!$B$2:$B$378,'00_SKU_Master'!$M$2:$M$378,0)/$M$2,"0")</f>
        <v>#NAME?</v>
      </c>
      <c r="S228" s="147" t="e">
        <f ca="1">_xludf.IFNA(I230/_xlfn.XLOOKUP($M230,'00_SKU_Master'!$B$2:$B$378,'00_SKU_Master'!$M$2:$M$378,0)/$M$2,"0")</f>
        <v>#NAME?</v>
      </c>
      <c r="T228" s="147" t="e">
        <f ca="1">_xludf.IFNA(J230/_xlfn.XLOOKUP($M230,'00_SKU_Master'!$B$2:$B$378,'00_SKU_Master'!$M$2:$M$378,0)/$M$2,"0")</f>
        <v>#NAME?</v>
      </c>
      <c r="U228" s="147" t="e">
        <f t="shared" ca="1" si="21"/>
        <v>#NAME?</v>
      </c>
      <c r="V228" s="4"/>
      <c r="W228" s="4" t="e">
        <f>_xlfn.XLOOKUP(M230,'00_SKU_Master'!$B$2:$B$378,'00_SKU_Master'!D:D)</f>
        <v>#VALUE!</v>
      </c>
      <c r="X228" s="14">
        <f>'05_Daily_Orders'!B229</f>
        <v>200708</v>
      </c>
      <c r="Y228" s="554"/>
      <c r="Z228" s="555"/>
      <c r="AA228" s="555"/>
      <c r="AB228" s="555"/>
      <c r="AC228" s="555">
        <v>5</v>
      </c>
      <c r="AD228" s="555">
        <v>0</v>
      </c>
      <c r="AE228" s="555">
        <v>28</v>
      </c>
      <c r="AF228" s="553">
        <f t="shared" si="22"/>
        <v>144</v>
      </c>
      <c r="AQ228" s="23">
        <v>1</v>
      </c>
      <c r="AR228" s="23">
        <v>0</v>
      </c>
      <c r="AS228" s="23">
        <f t="shared" si="23"/>
        <v>-2</v>
      </c>
    </row>
    <row r="229" spans="1:45">
      <c r="A229" s="138">
        <f>_xlfn.XLOOKUP(C231,'00_SKU_Master'!$B$2:$B$378,'00_SKU_Master'!$C$2:$C$378)</f>
        <v>61077</v>
      </c>
      <c r="B229" s="138"/>
      <c r="C229" s="138">
        <f t="shared" si="18"/>
        <v>200711</v>
      </c>
      <c r="D229" s="552" t="e">
        <f ca="1">_xludf.IFNA(_xlfn.XLOOKUP(C231,'00_SKU_Master'!$B$2:$B$378,'00_SKU_Master'!$F$2:$F$378,0)*Y231,"")</f>
        <v>#NAME?</v>
      </c>
      <c r="E229" s="552" t="e">
        <f ca="1">_xludf.IFNA(_xlfn.XLOOKUP(C231,'00_SKU_Master'!$B$2:$B$378,'00_SKU_Master'!$F$2:$F$378,0)*Z231,"")</f>
        <v>#NAME?</v>
      </c>
      <c r="F229" s="552" t="e">
        <f ca="1">_xludf.IFNA(_xlfn.XLOOKUP(C231,'00_SKU_Master'!$B$2:$B$378,'00_SKU_Master'!$F$2:$F$378,0)*AA231,"")</f>
        <v>#NAME?</v>
      </c>
      <c r="G229" s="552" t="e">
        <f ca="1">_xludf.IFNA(_xlfn.XLOOKUP(C231,'00_SKU_Master'!$B$2:$B$378,'00_SKU_Master'!$F$2:$F$378,0)*AB231,"")</f>
        <v>#NAME?</v>
      </c>
      <c r="H229" s="552" t="e">
        <f ca="1">_xludf.IFNA(_xlfn.XLOOKUP(C231,'00_SKU_Master'!$B$2:$B$378,'00_SKU_Master'!$F$2:$F$378,0)*AC231,"")</f>
        <v>#NAME?</v>
      </c>
      <c r="I229" s="552" t="e">
        <f ca="1">_xludf.IFNA(_xlfn.XLOOKUP(C231,'00_SKU_Master'!$B$2:$B$378,'00_SKU_Master'!$F$2:$F$378,0)*AD231,"")</f>
        <v>#NAME?</v>
      </c>
      <c r="J229" s="552" t="e">
        <f ca="1">_xludf.IFNA(_xlfn.XLOOKUP(C231,'00_SKU_Master'!$B$2:$B$378,'00_SKU_Master'!$F$2:$F$378,0)*AE231,"")</f>
        <v>#NAME?</v>
      </c>
      <c r="K229" s="553" t="e">
        <f t="shared" ca="1" si="19"/>
        <v>#NAME?</v>
      </c>
      <c r="L229" s="187" t="e">
        <f>_xlfn.XLOOKUP(C231,'00_SKU_Master'!$B$2:$B$378,'00_SKU_Master'!K:K)</f>
        <v>#VALUE!</v>
      </c>
      <c r="M229" s="14">
        <f t="shared" si="20"/>
        <v>200711</v>
      </c>
      <c r="N229" s="147" t="e">
        <f ca="1">_xludf.IFNA(D231/_xlfn.XLOOKUP($M231,'00_SKU_Master'!$B$2:$B$378,'00_SKU_Master'!$M$2:$M$378,0)/$M$2,"0")</f>
        <v>#NAME?</v>
      </c>
      <c r="O229" s="147" t="e">
        <f ca="1">_xludf.IFNA(E231/_xlfn.XLOOKUP($M231,'00_SKU_Master'!$B$2:$B$378,'00_SKU_Master'!$M$2:$M$378,0)/$M$2,"0")</f>
        <v>#NAME?</v>
      </c>
      <c r="P229" s="147" t="e">
        <f ca="1">_xludf.IFNA(F231/_xlfn.XLOOKUP($M231,'00_SKU_Master'!$B$2:$B$378,'00_SKU_Master'!$M$2:$M$378,0)/$M$2,"0")</f>
        <v>#NAME?</v>
      </c>
      <c r="Q229" s="147" t="e">
        <f ca="1">_xludf.IFNA(G231/_xlfn.XLOOKUP($M231,'00_SKU_Master'!$B$2:$B$378,'00_SKU_Master'!$M$2:$M$378,0)/$M$2,"0")</f>
        <v>#NAME?</v>
      </c>
      <c r="R229" s="147" t="e">
        <f ca="1">_xludf.IFNA(H231/_xlfn.XLOOKUP($M231,'00_SKU_Master'!$B$2:$B$378,'00_SKU_Master'!$M$2:$M$378,0)/$M$2,"0")</f>
        <v>#NAME?</v>
      </c>
      <c r="S229" s="147" t="e">
        <f ca="1">_xludf.IFNA(I231/_xlfn.XLOOKUP($M231,'00_SKU_Master'!$B$2:$B$378,'00_SKU_Master'!$M$2:$M$378,0)/$M$2,"0")</f>
        <v>#NAME?</v>
      </c>
      <c r="T229" s="147" t="e">
        <f ca="1">_xludf.IFNA(J231/_xlfn.XLOOKUP($M231,'00_SKU_Master'!$B$2:$B$378,'00_SKU_Master'!$M$2:$M$378,0)/$M$2,"0")</f>
        <v>#NAME?</v>
      </c>
      <c r="U229" s="147" t="e">
        <f t="shared" ca="1" si="21"/>
        <v>#NAME?</v>
      </c>
      <c r="V229" s="4"/>
      <c r="W229" s="4" t="e">
        <f>_xlfn.XLOOKUP(M231,'00_SKU_Master'!$B$2:$B$378,'00_SKU_Master'!D:D)</f>
        <v>#VALUE!</v>
      </c>
      <c r="X229" s="14">
        <f>'05_Daily_Orders'!B230</f>
        <v>200709</v>
      </c>
      <c r="Y229" s="554"/>
      <c r="Z229" s="555"/>
      <c r="AA229" s="555"/>
      <c r="AB229" s="555"/>
      <c r="AC229" s="555">
        <v>0</v>
      </c>
      <c r="AD229" s="555">
        <v>0</v>
      </c>
      <c r="AE229" s="555">
        <v>0</v>
      </c>
      <c r="AF229" s="553">
        <f t="shared" si="22"/>
        <v>60</v>
      </c>
      <c r="AQ229" s="23">
        <v>0</v>
      </c>
      <c r="AR229" s="23">
        <v>0</v>
      </c>
      <c r="AS229" s="23">
        <f t="shared" si="23"/>
        <v>0</v>
      </c>
    </row>
    <row r="230" spans="1:45">
      <c r="A230" s="138">
        <f>_xlfn.XLOOKUP(C232,'00_SKU_Master'!$B$2:$B$378,'00_SKU_Master'!$C$2:$C$378)</f>
        <v>61014</v>
      </c>
      <c r="B230" s="138"/>
      <c r="C230" s="138">
        <f t="shared" si="18"/>
        <v>200712</v>
      </c>
      <c r="D230" s="552" t="e">
        <f ca="1">_xludf.IFNA(_xlfn.XLOOKUP(C232,'00_SKU_Master'!$B$2:$B$378,'00_SKU_Master'!$F$2:$F$378,0)*Y232,"")</f>
        <v>#NAME?</v>
      </c>
      <c r="E230" s="552" t="e">
        <f ca="1">_xludf.IFNA(_xlfn.XLOOKUP(C232,'00_SKU_Master'!$B$2:$B$378,'00_SKU_Master'!$F$2:$F$378,0)*Z232,"")</f>
        <v>#NAME?</v>
      </c>
      <c r="F230" s="552" t="e">
        <f ca="1">_xludf.IFNA(_xlfn.XLOOKUP(C232,'00_SKU_Master'!$B$2:$B$378,'00_SKU_Master'!$F$2:$F$378,0)*AA232,"")</f>
        <v>#NAME?</v>
      </c>
      <c r="G230" s="552" t="e">
        <f ca="1">_xludf.IFNA(_xlfn.XLOOKUP(C232,'00_SKU_Master'!$B$2:$B$378,'00_SKU_Master'!$F$2:$F$378,0)*AB232,"")</f>
        <v>#NAME?</v>
      </c>
      <c r="H230" s="552" t="e">
        <f ca="1">_xludf.IFNA(_xlfn.XLOOKUP(C232,'00_SKU_Master'!$B$2:$B$378,'00_SKU_Master'!$F$2:$F$378,0)*AC232,"")</f>
        <v>#NAME?</v>
      </c>
      <c r="I230" s="552" t="e">
        <f ca="1">_xludf.IFNA(_xlfn.XLOOKUP(C232,'00_SKU_Master'!$B$2:$B$378,'00_SKU_Master'!$F$2:$F$378,0)*AD232,"")</f>
        <v>#NAME?</v>
      </c>
      <c r="J230" s="552" t="e">
        <f ca="1">_xludf.IFNA(_xlfn.XLOOKUP(C232,'00_SKU_Master'!$B$2:$B$378,'00_SKU_Master'!$F$2:$F$378,0)*AE232,"")</f>
        <v>#NAME?</v>
      </c>
      <c r="K230" s="553" t="e">
        <f t="shared" ca="1" si="19"/>
        <v>#NAME?</v>
      </c>
      <c r="L230" s="187" t="e">
        <f>_xlfn.XLOOKUP(C232,'00_SKU_Master'!$B$2:$B$378,'00_SKU_Master'!K:K)</f>
        <v>#VALUE!</v>
      </c>
      <c r="M230" s="14">
        <f t="shared" si="20"/>
        <v>200712</v>
      </c>
      <c r="N230" s="147" t="e">
        <f ca="1">_xludf.IFNA(D232/_xlfn.XLOOKUP($M232,'00_SKU_Master'!$B$2:$B$378,'00_SKU_Master'!$M$2:$M$378,0)/$M$2,"0")</f>
        <v>#NAME?</v>
      </c>
      <c r="O230" s="147" t="e">
        <f ca="1">_xludf.IFNA(E232/_xlfn.XLOOKUP($M232,'00_SKU_Master'!$B$2:$B$378,'00_SKU_Master'!$M$2:$M$378,0)/$M$2,"0")</f>
        <v>#NAME?</v>
      </c>
      <c r="P230" s="147" t="e">
        <f ca="1">_xludf.IFNA(F232/_xlfn.XLOOKUP($M232,'00_SKU_Master'!$B$2:$B$378,'00_SKU_Master'!$M$2:$M$378,0)/$M$2,"0")</f>
        <v>#NAME?</v>
      </c>
      <c r="Q230" s="147" t="e">
        <f ca="1">_xludf.IFNA(G232/_xlfn.XLOOKUP($M232,'00_SKU_Master'!$B$2:$B$378,'00_SKU_Master'!$M$2:$M$378,0)/$M$2,"0")</f>
        <v>#NAME?</v>
      </c>
      <c r="R230" s="147" t="e">
        <f ca="1">_xludf.IFNA(H232/_xlfn.XLOOKUP($M232,'00_SKU_Master'!$B$2:$B$378,'00_SKU_Master'!$M$2:$M$378,0)/$M$2,"0")</f>
        <v>#NAME?</v>
      </c>
      <c r="S230" s="147" t="e">
        <f ca="1">_xludf.IFNA(I232/_xlfn.XLOOKUP($M232,'00_SKU_Master'!$B$2:$B$378,'00_SKU_Master'!$M$2:$M$378,0)/$M$2,"0")</f>
        <v>#NAME?</v>
      </c>
      <c r="T230" s="147" t="e">
        <f ca="1">_xludf.IFNA(J232/_xlfn.XLOOKUP($M232,'00_SKU_Master'!$B$2:$B$378,'00_SKU_Master'!$M$2:$M$378,0)/$M$2,"0")</f>
        <v>#NAME?</v>
      </c>
      <c r="U230" s="147" t="e">
        <f t="shared" ca="1" si="21"/>
        <v>#NAME?</v>
      </c>
      <c r="V230" s="4"/>
      <c r="W230" s="4" t="e">
        <f>_xlfn.XLOOKUP(M232,'00_SKU_Master'!$B$2:$B$378,'00_SKU_Master'!D:D)</f>
        <v>#VALUE!</v>
      </c>
      <c r="X230" s="14">
        <f>'05_Daily_Orders'!B231</f>
        <v>200710</v>
      </c>
      <c r="Y230" s="554"/>
      <c r="Z230" s="555"/>
      <c r="AA230" s="555"/>
      <c r="AB230" s="555"/>
      <c r="AC230" s="555">
        <v>64</v>
      </c>
      <c r="AD230" s="555">
        <v>0</v>
      </c>
      <c r="AE230" s="555">
        <v>80</v>
      </c>
      <c r="AF230" s="553">
        <f t="shared" si="22"/>
        <v>60</v>
      </c>
      <c r="AQ230" s="23">
        <v>2</v>
      </c>
      <c r="AR230" s="23">
        <v>0</v>
      </c>
      <c r="AS230" s="23">
        <f t="shared" si="23"/>
        <v>-61</v>
      </c>
    </row>
    <row r="231" spans="1:45">
      <c r="A231" s="138" t="str">
        <f>_xlfn.XLOOKUP(C233,'00_SKU_Master'!$B$2:$B$378,'00_SKU_Master'!$C$2:$C$378)</f>
        <v>61050F</v>
      </c>
      <c r="B231" s="138"/>
      <c r="C231" s="138">
        <f t="shared" si="18"/>
        <v>200713</v>
      </c>
      <c r="D231" s="552" t="e">
        <f ca="1">_xludf.IFNA(_xlfn.XLOOKUP(C233,'00_SKU_Master'!$B$2:$B$378,'00_SKU_Master'!$F$2:$F$378,0)*Y233,"")</f>
        <v>#NAME?</v>
      </c>
      <c r="E231" s="552" t="e">
        <f ca="1">_xludf.IFNA(_xlfn.XLOOKUP(C233,'00_SKU_Master'!$B$2:$B$378,'00_SKU_Master'!$F$2:$F$378,0)*Z233,"")</f>
        <v>#NAME?</v>
      </c>
      <c r="F231" s="552" t="e">
        <f ca="1">_xludf.IFNA(_xlfn.XLOOKUP(C233,'00_SKU_Master'!$B$2:$B$378,'00_SKU_Master'!$F$2:$F$378,0)*AA233,"")</f>
        <v>#NAME?</v>
      </c>
      <c r="G231" s="552" t="e">
        <f ca="1">_xludf.IFNA(_xlfn.XLOOKUP(C233,'00_SKU_Master'!$B$2:$B$378,'00_SKU_Master'!$F$2:$F$378,0)*AB233,"")</f>
        <v>#NAME?</v>
      </c>
      <c r="H231" s="552" t="e">
        <f ca="1">_xludf.IFNA(_xlfn.XLOOKUP(C233,'00_SKU_Master'!$B$2:$B$378,'00_SKU_Master'!$F$2:$F$378,0)*AC233,"")</f>
        <v>#NAME?</v>
      </c>
      <c r="I231" s="552" t="e">
        <f ca="1">_xludf.IFNA(_xlfn.XLOOKUP(C233,'00_SKU_Master'!$B$2:$B$378,'00_SKU_Master'!$F$2:$F$378,0)*AD233,"")</f>
        <v>#NAME?</v>
      </c>
      <c r="J231" s="552" t="e">
        <f ca="1">_xludf.IFNA(_xlfn.XLOOKUP(C233,'00_SKU_Master'!$B$2:$B$378,'00_SKU_Master'!$F$2:$F$378,0)*AE233,"")</f>
        <v>#NAME?</v>
      </c>
      <c r="K231" s="553" t="e">
        <f t="shared" ca="1" si="19"/>
        <v>#NAME?</v>
      </c>
      <c r="L231" s="187" t="e">
        <f>_xlfn.XLOOKUP(C233,'00_SKU_Master'!$B$2:$B$378,'00_SKU_Master'!K:K)</f>
        <v>#VALUE!</v>
      </c>
      <c r="M231" s="14">
        <f t="shared" si="20"/>
        <v>200713</v>
      </c>
      <c r="N231" s="147" t="e">
        <f ca="1">_xludf.IFNA(D233/_xlfn.XLOOKUP($M233,'00_SKU_Master'!$B$2:$B$378,'00_SKU_Master'!$M$2:$M$378,0)/$M$2,"0")</f>
        <v>#NAME?</v>
      </c>
      <c r="O231" s="147" t="e">
        <f ca="1">_xludf.IFNA(E233/_xlfn.XLOOKUP($M233,'00_SKU_Master'!$B$2:$B$378,'00_SKU_Master'!$M$2:$M$378,0)/$M$2,"0")</f>
        <v>#NAME?</v>
      </c>
      <c r="P231" s="147" t="e">
        <f ca="1">_xludf.IFNA(F233/_xlfn.XLOOKUP($M233,'00_SKU_Master'!$B$2:$B$378,'00_SKU_Master'!$M$2:$M$378,0)/$M$2,"0")</f>
        <v>#NAME?</v>
      </c>
      <c r="Q231" s="147" t="e">
        <f ca="1">_xludf.IFNA(G233/_xlfn.XLOOKUP($M233,'00_SKU_Master'!$B$2:$B$378,'00_SKU_Master'!$M$2:$M$378,0)/$M$2,"0")</f>
        <v>#NAME?</v>
      </c>
      <c r="R231" s="147" t="e">
        <f ca="1">_xludf.IFNA(H233/_xlfn.XLOOKUP($M233,'00_SKU_Master'!$B$2:$B$378,'00_SKU_Master'!$M$2:$M$378,0)/$M$2,"0")</f>
        <v>#NAME?</v>
      </c>
      <c r="S231" s="147" t="e">
        <f ca="1">_xludf.IFNA(I233/_xlfn.XLOOKUP($M233,'00_SKU_Master'!$B$2:$B$378,'00_SKU_Master'!$M$2:$M$378,0)/$M$2,"0")</f>
        <v>#NAME?</v>
      </c>
      <c r="T231" s="147" t="e">
        <f ca="1">_xludf.IFNA(J233/_xlfn.XLOOKUP($M233,'00_SKU_Master'!$B$2:$B$378,'00_SKU_Master'!$M$2:$M$378,0)/$M$2,"0")</f>
        <v>#NAME?</v>
      </c>
      <c r="U231" s="147" t="e">
        <f t="shared" ca="1" si="21"/>
        <v>#NAME?</v>
      </c>
      <c r="V231" s="4"/>
      <c r="W231" s="4" t="e">
        <f>_xlfn.XLOOKUP(M233,'00_SKU_Master'!$B$2:$B$378,'00_SKU_Master'!D:D)</f>
        <v>#VALUE!</v>
      </c>
      <c r="X231" s="14">
        <f>'05_Daily_Orders'!B232</f>
        <v>200711</v>
      </c>
      <c r="Y231" s="554"/>
      <c r="Z231" s="555"/>
      <c r="AA231" s="555"/>
      <c r="AB231" s="555"/>
      <c r="AC231" s="555">
        <v>30</v>
      </c>
      <c r="AD231" s="555">
        <v>0</v>
      </c>
      <c r="AE231" s="555">
        <v>30</v>
      </c>
      <c r="AF231" s="553">
        <f t="shared" si="22"/>
        <v>51</v>
      </c>
      <c r="AQ231" s="23">
        <v>0</v>
      </c>
      <c r="AR231" s="23">
        <v>0</v>
      </c>
      <c r="AS231" s="23">
        <f t="shared" si="23"/>
        <v>-52</v>
      </c>
    </row>
    <row r="232" spans="1:45">
      <c r="A232" s="138">
        <f>_xlfn.XLOOKUP(C234,'00_SKU_Master'!$B$2:$B$378,'00_SKU_Master'!$C$2:$C$378)</f>
        <v>61077</v>
      </c>
      <c r="B232" s="138"/>
      <c r="C232" s="138">
        <f t="shared" si="18"/>
        <v>200714</v>
      </c>
      <c r="D232" s="552" t="e">
        <f ca="1">_xludf.IFNA(_xlfn.XLOOKUP(C234,'00_SKU_Master'!$B$2:$B$378,'00_SKU_Master'!$F$2:$F$378,0)*Y234,"")</f>
        <v>#NAME?</v>
      </c>
      <c r="E232" s="552" t="e">
        <f ca="1">_xludf.IFNA(_xlfn.XLOOKUP(C234,'00_SKU_Master'!$B$2:$B$378,'00_SKU_Master'!$F$2:$F$378,0)*Z234,"")</f>
        <v>#NAME?</v>
      </c>
      <c r="F232" s="552" t="e">
        <f ca="1">_xludf.IFNA(_xlfn.XLOOKUP(C234,'00_SKU_Master'!$B$2:$B$378,'00_SKU_Master'!$F$2:$F$378,0)*AA234,"")</f>
        <v>#NAME?</v>
      </c>
      <c r="G232" s="552" t="e">
        <f ca="1">_xludf.IFNA(_xlfn.XLOOKUP(C234,'00_SKU_Master'!$B$2:$B$378,'00_SKU_Master'!$F$2:$F$378,0)*AB234,"")</f>
        <v>#NAME?</v>
      </c>
      <c r="H232" s="552" t="e">
        <f ca="1">_xludf.IFNA(_xlfn.XLOOKUP(C234,'00_SKU_Master'!$B$2:$B$378,'00_SKU_Master'!$F$2:$F$378,0)*AC234,"")</f>
        <v>#NAME?</v>
      </c>
      <c r="I232" s="552" t="e">
        <f ca="1">_xludf.IFNA(_xlfn.XLOOKUP(C234,'00_SKU_Master'!$B$2:$B$378,'00_SKU_Master'!$F$2:$F$378,0)*AD234,"")</f>
        <v>#NAME?</v>
      </c>
      <c r="J232" s="552" t="e">
        <f ca="1">_xludf.IFNA(_xlfn.XLOOKUP(C234,'00_SKU_Master'!$B$2:$B$378,'00_SKU_Master'!$F$2:$F$378,0)*AE234,"")</f>
        <v>#NAME?</v>
      </c>
      <c r="K232" s="553" t="e">
        <f t="shared" ca="1" si="19"/>
        <v>#NAME?</v>
      </c>
      <c r="L232" s="187" t="e">
        <f>_xlfn.XLOOKUP(C234,'00_SKU_Master'!$B$2:$B$378,'00_SKU_Master'!K:K)</f>
        <v>#VALUE!</v>
      </c>
      <c r="M232" s="14">
        <f t="shared" si="20"/>
        <v>200714</v>
      </c>
      <c r="N232" s="147" t="e">
        <f ca="1">_xludf.IFNA(D234/_xlfn.XLOOKUP($M234,'00_SKU_Master'!$B$2:$B$378,'00_SKU_Master'!$M$2:$M$378,0)/$M$2,"0")</f>
        <v>#NAME?</v>
      </c>
      <c r="O232" s="147" t="e">
        <f ca="1">_xludf.IFNA(E234/_xlfn.XLOOKUP($M234,'00_SKU_Master'!$B$2:$B$378,'00_SKU_Master'!$M$2:$M$378,0)/$M$2,"0")</f>
        <v>#NAME?</v>
      </c>
      <c r="P232" s="147" t="e">
        <f ca="1">_xludf.IFNA(F234/_xlfn.XLOOKUP($M234,'00_SKU_Master'!$B$2:$B$378,'00_SKU_Master'!$M$2:$M$378,0)/$M$2,"0")</f>
        <v>#NAME?</v>
      </c>
      <c r="Q232" s="147" t="e">
        <f ca="1">_xludf.IFNA(G234/_xlfn.XLOOKUP($M234,'00_SKU_Master'!$B$2:$B$378,'00_SKU_Master'!$M$2:$M$378,0)/$M$2,"0")</f>
        <v>#NAME?</v>
      </c>
      <c r="R232" s="147" t="e">
        <f ca="1">_xludf.IFNA(H234/_xlfn.XLOOKUP($M234,'00_SKU_Master'!$B$2:$B$378,'00_SKU_Master'!$M$2:$M$378,0)/$M$2,"0")</f>
        <v>#NAME?</v>
      </c>
      <c r="S232" s="147" t="e">
        <f ca="1">_xludf.IFNA(I234/_xlfn.XLOOKUP($M234,'00_SKU_Master'!$B$2:$B$378,'00_SKU_Master'!$M$2:$M$378,0)/$M$2,"0")</f>
        <v>#NAME?</v>
      </c>
      <c r="T232" s="147" t="e">
        <f ca="1">_xludf.IFNA(J234/_xlfn.XLOOKUP($M234,'00_SKU_Master'!$B$2:$B$378,'00_SKU_Master'!$M$2:$M$378,0)/$M$2,"0")</f>
        <v>#NAME?</v>
      </c>
      <c r="U232" s="147" t="e">
        <f t="shared" ca="1" si="21"/>
        <v>#NAME?</v>
      </c>
      <c r="V232" s="4"/>
      <c r="W232" s="4" t="e">
        <f>_xlfn.XLOOKUP(M234,'00_SKU_Master'!$B$2:$B$378,'00_SKU_Master'!D:D)</f>
        <v>#VALUE!</v>
      </c>
      <c r="X232" s="14">
        <f>'05_Daily_Orders'!B233</f>
        <v>200712</v>
      </c>
      <c r="Y232" s="554"/>
      <c r="Z232" s="555"/>
      <c r="AA232" s="555"/>
      <c r="AB232" s="555"/>
      <c r="AC232" s="555">
        <v>30</v>
      </c>
      <c r="AD232" s="555">
        <v>0</v>
      </c>
      <c r="AE232" s="555">
        <v>30</v>
      </c>
      <c r="AF232" s="553">
        <f t="shared" si="22"/>
        <v>71</v>
      </c>
      <c r="AQ232" s="23">
        <v>61</v>
      </c>
      <c r="AR232" s="23">
        <v>0</v>
      </c>
      <c r="AS232" s="23">
        <f t="shared" si="23"/>
        <v>-49</v>
      </c>
    </row>
    <row r="233" spans="1:45">
      <c r="A233" s="138">
        <f>_xlfn.XLOOKUP(C235,'00_SKU_Master'!$B$2:$B$378,'00_SKU_Master'!$C$2:$C$378)</f>
        <v>61072</v>
      </c>
      <c r="B233" s="138"/>
      <c r="C233" s="138">
        <f t="shared" si="18"/>
        <v>200715</v>
      </c>
      <c r="D233" s="552" t="e">
        <f ca="1">_xludf.IFNA(_xlfn.XLOOKUP(C235,'00_SKU_Master'!$B$2:$B$378,'00_SKU_Master'!$F$2:$F$378,0)*Y235,"")</f>
        <v>#NAME?</v>
      </c>
      <c r="E233" s="552" t="e">
        <f ca="1">_xludf.IFNA(_xlfn.XLOOKUP(C235,'00_SKU_Master'!$B$2:$B$378,'00_SKU_Master'!$F$2:$F$378,0)*Z235,"")</f>
        <v>#NAME?</v>
      </c>
      <c r="F233" s="552" t="e">
        <f ca="1">_xludf.IFNA(_xlfn.XLOOKUP(C235,'00_SKU_Master'!$B$2:$B$378,'00_SKU_Master'!$F$2:$F$378,0)*AA235,"")</f>
        <v>#NAME?</v>
      </c>
      <c r="G233" s="552" t="e">
        <f ca="1">_xludf.IFNA(_xlfn.XLOOKUP(C235,'00_SKU_Master'!$B$2:$B$378,'00_SKU_Master'!$F$2:$F$378,0)*AB235,"")</f>
        <v>#NAME?</v>
      </c>
      <c r="H233" s="552" t="e">
        <f ca="1">_xludf.IFNA(_xlfn.XLOOKUP(C235,'00_SKU_Master'!$B$2:$B$378,'00_SKU_Master'!$F$2:$F$378,0)*AC235,"")</f>
        <v>#NAME?</v>
      </c>
      <c r="I233" s="552" t="e">
        <f ca="1">_xludf.IFNA(_xlfn.XLOOKUP(C235,'00_SKU_Master'!$B$2:$B$378,'00_SKU_Master'!$F$2:$F$378,0)*AD235,"")</f>
        <v>#NAME?</v>
      </c>
      <c r="J233" s="552" t="e">
        <f ca="1">_xludf.IFNA(_xlfn.XLOOKUP(C235,'00_SKU_Master'!$B$2:$B$378,'00_SKU_Master'!$F$2:$F$378,0)*AE235,"")</f>
        <v>#NAME?</v>
      </c>
      <c r="K233" s="553" t="e">
        <f t="shared" ca="1" si="19"/>
        <v>#NAME?</v>
      </c>
      <c r="L233" s="187" t="e">
        <f>_xlfn.XLOOKUP(C235,'00_SKU_Master'!$B$2:$B$378,'00_SKU_Master'!K:K)</f>
        <v>#VALUE!</v>
      </c>
      <c r="M233" s="14">
        <f t="shared" si="20"/>
        <v>200715</v>
      </c>
      <c r="N233" s="147" t="e">
        <f ca="1">_xludf.IFNA(D235/_xlfn.XLOOKUP($M235,'00_SKU_Master'!$B$2:$B$378,'00_SKU_Master'!$M$2:$M$378,0)/$M$2,"0")</f>
        <v>#NAME?</v>
      </c>
      <c r="O233" s="147" t="e">
        <f ca="1">_xludf.IFNA(E235/_xlfn.XLOOKUP($M235,'00_SKU_Master'!$B$2:$B$378,'00_SKU_Master'!$M$2:$M$378,0)/$M$2,"0")</f>
        <v>#NAME?</v>
      </c>
      <c r="P233" s="147" t="e">
        <f ca="1">_xludf.IFNA(F235/_xlfn.XLOOKUP($M235,'00_SKU_Master'!$B$2:$B$378,'00_SKU_Master'!$M$2:$M$378,0)/$M$2,"0")</f>
        <v>#NAME?</v>
      </c>
      <c r="Q233" s="147" t="e">
        <f ca="1">_xludf.IFNA(G235/_xlfn.XLOOKUP($M235,'00_SKU_Master'!$B$2:$B$378,'00_SKU_Master'!$M$2:$M$378,0)/$M$2,"0")</f>
        <v>#NAME?</v>
      </c>
      <c r="R233" s="147" t="e">
        <f ca="1">_xludf.IFNA(H235/_xlfn.XLOOKUP($M235,'00_SKU_Master'!$B$2:$B$378,'00_SKU_Master'!$M$2:$M$378,0)/$M$2,"0")</f>
        <v>#NAME?</v>
      </c>
      <c r="S233" s="147" t="e">
        <f ca="1">_xludf.IFNA(I235/_xlfn.XLOOKUP($M235,'00_SKU_Master'!$B$2:$B$378,'00_SKU_Master'!$M$2:$M$378,0)/$M$2,"0")</f>
        <v>#NAME?</v>
      </c>
      <c r="T233" s="147" t="e">
        <f ca="1">_xludf.IFNA(J235/_xlfn.XLOOKUP($M235,'00_SKU_Master'!$B$2:$B$378,'00_SKU_Master'!$M$2:$M$378,0)/$M$2,"0")</f>
        <v>#NAME?</v>
      </c>
      <c r="U233" s="147" t="e">
        <f t="shared" ca="1" si="21"/>
        <v>#NAME?</v>
      </c>
      <c r="V233" s="4"/>
      <c r="W233" s="4" t="e">
        <f>_xlfn.XLOOKUP(M235,'00_SKU_Master'!$B$2:$B$378,'00_SKU_Master'!D:D)</f>
        <v>#VALUE!</v>
      </c>
      <c r="X233" s="14">
        <f>'05_Daily_Orders'!B234</f>
        <v>200713</v>
      </c>
      <c r="Y233" s="554"/>
      <c r="Z233" s="555"/>
      <c r="AA233" s="555"/>
      <c r="AB233" s="555"/>
      <c r="AC233" s="555">
        <v>31</v>
      </c>
      <c r="AD233" s="555">
        <v>0</v>
      </c>
      <c r="AE233" s="555">
        <v>20</v>
      </c>
      <c r="AF233" s="553">
        <f t="shared" si="22"/>
        <v>30</v>
      </c>
      <c r="AQ233" s="23">
        <v>52</v>
      </c>
      <c r="AR233" s="23">
        <v>0</v>
      </c>
      <c r="AS233" s="23">
        <f t="shared" si="23"/>
        <v>0</v>
      </c>
    </row>
    <row r="234" spans="1:45">
      <c r="A234" s="138">
        <f>_xlfn.XLOOKUP(C236,'00_SKU_Master'!$B$2:$B$378,'00_SKU_Master'!$C$2:$C$378)</f>
        <v>61050</v>
      </c>
      <c r="B234" s="138"/>
      <c r="C234" s="138">
        <f t="shared" si="18"/>
        <v>200716</v>
      </c>
      <c r="D234" s="552" t="e">
        <f ca="1">_xludf.IFNA(_xlfn.XLOOKUP(C236,'00_SKU_Master'!$B$2:$B$378,'00_SKU_Master'!$F$2:$F$378,0)*Y236,"")</f>
        <v>#NAME?</v>
      </c>
      <c r="E234" s="552" t="e">
        <f ca="1">_xludf.IFNA(_xlfn.XLOOKUP(C236,'00_SKU_Master'!$B$2:$B$378,'00_SKU_Master'!$F$2:$F$378,0)*Z236,"")</f>
        <v>#NAME?</v>
      </c>
      <c r="F234" s="552" t="e">
        <f ca="1">_xludf.IFNA(_xlfn.XLOOKUP(C236,'00_SKU_Master'!$B$2:$B$378,'00_SKU_Master'!$F$2:$F$378,0)*AA236,"")</f>
        <v>#NAME?</v>
      </c>
      <c r="G234" s="552" t="e">
        <f ca="1">_xludf.IFNA(_xlfn.XLOOKUP(C236,'00_SKU_Master'!$B$2:$B$378,'00_SKU_Master'!$F$2:$F$378,0)*AB236,"")</f>
        <v>#NAME?</v>
      </c>
      <c r="H234" s="552" t="e">
        <f ca="1">_xludf.IFNA(_xlfn.XLOOKUP(C236,'00_SKU_Master'!$B$2:$B$378,'00_SKU_Master'!$F$2:$F$378,0)*AC236,"")</f>
        <v>#NAME?</v>
      </c>
      <c r="I234" s="552" t="e">
        <f ca="1">_xludf.IFNA(_xlfn.XLOOKUP(C236,'00_SKU_Master'!$B$2:$B$378,'00_SKU_Master'!$F$2:$F$378,0)*AD236,"")</f>
        <v>#NAME?</v>
      </c>
      <c r="J234" s="552" t="e">
        <f ca="1">_xludf.IFNA(_xlfn.XLOOKUP(C236,'00_SKU_Master'!$B$2:$B$378,'00_SKU_Master'!$F$2:$F$378,0)*AE236,"")</f>
        <v>#NAME?</v>
      </c>
      <c r="K234" s="553" t="e">
        <f t="shared" ca="1" si="19"/>
        <v>#NAME?</v>
      </c>
      <c r="L234" s="187" t="e">
        <f>_xlfn.XLOOKUP(C236,'00_SKU_Master'!$B$2:$B$378,'00_SKU_Master'!K:K)</f>
        <v>#VALUE!</v>
      </c>
      <c r="M234" s="14">
        <f t="shared" si="20"/>
        <v>200716</v>
      </c>
      <c r="N234" s="147" t="e">
        <f ca="1">_xludf.IFNA(D236/_xlfn.XLOOKUP($M236,'00_SKU_Master'!$B$2:$B$378,'00_SKU_Master'!$M$2:$M$378,0)/$M$2,"0")</f>
        <v>#NAME?</v>
      </c>
      <c r="O234" s="147" t="e">
        <f ca="1">_xludf.IFNA(E236/_xlfn.XLOOKUP($M236,'00_SKU_Master'!$B$2:$B$378,'00_SKU_Master'!$M$2:$M$378,0)/$M$2,"0")</f>
        <v>#NAME?</v>
      </c>
      <c r="P234" s="147" t="e">
        <f ca="1">_xludf.IFNA(F236/_xlfn.XLOOKUP($M236,'00_SKU_Master'!$B$2:$B$378,'00_SKU_Master'!$M$2:$M$378,0)/$M$2,"0")</f>
        <v>#NAME?</v>
      </c>
      <c r="Q234" s="147" t="e">
        <f ca="1">_xludf.IFNA(G236/_xlfn.XLOOKUP($M236,'00_SKU_Master'!$B$2:$B$378,'00_SKU_Master'!$M$2:$M$378,0)/$M$2,"0")</f>
        <v>#NAME?</v>
      </c>
      <c r="R234" s="147" t="e">
        <f ca="1">_xludf.IFNA(H236/_xlfn.XLOOKUP($M236,'00_SKU_Master'!$B$2:$B$378,'00_SKU_Master'!$M$2:$M$378,0)/$M$2,"0")</f>
        <v>#NAME?</v>
      </c>
      <c r="S234" s="147" t="e">
        <f ca="1">_xludf.IFNA(I236/_xlfn.XLOOKUP($M236,'00_SKU_Master'!$B$2:$B$378,'00_SKU_Master'!$M$2:$M$378,0)/$M$2,"0")</f>
        <v>#NAME?</v>
      </c>
      <c r="T234" s="147" t="e">
        <f ca="1">_xludf.IFNA(J236/_xlfn.XLOOKUP($M236,'00_SKU_Master'!$B$2:$B$378,'00_SKU_Master'!$M$2:$M$378,0)/$M$2,"0")</f>
        <v>#NAME?</v>
      </c>
      <c r="U234" s="147" t="e">
        <f t="shared" ca="1" si="21"/>
        <v>#NAME?</v>
      </c>
      <c r="V234" s="4"/>
      <c r="W234" s="4" t="e">
        <f>_xlfn.XLOOKUP(M236,'00_SKU_Master'!$B$2:$B$378,'00_SKU_Master'!D:D)</f>
        <v>#VALUE!</v>
      </c>
      <c r="X234" s="14">
        <f>'05_Daily_Orders'!B235</f>
        <v>200714</v>
      </c>
      <c r="Y234" s="554"/>
      <c r="Z234" s="555"/>
      <c r="AA234" s="555"/>
      <c r="AB234" s="555"/>
      <c r="AC234" s="555">
        <v>31</v>
      </c>
      <c r="AD234" s="555">
        <v>0</v>
      </c>
      <c r="AE234" s="555">
        <v>40</v>
      </c>
      <c r="AF234" s="553">
        <f t="shared" si="22"/>
        <v>127</v>
      </c>
      <c r="AQ234" s="23">
        <v>49</v>
      </c>
      <c r="AR234" s="23">
        <v>0</v>
      </c>
      <c r="AS234" s="23">
        <f t="shared" si="23"/>
        <v>0</v>
      </c>
    </row>
    <row r="235" spans="1:45">
      <c r="A235" s="138">
        <f>_xlfn.XLOOKUP(C237,'00_SKU_Master'!$B$2:$B$378,'00_SKU_Master'!$C$2:$C$378)</f>
        <v>61077</v>
      </c>
      <c r="B235" s="138"/>
      <c r="C235" s="138">
        <f t="shared" si="18"/>
        <v>200717</v>
      </c>
      <c r="D235" s="552" t="e">
        <f ca="1">_xludf.IFNA(_xlfn.XLOOKUP(C237,'00_SKU_Master'!$B$2:$B$378,'00_SKU_Master'!$F$2:$F$378,0)*Y237,"")</f>
        <v>#NAME?</v>
      </c>
      <c r="E235" s="552" t="e">
        <f ca="1">_xludf.IFNA(_xlfn.XLOOKUP(C237,'00_SKU_Master'!$B$2:$B$378,'00_SKU_Master'!$F$2:$F$378,0)*Z237,"")</f>
        <v>#NAME?</v>
      </c>
      <c r="F235" s="552" t="e">
        <f ca="1">_xludf.IFNA(_xlfn.XLOOKUP(C237,'00_SKU_Master'!$B$2:$B$378,'00_SKU_Master'!$F$2:$F$378,0)*AA237,"")</f>
        <v>#NAME?</v>
      </c>
      <c r="G235" s="552" t="e">
        <f ca="1">_xludf.IFNA(_xlfn.XLOOKUP(C237,'00_SKU_Master'!$B$2:$B$378,'00_SKU_Master'!$F$2:$F$378,0)*AB237,"")</f>
        <v>#NAME?</v>
      </c>
      <c r="H235" s="552" t="e">
        <f ca="1">_xludf.IFNA(_xlfn.XLOOKUP(C237,'00_SKU_Master'!$B$2:$B$378,'00_SKU_Master'!$F$2:$F$378,0)*AC237,"")</f>
        <v>#NAME?</v>
      </c>
      <c r="I235" s="552" t="e">
        <f ca="1">_xludf.IFNA(_xlfn.XLOOKUP(C237,'00_SKU_Master'!$B$2:$B$378,'00_SKU_Master'!$F$2:$F$378,0)*AD237,"")</f>
        <v>#NAME?</v>
      </c>
      <c r="J235" s="552" t="e">
        <f ca="1">_xludf.IFNA(_xlfn.XLOOKUP(C237,'00_SKU_Master'!$B$2:$B$378,'00_SKU_Master'!$F$2:$F$378,0)*AE237,"")</f>
        <v>#NAME?</v>
      </c>
      <c r="K235" s="553" t="e">
        <f t="shared" ca="1" si="19"/>
        <v>#NAME?</v>
      </c>
      <c r="L235" s="187" t="e">
        <f>_xlfn.XLOOKUP(C237,'00_SKU_Master'!$B$2:$B$378,'00_SKU_Master'!K:K)</f>
        <v>#VALUE!</v>
      </c>
      <c r="M235" s="14">
        <f t="shared" si="20"/>
        <v>200717</v>
      </c>
      <c r="N235" s="147" t="e">
        <f ca="1">_xludf.IFNA(D237/_xlfn.XLOOKUP($M237,'00_SKU_Master'!$B$2:$B$378,'00_SKU_Master'!$M$2:$M$378,0)/$M$2,"0")</f>
        <v>#NAME?</v>
      </c>
      <c r="O235" s="147" t="e">
        <f ca="1">_xludf.IFNA(E237/_xlfn.XLOOKUP($M237,'00_SKU_Master'!$B$2:$B$378,'00_SKU_Master'!$M$2:$M$378,0)/$M$2,"0")</f>
        <v>#NAME?</v>
      </c>
      <c r="P235" s="147" t="e">
        <f ca="1">_xludf.IFNA(F237/_xlfn.XLOOKUP($M237,'00_SKU_Master'!$B$2:$B$378,'00_SKU_Master'!$M$2:$M$378,0)/$M$2,"0")</f>
        <v>#NAME?</v>
      </c>
      <c r="Q235" s="147" t="e">
        <f ca="1">_xludf.IFNA(G237/_xlfn.XLOOKUP($M237,'00_SKU_Master'!$B$2:$B$378,'00_SKU_Master'!$M$2:$M$378,0)/$M$2,"0")</f>
        <v>#NAME?</v>
      </c>
      <c r="R235" s="147" t="e">
        <f ca="1">_xludf.IFNA(H237/_xlfn.XLOOKUP($M237,'00_SKU_Master'!$B$2:$B$378,'00_SKU_Master'!$M$2:$M$378,0)/$M$2,"0")</f>
        <v>#NAME?</v>
      </c>
      <c r="S235" s="147" t="e">
        <f ca="1">_xludf.IFNA(I237/_xlfn.XLOOKUP($M237,'00_SKU_Master'!$B$2:$B$378,'00_SKU_Master'!$M$2:$M$378,0)/$M$2,"0")</f>
        <v>#NAME?</v>
      </c>
      <c r="T235" s="147" t="e">
        <f ca="1">_xludf.IFNA(J237/_xlfn.XLOOKUP($M237,'00_SKU_Master'!$B$2:$B$378,'00_SKU_Master'!$M$2:$M$378,0)/$M$2,"0")</f>
        <v>#NAME?</v>
      </c>
      <c r="U235" s="147" t="e">
        <f t="shared" ca="1" si="21"/>
        <v>#NAME?</v>
      </c>
      <c r="V235" s="4"/>
      <c r="W235" s="4" t="e">
        <f>_xlfn.XLOOKUP(M237,'00_SKU_Master'!$B$2:$B$378,'00_SKU_Master'!D:D)</f>
        <v>#VALUE!</v>
      </c>
      <c r="X235" s="14">
        <f>'05_Daily_Orders'!B236</f>
        <v>200715</v>
      </c>
      <c r="Y235" s="554"/>
      <c r="Z235" s="555"/>
      <c r="AA235" s="555"/>
      <c r="AB235" s="555"/>
      <c r="AC235" s="555">
        <v>10</v>
      </c>
      <c r="AD235" s="555">
        <v>0</v>
      </c>
      <c r="AE235" s="555">
        <v>20</v>
      </c>
      <c r="AF235" s="553">
        <f t="shared" si="22"/>
        <v>92</v>
      </c>
      <c r="AQ235" s="23">
        <v>0</v>
      </c>
      <c r="AR235" s="23">
        <v>0</v>
      </c>
      <c r="AS235" s="23">
        <f t="shared" si="23"/>
        <v>0</v>
      </c>
    </row>
    <row r="236" spans="1:45">
      <c r="A236" s="138">
        <f>_xlfn.XLOOKUP(C238,'00_SKU_Master'!$B$2:$B$378,'00_SKU_Master'!$C$2:$C$378)</f>
        <v>61072</v>
      </c>
      <c r="B236" s="138"/>
      <c r="C236" s="138">
        <f t="shared" si="18"/>
        <v>200718</v>
      </c>
      <c r="D236" s="552" t="e">
        <f ca="1">_xludf.IFNA(_xlfn.XLOOKUP(C238,'00_SKU_Master'!$B$2:$B$378,'00_SKU_Master'!$F$2:$F$378,0)*Y238,"")</f>
        <v>#NAME?</v>
      </c>
      <c r="E236" s="552" t="e">
        <f ca="1">_xludf.IFNA(_xlfn.XLOOKUP(C238,'00_SKU_Master'!$B$2:$B$378,'00_SKU_Master'!$F$2:$F$378,0)*Z238,"")</f>
        <v>#NAME?</v>
      </c>
      <c r="F236" s="552" t="e">
        <f ca="1">_xludf.IFNA(_xlfn.XLOOKUP(C238,'00_SKU_Master'!$B$2:$B$378,'00_SKU_Master'!$F$2:$F$378,0)*AA238,"")</f>
        <v>#NAME?</v>
      </c>
      <c r="G236" s="552" t="e">
        <f ca="1">_xludf.IFNA(_xlfn.XLOOKUP(C238,'00_SKU_Master'!$B$2:$B$378,'00_SKU_Master'!$F$2:$F$378,0)*AB238,"")</f>
        <v>#NAME?</v>
      </c>
      <c r="H236" s="552" t="e">
        <f ca="1">_xludf.IFNA(_xlfn.XLOOKUP(C238,'00_SKU_Master'!$B$2:$B$378,'00_SKU_Master'!$F$2:$F$378,0)*AC238,"")</f>
        <v>#NAME?</v>
      </c>
      <c r="I236" s="552" t="e">
        <f ca="1">_xludf.IFNA(_xlfn.XLOOKUP(C238,'00_SKU_Master'!$B$2:$B$378,'00_SKU_Master'!$F$2:$F$378,0)*AD238,"")</f>
        <v>#NAME?</v>
      </c>
      <c r="J236" s="552" t="e">
        <f ca="1">_xludf.IFNA(_xlfn.XLOOKUP(C238,'00_SKU_Master'!$B$2:$B$378,'00_SKU_Master'!$F$2:$F$378,0)*AE238,"")</f>
        <v>#NAME?</v>
      </c>
      <c r="K236" s="553" t="e">
        <f t="shared" ca="1" si="19"/>
        <v>#NAME?</v>
      </c>
      <c r="L236" s="187" t="e">
        <f>_xlfn.XLOOKUP(C238,'00_SKU_Master'!$B$2:$B$378,'00_SKU_Master'!K:K)</f>
        <v>#VALUE!</v>
      </c>
      <c r="M236" s="14">
        <f t="shared" si="20"/>
        <v>200718</v>
      </c>
      <c r="N236" s="147" t="e">
        <f ca="1">_xludf.IFNA(D238/_xlfn.XLOOKUP($M238,'00_SKU_Master'!$B$2:$B$378,'00_SKU_Master'!$M$2:$M$378,0)/$M$2,"0")</f>
        <v>#NAME?</v>
      </c>
      <c r="O236" s="147" t="e">
        <f ca="1">_xludf.IFNA(E238/_xlfn.XLOOKUP($M238,'00_SKU_Master'!$B$2:$B$378,'00_SKU_Master'!$M$2:$M$378,0)/$M$2,"0")</f>
        <v>#NAME?</v>
      </c>
      <c r="P236" s="147" t="e">
        <f ca="1">_xludf.IFNA(F238/_xlfn.XLOOKUP($M238,'00_SKU_Master'!$B$2:$B$378,'00_SKU_Master'!$M$2:$M$378,0)/$M$2,"0")</f>
        <v>#NAME?</v>
      </c>
      <c r="Q236" s="147" t="e">
        <f ca="1">_xludf.IFNA(G238/_xlfn.XLOOKUP($M238,'00_SKU_Master'!$B$2:$B$378,'00_SKU_Master'!$M$2:$M$378,0)/$M$2,"0")</f>
        <v>#NAME?</v>
      </c>
      <c r="R236" s="147" t="e">
        <f ca="1">_xludf.IFNA(H238/_xlfn.XLOOKUP($M238,'00_SKU_Master'!$B$2:$B$378,'00_SKU_Master'!$M$2:$M$378,0)/$M$2,"0")</f>
        <v>#NAME?</v>
      </c>
      <c r="S236" s="147" t="e">
        <f ca="1">_xludf.IFNA(I238/_xlfn.XLOOKUP($M238,'00_SKU_Master'!$B$2:$B$378,'00_SKU_Master'!$M$2:$M$378,0)/$M$2,"0")</f>
        <v>#NAME?</v>
      </c>
      <c r="T236" s="147" t="e">
        <f ca="1">_xludf.IFNA(J238/_xlfn.XLOOKUP($M238,'00_SKU_Master'!$B$2:$B$378,'00_SKU_Master'!$M$2:$M$378,0)/$M$2,"0")</f>
        <v>#NAME?</v>
      </c>
      <c r="U236" s="147" t="e">
        <f t="shared" ca="1" si="21"/>
        <v>#NAME?</v>
      </c>
      <c r="V236" s="4"/>
      <c r="W236" s="4" t="e">
        <f>_xlfn.XLOOKUP(M238,'00_SKU_Master'!$B$2:$B$378,'00_SKU_Master'!D:D)</f>
        <v>#VALUE!</v>
      </c>
      <c r="X236" s="14">
        <f>'05_Daily_Orders'!B237</f>
        <v>200716</v>
      </c>
      <c r="Y236" s="554"/>
      <c r="Z236" s="555"/>
      <c r="AA236" s="555"/>
      <c r="AB236" s="555"/>
      <c r="AC236" s="555">
        <v>42</v>
      </c>
      <c r="AD236" s="555">
        <v>0</v>
      </c>
      <c r="AE236" s="555">
        <v>85</v>
      </c>
      <c r="AF236" s="553">
        <f t="shared" si="22"/>
        <v>87</v>
      </c>
      <c r="AQ236" s="23">
        <v>0</v>
      </c>
      <c r="AR236" s="23">
        <v>0</v>
      </c>
      <c r="AS236" s="23">
        <f t="shared" si="23"/>
        <v>0</v>
      </c>
    </row>
    <row r="237" spans="1:45">
      <c r="A237" s="138" t="str">
        <f>_xlfn.XLOOKUP(C239,'00_SKU_Master'!$B$2:$B$378,'00_SKU_Master'!$C$2:$C$378)</f>
        <v>61050F</v>
      </c>
      <c r="B237" s="138"/>
      <c r="C237" s="138">
        <f t="shared" si="18"/>
        <v>200721</v>
      </c>
      <c r="D237" s="552" t="e">
        <f ca="1">_xludf.IFNA(_xlfn.XLOOKUP(C239,'00_SKU_Master'!$B$2:$B$378,'00_SKU_Master'!$F$2:$F$378,0)*Y239,"")</f>
        <v>#NAME?</v>
      </c>
      <c r="E237" s="552" t="e">
        <f ca="1">_xludf.IFNA(_xlfn.XLOOKUP(C239,'00_SKU_Master'!$B$2:$B$378,'00_SKU_Master'!$F$2:$F$378,0)*Z239,"")</f>
        <v>#NAME?</v>
      </c>
      <c r="F237" s="552" t="e">
        <f ca="1">_xludf.IFNA(_xlfn.XLOOKUP(C239,'00_SKU_Master'!$B$2:$B$378,'00_SKU_Master'!$F$2:$F$378,0)*AA239,"")</f>
        <v>#NAME?</v>
      </c>
      <c r="G237" s="552" t="e">
        <f ca="1">_xludf.IFNA(_xlfn.XLOOKUP(C239,'00_SKU_Master'!$B$2:$B$378,'00_SKU_Master'!$F$2:$F$378,0)*AB239,"")</f>
        <v>#NAME?</v>
      </c>
      <c r="H237" s="552" t="e">
        <f ca="1">_xludf.IFNA(_xlfn.XLOOKUP(C239,'00_SKU_Master'!$B$2:$B$378,'00_SKU_Master'!$F$2:$F$378,0)*AC239,"")</f>
        <v>#NAME?</v>
      </c>
      <c r="I237" s="552" t="e">
        <f ca="1">_xludf.IFNA(_xlfn.XLOOKUP(C239,'00_SKU_Master'!$B$2:$B$378,'00_SKU_Master'!$F$2:$F$378,0)*AD239,"")</f>
        <v>#NAME?</v>
      </c>
      <c r="J237" s="552" t="e">
        <f ca="1">_xludf.IFNA(_xlfn.XLOOKUP(C239,'00_SKU_Master'!$B$2:$B$378,'00_SKU_Master'!$F$2:$F$378,0)*AE239,"")</f>
        <v>#NAME?</v>
      </c>
      <c r="K237" s="553" t="e">
        <f t="shared" ca="1" si="19"/>
        <v>#NAME?</v>
      </c>
      <c r="L237" s="187" t="e">
        <f>_xlfn.XLOOKUP(C239,'00_SKU_Master'!$B$2:$B$378,'00_SKU_Master'!K:K)</f>
        <v>#VALUE!</v>
      </c>
      <c r="M237" s="14">
        <f t="shared" si="20"/>
        <v>200721</v>
      </c>
      <c r="N237" s="147" t="e">
        <f ca="1">_xludf.IFNA(D239/_xlfn.XLOOKUP($M239,'00_SKU_Master'!$B$2:$B$378,'00_SKU_Master'!$M$2:$M$378,0)/$M$2,"0")</f>
        <v>#NAME?</v>
      </c>
      <c r="O237" s="147" t="e">
        <f ca="1">_xludf.IFNA(E239/_xlfn.XLOOKUP($M239,'00_SKU_Master'!$B$2:$B$378,'00_SKU_Master'!$M$2:$M$378,0)/$M$2,"0")</f>
        <v>#NAME?</v>
      </c>
      <c r="P237" s="147" t="e">
        <f ca="1">_xludf.IFNA(F239/_xlfn.XLOOKUP($M239,'00_SKU_Master'!$B$2:$B$378,'00_SKU_Master'!$M$2:$M$378,0)/$M$2,"0")</f>
        <v>#NAME?</v>
      </c>
      <c r="Q237" s="147" t="e">
        <f ca="1">_xludf.IFNA(G239/_xlfn.XLOOKUP($M239,'00_SKU_Master'!$B$2:$B$378,'00_SKU_Master'!$M$2:$M$378,0)/$M$2,"0")</f>
        <v>#NAME?</v>
      </c>
      <c r="R237" s="147" t="e">
        <f ca="1">_xludf.IFNA(H239/_xlfn.XLOOKUP($M239,'00_SKU_Master'!$B$2:$B$378,'00_SKU_Master'!$M$2:$M$378,0)/$M$2,"0")</f>
        <v>#NAME?</v>
      </c>
      <c r="S237" s="147" t="e">
        <f ca="1">_xludf.IFNA(I239/_xlfn.XLOOKUP($M239,'00_SKU_Master'!$B$2:$B$378,'00_SKU_Master'!$M$2:$M$378,0)/$M$2,"0")</f>
        <v>#NAME?</v>
      </c>
      <c r="T237" s="147" t="e">
        <f ca="1">_xludf.IFNA(J239/_xlfn.XLOOKUP($M239,'00_SKU_Master'!$B$2:$B$378,'00_SKU_Master'!$M$2:$M$378,0)/$M$2,"0")</f>
        <v>#NAME?</v>
      </c>
      <c r="U237" s="147" t="e">
        <f t="shared" ca="1" si="21"/>
        <v>#NAME?</v>
      </c>
      <c r="V237" s="4"/>
      <c r="W237" s="4" t="e">
        <f>_xlfn.XLOOKUP(M239,'00_SKU_Master'!$B$2:$B$378,'00_SKU_Master'!D:D)</f>
        <v>#VALUE!</v>
      </c>
      <c r="X237" s="14">
        <f>'05_Daily_Orders'!B238</f>
        <v>200717</v>
      </c>
      <c r="Y237" s="554"/>
      <c r="Z237" s="555"/>
      <c r="AA237" s="555"/>
      <c r="AB237" s="555"/>
      <c r="AC237" s="555">
        <v>20</v>
      </c>
      <c r="AD237" s="555">
        <v>0</v>
      </c>
      <c r="AE237" s="555">
        <v>72</v>
      </c>
      <c r="AF237" s="553">
        <f t="shared" si="22"/>
        <v>0</v>
      </c>
      <c r="AQ237" s="23">
        <v>0</v>
      </c>
      <c r="AR237" s="23">
        <v>0</v>
      </c>
      <c r="AS237" s="23">
        <f t="shared" si="23"/>
        <v>-7</v>
      </c>
    </row>
    <row r="238" spans="1:45">
      <c r="A238" s="138">
        <f>_xlfn.XLOOKUP(C240,'00_SKU_Master'!$B$2:$B$378,'00_SKU_Master'!$C$2:$C$378)</f>
        <v>61071</v>
      </c>
      <c r="B238" s="138"/>
      <c r="C238" s="138">
        <f t="shared" si="18"/>
        <v>200722</v>
      </c>
      <c r="D238" s="552" t="e">
        <f ca="1">_xludf.IFNA(_xlfn.XLOOKUP(C240,'00_SKU_Master'!$B$2:$B$378,'00_SKU_Master'!$F$2:$F$378,0)*Y240,"")</f>
        <v>#NAME?</v>
      </c>
      <c r="E238" s="552" t="e">
        <f ca="1">_xludf.IFNA(_xlfn.XLOOKUP(C240,'00_SKU_Master'!$B$2:$B$378,'00_SKU_Master'!$F$2:$F$378,0)*Z240,"")</f>
        <v>#NAME?</v>
      </c>
      <c r="F238" s="552" t="e">
        <f ca="1">_xludf.IFNA(_xlfn.XLOOKUP(C240,'00_SKU_Master'!$B$2:$B$378,'00_SKU_Master'!$F$2:$F$378,0)*AA240,"")</f>
        <v>#NAME?</v>
      </c>
      <c r="G238" s="552" t="e">
        <f ca="1">_xludf.IFNA(_xlfn.XLOOKUP(C240,'00_SKU_Master'!$B$2:$B$378,'00_SKU_Master'!$F$2:$F$378,0)*AB240,"")</f>
        <v>#NAME?</v>
      </c>
      <c r="H238" s="552" t="e">
        <f ca="1">_xludf.IFNA(_xlfn.XLOOKUP(C240,'00_SKU_Master'!$B$2:$B$378,'00_SKU_Master'!$F$2:$F$378,0)*AC240,"")</f>
        <v>#NAME?</v>
      </c>
      <c r="I238" s="552" t="e">
        <f ca="1">_xludf.IFNA(_xlfn.XLOOKUP(C240,'00_SKU_Master'!$B$2:$B$378,'00_SKU_Master'!$F$2:$F$378,0)*AD240,"")</f>
        <v>#NAME?</v>
      </c>
      <c r="J238" s="552" t="e">
        <f ca="1">_xludf.IFNA(_xlfn.XLOOKUP(C240,'00_SKU_Master'!$B$2:$B$378,'00_SKU_Master'!$F$2:$F$378,0)*AE240,"")</f>
        <v>#NAME?</v>
      </c>
      <c r="K238" s="553" t="e">
        <f t="shared" ca="1" si="19"/>
        <v>#NAME?</v>
      </c>
      <c r="L238" s="187" t="e">
        <f>_xlfn.XLOOKUP(C240,'00_SKU_Master'!$B$2:$B$378,'00_SKU_Master'!K:K)</f>
        <v>#VALUE!</v>
      </c>
      <c r="M238" s="14">
        <f t="shared" si="20"/>
        <v>200722</v>
      </c>
      <c r="N238" s="147" t="e">
        <f ca="1">_xludf.IFNA(D240/_xlfn.XLOOKUP($M240,'00_SKU_Master'!$B$2:$B$378,'00_SKU_Master'!$M$2:$M$378,0)/$M$2,"0")</f>
        <v>#NAME?</v>
      </c>
      <c r="O238" s="147" t="e">
        <f ca="1">_xludf.IFNA(E240/_xlfn.XLOOKUP($M240,'00_SKU_Master'!$B$2:$B$378,'00_SKU_Master'!$M$2:$M$378,0)/$M$2,"0")</f>
        <v>#NAME?</v>
      </c>
      <c r="P238" s="147" t="e">
        <f ca="1">_xludf.IFNA(F240/_xlfn.XLOOKUP($M240,'00_SKU_Master'!$B$2:$B$378,'00_SKU_Master'!$M$2:$M$378,0)/$M$2,"0")</f>
        <v>#NAME?</v>
      </c>
      <c r="Q238" s="147" t="e">
        <f ca="1">_xludf.IFNA(G240/_xlfn.XLOOKUP($M240,'00_SKU_Master'!$B$2:$B$378,'00_SKU_Master'!$M$2:$M$378,0)/$M$2,"0")</f>
        <v>#NAME?</v>
      </c>
      <c r="R238" s="147" t="e">
        <f ca="1">_xludf.IFNA(H240/_xlfn.XLOOKUP($M240,'00_SKU_Master'!$B$2:$B$378,'00_SKU_Master'!$M$2:$M$378,0)/$M$2,"0")</f>
        <v>#NAME?</v>
      </c>
      <c r="S238" s="147" t="e">
        <f ca="1">_xludf.IFNA(I240/_xlfn.XLOOKUP($M240,'00_SKU_Master'!$B$2:$B$378,'00_SKU_Master'!$M$2:$M$378,0)/$M$2,"0")</f>
        <v>#NAME?</v>
      </c>
      <c r="T238" s="147" t="e">
        <f ca="1">_xludf.IFNA(J240/_xlfn.XLOOKUP($M240,'00_SKU_Master'!$B$2:$B$378,'00_SKU_Master'!$M$2:$M$378,0)/$M$2,"0")</f>
        <v>#NAME?</v>
      </c>
      <c r="U238" s="147" t="e">
        <f t="shared" ca="1" si="21"/>
        <v>#NAME?</v>
      </c>
      <c r="V238" s="4"/>
      <c r="W238" s="4" t="e">
        <f>_xlfn.XLOOKUP(M240,'00_SKU_Master'!$B$2:$B$378,'00_SKU_Master'!D:D)</f>
        <v>#VALUE!</v>
      </c>
      <c r="X238" s="14">
        <f>'05_Daily_Orders'!B239</f>
        <v>200718</v>
      </c>
      <c r="Y238" s="554"/>
      <c r="Z238" s="555"/>
      <c r="AA238" s="555"/>
      <c r="AB238" s="555"/>
      <c r="AC238" s="555">
        <v>19</v>
      </c>
      <c r="AD238" s="555">
        <v>0</v>
      </c>
      <c r="AE238" s="555">
        <v>68</v>
      </c>
      <c r="AF238" s="553">
        <f t="shared" si="22"/>
        <v>0</v>
      </c>
      <c r="AQ238" s="23">
        <v>0</v>
      </c>
      <c r="AR238" s="23">
        <v>0</v>
      </c>
      <c r="AS238" s="23">
        <f t="shared" si="23"/>
        <v>0</v>
      </c>
    </row>
    <row r="239" spans="1:45">
      <c r="A239" s="138">
        <f>_xlfn.XLOOKUP(C241,'00_SKU_Master'!$B$2:$B$378,'00_SKU_Master'!$C$2:$C$378)</f>
        <v>61050</v>
      </c>
      <c r="B239" s="138"/>
      <c r="C239" s="138">
        <f t="shared" si="18"/>
        <v>200723</v>
      </c>
      <c r="D239" s="552" t="e">
        <f ca="1">_xludf.IFNA(_xlfn.XLOOKUP(C241,'00_SKU_Master'!$B$2:$B$378,'00_SKU_Master'!$F$2:$F$378,0)*Y241,"")</f>
        <v>#NAME?</v>
      </c>
      <c r="E239" s="552" t="e">
        <f ca="1">_xludf.IFNA(_xlfn.XLOOKUP(C241,'00_SKU_Master'!$B$2:$B$378,'00_SKU_Master'!$F$2:$F$378,0)*Z241,"")</f>
        <v>#NAME?</v>
      </c>
      <c r="F239" s="552" t="e">
        <f ca="1">_xludf.IFNA(_xlfn.XLOOKUP(C241,'00_SKU_Master'!$B$2:$B$378,'00_SKU_Master'!$F$2:$F$378,0)*AA241,"")</f>
        <v>#NAME?</v>
      </c>
      <c r="G239" s="552" t="e">
        <f ca="1">_xludf.IFNA(_xlfn.XLOOKUP(C241,'00_SKU_Master'!$B$2:$B$378,'00_SKU_Master'!$F$2:$F$378,0)*AB241,"")</f>
        <v>#NAME?</v>
      </c>
      <c r="H239" s="552" t="e">
        <f ca="1">_xludf.IFNA(_xlfn.XLOOKUP(C241,'00_SKU_Master'!$B$2:$B$378,'00_SKU_Master'!$F$2:$F$378,0)*AC241,"")</f>
        <v>#NAME?</v>
      </c>
      <c r="I239" s="552" t="e">
        <f ca="1">_xludf.IFNA(_xlfn.XLOOKUP(C241,'00_SKU_Master'!$B$2:$B$378,'00_SKU_Master'!$F$2:$F$378,0)*AD241,"")</f>
        <v>#NAME?</v>
      </c>
      <c r="J239" s="552" t="e">
        <f ca="1">_xludf.IFNA(_xlfn.XLOOKUP(C241,'00_SKU_Master'!$B$2:$B$378,'00_SKU_Master'!$F$2:$F$378,0)*AE241,"")</f>
        <v>#NAME?</v>
      </c>
      <c r="K239" s="553" t="e">
        <f t="shared" ca="1" si="19"/>
        <v>#NAME?</v>
      </c>
      <c r="L239" s="187" t="e">
        <f>_xlfn.XLOOKUP(C241,'00_SKU_Master'!$B$2:$B$378,'00_SKU_Master'!K:K)</f>
        <v>#VALUE!</v>
      </c>
      <c r="M239" s="14">
        <f t="shared" si="20"/>
        <v>200723</v>
      </c>
      <c r="N239" s="147" t="e">
        <f ca="1">_xludf.IFNA(D241/_xlfn.XLOOKUP($M241,'00_SKU_Master'!$B$2:$B$378,'00_SKU_Master'!$M$2:$M$378,0)/$M$2,"0")</f>
        <v>#NAME?</v>
      </c>
      <c r="O239" s="147" t="e">
        <f ca="1">_xludf.IFNA(E241/_xlfn.XLOOKUP($M241,'00_SKU_Master'!$B$2:$B$378,'00_SKU_Master'!$M$2:$M$378,0)/$M$2,"0")</f>
        <v>#NAME?</v>
      </c>
      <c r="P239" s="147" t="e">
        <f ca="1">_xludf.IFNA(F241/_xlfn.XLOOKUP($M241,'00_SKU_Master'!$B$2:$B$378,'00_SKU_Master'!$M$2:$M$378,0)/$M$2,"0")</f>
        <v>#NAME?</v>
      </c>
      <c r="Q239" s="147" t="e">
        <f ca="1">_xludf.IFNA(G241/_xlfn.XLOOKUP($M241,'00_SKU_Master'!$B$2:$B$378,'00_SKU_Master'!$M$2:$M$378,0)/$M$2,"0")</f>
        <v>#NAME?</v>
      </c>
      <c r="R239" s="147" t="e">
        <f ca="1">_xludf.IFNA(H241/_xlfn.XLOOKUP($M241,'00_SKU_Master'!$B$2:$B$378,'00_SKU_Master'!$M$2:$M$378,0)/$M$2,"0")</f>
        <v>#NAME?</v>
      </c>
      <c r="S239" s="147" t="e">
        <f ca="1">_xludf.IFNA(I241/_xlfn.XLOOKUP($M241,'00_SKU_Master'!$B$2:$B$378,'00_SKU_Master'!$M$2:$M$378,0)/$M$2,"0")</f>
        <v>#NAME?</v>
      </c>
      <c r="T239" s="147" t="e">
        <f ca="1">_xludf.IFNA(J241/_xlfn.XLOOKUP($M241,'00_SKU_Master'!$B$2:$B$378,'00_SKU_Master'!$M$2:$M$378,0)/$M$2,"0")</f>
        <v>#NAME?</v>
      </c>
      <c r="U239" s="147" t="e">
        <f t="shared" ca="1" si="21"/>
        <v>#NAME?</v>
      </c>
      <c r="V239" s="4"/>
      <c r="W239" s="4" t="e">
        <f>_xlfn.XLOOKUP(M241,'00_SKU_Master'!$B$2:$B$378,'00_SKU_Master'!D:D)</f>
        <v>#VALUE!</v>
      </c>
      <c r="X239" s="14">
        <f>'05_Daily_Orders'!B240</f>
        <v>200721</v>
      </c>
      <c r="Y239" s="554"/>
      <c r="Z239" s="555"/>
      <c r="AA239" s="555"/>
      <c r="AB239" s="555"/>
      <c r="AC239" s="555">
        <v>0</v>
      </c>
      <c r="AD239" s="555">
        <v>0</v>
      </c>
      <c r="AE239" s="555">
        <v>0</v>
      </c>
      <c r="AF239" s="553">
        <f t="shared" si="22"/>
        <v>0</v>
      </c>
      <c r="AQ239" s="23">
        <v>7</v>
      </c>
      <c r="AR239" s="23">
        <v>0</v>
      </c>
      <c r="AS239" s="23">
        <f t="shared" si="23"/>
        <v>0</v>
      </c>
    </row>
    <row r="240" spans="1:45">
      <c r="A240" s="138">
        <f>_xlfn.XLOOKUP(C242,'00_SKU_Master'!$B$2:$B$378,'00_SKU_Master'!$C$2:$C$378)</f>
        <v>61077</v>
      </c>
      <c r="B240" s="138"/>
      <c r="C240" s="138">
        <f t="shared" si="18"/>
        <v>200724</v>
      </c>
      <c r="D240" s="552" t="e">
        <f ca="1">_xludf.IFNA(_xlfn.XLOOKUP(C242,'00_SKU_Master'!$B$2:$B$378,'00_SKU_Master'!$F$2:$F$378,0)*Y242,"")</f>
        <v>#NAME?</v>
      </c>
      <c r="E240" s="552" t="e">
        <f ca="1">_xludf.IFNA(_xlfn.XLOOKUP(C242,'00_SKU_Master'!$B$2:$B$378,'00_SKU_Master'!$F$2:$F$378,0)*Z242,"")</f>
        <v>#NAME?</v>
      </c>
      <c r="F240" s="552" t="e">
        <f ca="1">_xludf.IFNA(_xlfn.XLOOKUP(C242,'00_SKU_Master'!$B$2:$B$378,'00_SKU_Master'!$F$2:$F$378,0)*AA242,"")</f>
        <v>#NAME?</v>
      </c>
      <c r="G240" s="552" t="e">
        <f ca="1">_xludf.IFNA(_xlfn.XLOOKUP(C242,'00_SKU_Master'!$B$2:$B$378,'00_SKU_Master'!$F$2:$F$378,0)*AB242,"")</f>
        <v>#NAME?</v>
      </c>
      <c r="H240" s="552" t="e">
        <f ca="1">_xludf.IFNA(_xlfn.XLOOKUP(C242,'00_SKU_Master'!$B$2:$B$378,'00_SKU_Master'!$F$2:$F$378,0)*AC242,"")</f>
        <v>#NAME?</v>
      </c>
      <c r="I240" s="552" t="e">
        <f ca="1">_xludf.IFNA(_xlfn.XLOOKUP(C242,'00_SKU_Master'!$B$2:$B$378,'00_SKU_Master'!$F$2:$F$378,0)*AD242,"")</f>
        <v>#NAME?</v>
      </c>
      <c r="J240" s="552" t="e">
        <f ca="1">_xludf.IFNA(_xlfn.XLOOKUP(C242,'00_SKU_Master'!$B$2:$B$378,'00_SKU_Master'!$F$2:$F$378,0)*AE242,"")</f>
        <v>#NAME?</v>
      </c>
      <c r="K240" s="553" t="e">
        <f t="shared" ca="1" si="19"/>
        <v>#NAME?</v>
      </c>
      <c r="L240" s="187" t="e">
        <f>_xlfn.XLOOKUP(C242,'00_SKU_Master'!$B$2:$B$378,'00_SKU_Master'!K:K)</f>
        <v>#VALUE!</v>
      </c>
      <c r="M240" s="14">
        <f t="shared" si="20"/>
        <v>200724</v>
      </c>
      <c r="N240" s="147" t="e">
        <f ca="1">_xludf.IFNA(D242/_xlfn.XLOOKUP($M242,'00_SKU_Master'!$B$2:$B$378,'00_SKU_Master'!$M$2:$M$378,0)/$M$2,"0")</f>
        <v>#NAME?</v>
      </c>
      <c r="O240" s="147" t="e">
        <f ca="1">_xludf.IFNA(E242/_xlfn.XLOOKUP($M242,'00_SKU_Master'!$B$2:$B$378,'00_SKU_Master'!$M$2:$M$378,0)/$M$2,"0")</f>
        <v>#NAME?</v>
      </c>
      <c r="P240" s="147" t="e">
        <f ca="1">_xludf.IFNA(F242/_xlfn.XLOOKUP($M242,'00_SKU_Master'!$B$2:$B$378,'00_SKU_Master'!$M$2:$M$378,0)/$M$2,"0")</f>
        <v>#NAME?</v>
      </c>
      <c r="Q240" s="147" t="e">
        <f ca="1">_xludf.IFNA(G242/_xlfn.XLOOKUP($M242,'00_SKU_Master'!$B$2:$B$378,'00_SKU_Master'!$M$2:$M$378,0)/$M$2,"0")</f>
        <v>#NAME?</v>
      </c>
      <c r="R240" s="147" t="e">
        <f ca="1">_xludf.IFNA(H242/_xlfn.XLOOKUP($M242,'00_SKU_Master'!$B$2:$B$378,'00_SKU_Master'!$M$2:$M$378,0)/$M$2,"0")</f>
        <v>#NAME?</v>
      </c>
      <c r="S240" s="147" t="e">
        <f ca="1">_xludf.IFNA(I242/_xlfn.XLOOKUP($M242,'00_SKU_Master'!$B$2:$B$378,'00_SKU_Master'!$M$2:$M$378,0)/$M$2,"0")</f>
        <v>#NAME?</v>
      </c>
      <c r="T240" s="147" t="e">
        <f ca="1">_xludf.IFNA(J242/_xlfn.XLOOKUP($M242,'00_SKU_Master'!$B$2:$B$378,'00_SKU_Master'!$M$2:$M$378,0)/$M$2,"0")</f>
        <v>#NAME?</v>
      </c>
      <c r="U240" s="147" t="e">
        <f t="shared" ca="1" si="21"/>
        <v>#NAME?</v>
      </c>
      <c r="V240" s="4"/>
      <c r="W240" s="4" t="e">
        <f>_xlfn.XLOOKUP(M242,'00_SKU_Master'!$B$2:$B$378,'00_SKU_Master'!D:D)</f>
        <v>#VALUE!</v>
      </c>
      <c r="X240" s="14">
        <f>'05_Daily_Orders'!B241</f>
        <v>200722</v>
      </c>
      <c r="Y240" s="554"/>
      <c r="Z240" s="555"/>
      <c r="AA240" s="555"/>
      <c r="AB240" s="555"/>
      <c r="AC240" s="555">
        <v>0</v>
      </c>
      <c r="AD240" s="555">
        <v>0</v>
      </c>
      <c r="AE240" s="555">
        <v>0</v>
      </c>
      <c r="AF240" s="553">
        <f t="shared" si="22"/>
        <v>0</v>
      </c>
      <c r="AQ240" s="23">
        <v>0</v>
      </c>
      <c r="AR240" s="23">
        <v>0</v>
      </c>
      <c r="AS240" s="23">
        <f t="shared" si="23"/>
        <v>0</v>
      </c>
    </row>
    <row r="241" spans="1:45">
      <c r="A241" s="138">
        <f>_xlfn.XLOOKUP(C243,'00_SKU_Master'!$B$2:$B$378,'00_SKU_Master'!$C$2:$C$378)</f>
        <v>61072</v>
      </c>
      <c r="B241" s="138"/>
      <c r="C241" s="138">
        <f t="shared" si="18"/>
        <v>200725</v>
      </c>
      <c r="D241" s="552" t="e">
        <f ca="1">_xludf.IFNA(_xlfn.XLOOKUP(C243,'00_SKU_Master'!$B$2:$B$378,'00_SKU_Master'!$F$2:$F$378,0)*Y243,"")</f>
        <v>#NAME?</v>
      </c>
      <c r="E241" s="552" t="e">
        <f ca="1">_xludf.IFNA(_xlfn.XLOOKUP(C243,'00_SKU_Master'!$B$2:$B$378,'00_SKU_Master'!$F$2:$F$378,0)*Z243,"")</f>
        <v>#NAME?</v>
      </c>
      <c r="F241" s="552" t="e">
        <f ca="1">_xludf.IFNA(_xlfn.XLOOKUP(C243,'00_SKU_Master'!$B$2:$B$378,'00_SKU_Master'!$F$2:$F$378,0)*AA243,"")</f>
        <v>#NAME?</v>
      </c>
      <c r="G241" s="552" t="e">
        <f ca="1">_xludf.IFNA(_xlfn.XLOOKUP(C243,'00_SKU_Master'!$B$2:$B$378,'00_SKU_Master'!$F$2:$F$378,0)*AB243,"")</f>
        <v>#NAME?</v>
      </c>
      <c r="H241" s="552" t="e">
        <f ca="1">_xludf.IFNA(_xlfn.XLOOKUP(C243,'00_SKU_Master'!$B$2:$B$378,'00_SKU_Master'!$F$2:$F$378,0)*AC243,"")</f>
        <v>#NAME?</v>
      </c>
      <c r="I241" s="552" t="e">
        <f ca="1">_xludf.IFNA(_xlfn.XLOOKUP(C243,'00_SKU_Master'!$B$2:$B$378,'00_SKU_Master'!$F$2:$F$378,0)*AD243,"")</f>
        <v>#NAME?</v>
      </c>
      <c r="J241" s="552" t="e">
        <f ca="1">_xludf.IFNA(_xlfn.XLOOKUP(C243,'00_SKU_Master'!$B$2:$B$378,'00_SKU_Master'!$F$2:$F$378,0)*AE243,"")</f>
        <v>#NAME?</v>
      </c>
      <c r="K241" s="553" t="e">
        <f t="shared" ca="1" si="19"/>
        <v>#NAME?</v>
      </c>
      <c r="L241" s="187" t="e">
        <f>_xlfn.XLOOKUP(C243,'00_SKU_Master'!$B$2:$B$378,'00_SKU_Master'!K:K)</f>
        <v>#VALUE!</v>
      </c>
      <c r="M241" s="14">
        <f t="shared" si="20"/>
        <v>200725</v>
      </c>
      <c r="N241" s="147" t="e">
        <f ca="1">_xludf.IFNA(D243/_xlfn.XLOOKUP($M243,'00_SKU_Master'!$B$2:$B$378,'00_SKU_Master'!$M$2:$M$378,0)/$M$2,"0")</f>
        <v>#NAME?</v>
      </c>
      <c r="O241" s="147" t="e">
        <f ca="1">_xludf.IFNA(E243/_xlfn.XLOOKUP($M243,'00_SKU_Master'!$B$2:$B$378,'00_SKU_Master'!$M$2:$M$378,0)/$M$2,"0")</f>
        <v>#NAME?</v>
      </c>
      <c r="P241" s="147" t="e">
        <f ca="1">_xludf.IFNA(F243/_xlfn.XLOOKUP($M243,'00_SKU_Master'!$B$2:$B$378,'00_SKU_Master'!$M$2:$M$378,0)/$M$2,"0")</f>
        <v>#NAME?</v>
      </c>
      <c r="Q241" s="147" t="e">
        <f ca="1">_xludf.IFNA(G243/_xlfn.XLOOKUP($M243,'00_SKU_Master'!$B$2:$B$378,'00_SKU_Master'!$M$2:$M$378,0)/$M$2,"0")</f>
        <v>#NAME?</v>
      </c>
      <c r="R241" s="147" t="e">
        <f ca="1">_xludf.IFNA(H243/_xlfn.XLOOKUP($M243,'00_SKU_Master'!$B$2:$B$378,'00_SKU_Master'!$M$2:$M$378,0)/$M$2,"0")</f>
        <v>#NAME?</v>
      </c>
      <c r="S241" s="147" t="e">
        <f ca="1">_xludf.IFNA(I243/_xlfn.XLOOKUP($M243,'00_SKU_Master'!$B$2:$B$378,'00_SKU_Master'!$M$2:$M$378,0)/$M$2,"0")</f>
        <v>#NAME?</v>
      </c>
      <c r="T241" s="147" t="e">
        <f ca="1">_xludf.IFNA(J243/_xlfn.XLOOKUP($M243,'00_SKU_Master'!$B$2:$B$378,'00_SKU_Master'!$M$2:$M$378,0)/$M$2,"0")</f>
        <v>#NAME?</v>
      </c>
      <c r="U241" s="147" t="e">
        <f t="shared" ca="1" si="21"/>
        <v>#NAME?</v>
      </c>
      <c r="V241" s="4"/>
      <c r="W241" s="4" t="e">
        <f>_xlfn.XLOOKUP(M243,'00_SKU_Master'!$B$2:$B$378,'00_SKU_Master'!D:D)</f>
        <v>#VALUE!</v>
      </c>
      <c r="X241" s="14">
        <f>'05_Daily_Orders'!B242</f>
        <v>200723</v>
      </c>
      <c r="Y241" s="554"/>
      <c r="Z241" s="555"/>
      <c r="AA241" s="555"/>
      <c r="AB241" s="555"/>
      <c r="AC241" s="555">
        <v>0</v>
      </c>
      <c r="AD241" s="555">
        <v>0</v>
      </c>
      <c r="AE241" s="555">
        <v>0</v>
      </c>
      <c r="AF241" s="553">
        <f t="shared" si="22"/>
        <v>86</v>
      </c>
      <c r="AQ241" s="23">
        <v>0</v>
      </c>
      <c r="AR241" s="23">
        <v>0</v>
      </c>
      <c r="AS241" s="23">
        <f t="shared" si="23"/>
        <v>0</v>
      </c>
    </row>
    <row r="242" spans="1:45">
      <c r="A242" s="138">
        <f>_xlfn.XLOOKUP(C244,'00_SKU_Master'!$B$2:$B$378,'00_SKU_Master'!$C$2:$C$378)</f>
        <v>61077</v>
      </c>
      <c r="B242" s="138"/>
      <c r="C242" s="138">
        <f t="shared" si="18"/>
        <v>200726</v>
      </c>
      <c r="D242" s="552" t="e">
        <f ca="1">_xludf.IFNA(_xlfn.XLOOKUP(C244,'00_SKU_Master'!$B$2:$B$378,'00_SKU_Master'!$F$2:$F$378,0)*Y244,"")</f>
        <v>#NAME?</v>
      </c>
      <c r="E242" s="552" t="e">
        <f ca="1">_xludf.IFNA(_xlfn.XLOOKUP(C244,'00_SKU_Master'!$B$2:$B$378,'00_SKU_Master'!$F$2:$F$378,0)*Z244,"")</f>
        <v>#NAME?</v>
      </c>
      <c r="F242" s="552" t="e">
        <f ca="1">_xludf.IFNA(_xlfn.XLOOKUP(C244,'00_SKU_Master'!$B$2:$B$378,'00_SKU_Master'!$F$2:$F$378,0)*AA244,"")</f>
        <v>#NAME?</v>
      </c>
      <c r="G242" s="552" t="e">
        <f ca="1">_xludf.IFNA(_xlfn.XLOOKUP(C244,'00_SKU_Master'!$B$2:$B$378,'00_SKU_Master'!$F$2:$F$378,0)*AB244,"")</f>
        <v>#NAME?</v>
      </c>
      <c r="H242" s="552" t="e">
        <f ca="1">_xludf.IFNA(_xlfn.XLOOKUP(C244,'00_SKU_Master'!$B$2:$B$378,'00_SKU_Master'!$F$2:$F$378,0)*AC244,"")</f>
        <v>#NAME?</v>
      </c>
      <c r="I242" s="552" t="e">
        <f ca="1">_xludf.IFNA(_xlfn.XLOOKUP(C244,'00_SKU_Master'!$B$2:$B$378,'00_SKU_Master'!$F$2:$F$378,0)*AD244,"")</f>
        <v>#NAME?</v>
      </c>
      <c r="J242" s="552" t="e">
        <f ca="1">_xludf.IFNA(_xlfn.XLOOKUP(C244,'00_SKU_Master'!$B$2:$B$378,'00_SKU_Master'!$F$2:$F$378,0)*AE244,"")</f>
        <v>#NAME?</v>
      </c>
      <c r="K242" s="553" t="e">
        <f t="shared" ca="1" si="19"/>
        <v>#NAME?</v>
      </c>
      <c r="L242" s="187" t="e">
        <f>_xlfn.XLOOKUP(C244,'00_SKU_Master'!$B$2:$B$378,'00_SKU_Master'!K:K)</f>
        <v>#VALUE!</v>
      </c>
      <c r="M242" s="14">
        <f t="shared" si="20"/>
        <v>200726</v>
      </c>
      <c r="N242" s="147" t="e">
        <f ca="1">_xludf.IFNA(D244/_xlfn.XLOOKUP($M244,'00_SKU_Master'!$B$2:$B$378,'00_SKU_Master'!$M$2:$M$378,0)/$M$2,"0")</f>
        <v>#NAME?</v>
      </c>
      <c r="O242" s="147" t="e">
        <f ca="1">_xludf.IFNA(E244/_xlfn.XLOOKUP($M244,'00_SKU_Master'!$B$2:$B$378,'00_SKU_Master'!$M$2:$M$378,0)/$M$2,"0")</f>
        <v>#NAME?</v>
      </c>
      <c r="P242" s="147" t="e">
        <f ca="1">_xludf.IFNA(F244/_xlfn.XLOOKUP($M244,'00_SKU_Master'!$B$2:$B$378,'00_SKU_Master'!$M$2:$M$378,0)/$M$2,"0")</f>
        <v>#NAME?</v>
      </c>
      <c r="Q242" s="147" t="e">
        <f ca="1">_xludf.IFNA(G244/_xlfn.XLOOKUP($M244,'00_SKU_Master'!$B$2:$B$378,'00_SKU_Master'!$M$2:$M$378,0)/$M$2,"0")</f>
        <v>#NAME?</v>
      </c>
      <c r="R242" s="147" t="e">
        <f ca="1">_xludf.IFNA(H244/_xlfn.XLOOKUP($M244,'00_SKU_Master'!$B$2:$B$378,'00_SKU_Master'!$M$2:$M$378,0)/$M$2,"0")</f>
        <v>#NAME?</v>
      </c>
      <c r="S242" s="147" t="e">
        <f ca="1">_xludf.IFNA(I244/_xlfn.XLOOKUP($M244,'00_SKU_Master'!$B$2:$B$378,'00_SKU_Master'!$M$2:$M$378,0)/$M$2,"0")</f>
        <v>#NAME?</v>
      </c>
      <c r="T242" s="147" t="e">
        <f ca="1">_xludf.IFNA(J244/_xlfn.XLOOKUP($M244,'00_SKU_Master'!$B$2:$B$378,'00_SKU_Master'!$M$2:$M$378,0)/$M$2,"0")</f>
        <v>#NAME?</v>
      </c>
      <c r="U242" s="147" t="e">
        <f t="shared" ca="1" si="21"/>
        <v>#NAME?</v>
      </c>
      <c r="V242" s="4"/>
      <c r="W242" s="4" t="e">
        <f>_xlfn.XLOOKUP(M244,'00_SKU_Master'!$B$2:$B$378,'00_SKU_Master'!D:D)</f>
        <v>#VALUE!</v>
      </c>
      <c r="X242" s="14">
        <f>'05_Daily_Orders'!B243</f>
        <v>200724</v>
      </c>
      <c r="Y242" s="554"/>
      <c r="Z242" s="555"/>
      <c r="AA242" s="555"/>
      <c r="AB242" s="555"/>
      <c r="AC242" s="555">
        <v>0</v>
      </c>
      <c r="AD242" s="555">
        <v>0</v>
      </c>
      <c r="AE242" s="555">
        <v>0</v>
      </c>
      <c r="AF242" s="553">
        <f t="shared" si="22"/>
        <v>0</v>
      </c>
      <c r="AQ242" s="23">
        <v>0</v>
      </c>
      <c r="AR242" s="23">
        <v>0</v>
      </c>
      <c r="AS242" s="23">
        <f t="shared" si="23"/>
        <v>0</v>
      </c>
    </row>
    <row r="243" spans="1:45">
      <c r="A243" s="138">
        <f>_xlfn.XLOOKUP(C245,'00_SKU_Master'!$B$2:$B$378,'00_SKU_Master'!$C$2:$C$378)</f>
        <v>61072</v>
      </c>
      <c r="B243" s="138"/>
      <c r="C243" s="138">
        <f t="shared" si="18"/>
        <v>200727</v>
      </c>
      <c r="D243" s="552" t="e">
        <f ca="1">_xludf.IFNA(_xlfn.XLOOKUP(C245,'00_SKU_Master'!$B$2:$B$378,'00_SKU_Master'!$F$2:$F$378,0)*Y245,"")</f>
        <v>#NAME?</v>
      </c>
      <c r="E243" s="552" t="e">
        <f ca="1">_xludf.IFNA(_xlfn.XLOOKUP(C245,'00_SKU_Master'!$B$2:$B$378,'00_SKU_Master'!$F$2:$F$378,0)*Z245,"")</f>
        <v>#NAME?</v>
      </c>
      <c r="F243" s="552" t="e">
        <f ca="1">_xludf.IFNA(_xlfn.XLOOKUP(C245,'00_SKU_Master'!$B$2:$B$378,'00_SKU_Master'!$F$2:$F$378,0)*AA245,"")</f>
        <v>#NAME?</v>
      </c>
      <c r="G243" s="552" t="e">
        <f ca="1">_xludf.IFNA(_xlfn.XLOOKUP(C245,'00_SKU_Master'!$B$2:$B$378,'00_SKU_Master'!$F$2:$F$378,0)*AB245,"")</f>
        <v>#NAME?</v>
      </c>
      <c r="H243" s="552" t="e">
        <f ca="1">_xludf.IFNA(_xlfn.XLOOKUP(C245,'00_SKU_Master'!$B$2:$B$378,'00_SKU_Master'!$F$2:$F$378,0)*AC245,"")</f>
        <v>#NAME?</v>
      </c>
      <c r="I243" s="552" t="e">
        <f ca="1">_xludf.IFNA(_xlfn.XLOOKUP(C245,'00_SKU_Master'!$B$2:$B$378,'00_SKU_Master'!$F$2:$F$378,0)*AD245,"")</f>
        <v>#NAME?</v>
      </c>
      <c r="J243" s="552" t="e">
        <f ca="1">_xludf.IFNA(_xlfn.XLOOKUP(C245,'00_SKU_Master'!$B$2:$B$378,'00_SKU_Master'!$F$2:$F$378,0)*AE245,"")</f>
        <v>#NAME?</v>
      </c>
      <c r="K243" s="553" t="e">
        <f t="shared" ca="1" si="19"/>
        <v>#NAME?</v>
      </c>
      <c r="L243" s="187" t="e">
        <f>_xlfn.XLOOKUP(C245,'00_SKU_Master'!$B$2:$B$378,'00_SKU_Master'!K:K)</f>
        <v>#VALUE!</v>
      </c>
      <c r="M243" s="14">
        <f t="shared" si="20"/>
        <v>200727</v>
      </c>
      <c r="N243" s="147" t="e">
        <f ca="1">_xludf.IFNA(D245/_xlfn.XLOOKUP($M245,'00_SKU_Master'!$B$2:$B$378,'00_SKU_Master'!$M$2:$M$378,0)/$M$2,"0")</f>
        <v>#NAME?</v>
      </c>
      <c r="O243" s="147" t="e">
        <f ca="1">_xludf.IFNA(E245/_xlfn.XLOOKUP($M245,'00_SKU_Master'!$B$2:$B$378,'00_SKU_Master'!$M$2:$M$378,0)/$M$2,"0")</f>
        <v>#NAME?</v>
      </c>
      <c r="P243" s="147" t="e">
        <f ca="1">_xludf.IFNA(F245/_xlfn.XLOOKUP($M245,'00_SKU_Master'!$B$2:$B$378,'00_SKU_Master'!$M$2:$M$378,0)/$M$2,"0")</f>
        <v>#NAME?</v>
      </c>
      <c r="Q243" s="147" t="e">
        <f ca="1">_xludf.IFNA(G245/_xlfn.XLOOKUP($M245,'00_SKU_Master'!$B$2:$B$378,'00_SKU_Master'!$M$2:$M$378,0)/$M$2,"0")</f>
        <v>#NAME?</v>
      </c>
      <c r="R243" s="147" t="e">
        <f ca="1">_xludf.IFNA(H245/_xlfn.XLOOKUP($M245,'00_SKU_Master'!$B$2:$B$378,'00_SKU_Master'!$M$2:$M$378,0)/$M$2,"0")</f>
        <v>#NAME?</v>
      </c>
      <c r="S243" s="147" t="e">
        <f ca="1">_xludf.IFNA(I245/_xlfn.XLOOKUP($M245,'00_SKU_Master'!$B$2:$B$378,'00_SKU_Master'!$M$2:$M$378,0)/$M$2,"0")</f>
        <v>#NAME?</v>
      </c>
      <c r="T243" s="147" t="e">
        <f ca="1">_xludf.IFNA(J245/_xlfn.XLOOKUP($M245,'00_SKU_Master'!$B$2:$B$378,'00_SKU_Master'!$M$2:$M$378,0)/$M$2,"0")</f>
        <v>#NAME?</v>
      </c>
      <c r="U243" s="147" t="e">
        <f t="shared" ca="1" si="21"/>
        <v>#NAME?</v>
      </c>
      <c r="V243" s="4"/>
      <c r="W243" s="4" t="e">
        <f>_xlfn.XLOOKUP(M245,'00_SKU_Master'!$B$2:$B$378,'00_SKU_Master'!D:D)</f>
        <v>#VALUE!</v>
      </c>
      <c r="X243" s="14">
        <f>'05_Daily_Orders'!B244</f>
        <v>200725</v>
      </c>
      <c r="Y243" s="554"/>
      <c r="Z243" s="555"/>
      <c r="AA243" s="555"/>
      <c r="AB243" s="555"/>
      <c r="AC243" s="555">
        <v>46</v>
      </c>
      <c r="AD243" s="555">
        <v>0</v>
      </c>
      <c r="AE243" s="555">
        <v>40</v>
      </c>
      <c r="AF243" s="553">
        <f t="shared" si="22"/>
        <v>0</v>
      </c>
      <c r="AQ243" s="23">
        <v>0</v>
      </c>
      <c r="AR243" s="23">
        <v>0</v>
      </c>
      <c r="AS243" s="23">
        <f t="shared" si="23"/>
        <v>0</v>
      </c>
    </row>
    <row r="244" spans="1:45">
      <c r="A244" s="138">
        <f>_xlfn.XLOOKUP(C246,'00_SKU_Master'!$B$2:$B$378,'00_SKU_Master'!$C$2:$C$378)</f>
        <v>203021</v>
      </c>
      <c r="B244" s="138"/>
      <c r="C244" s="138">
        <f t="shared" si="18"/>
        <v>200736</v>
      </c>
      <c r="D244" s="552" t="e">
        <f ca="1">_xludf.IFNA(_xlfn.XLOOKUP(C246,'00_SKU_Master'!$B$2:$B$378,'00_SKU_Master'!$F$2:$F$378,0)*Y246,"")</f>
        <v>#NAME?</v>
      </c>
      <c r="E244" s="552" t="e">
        <f ca="1">_xludf.IFNA(_xlfn.XLOOKUP(C246,'00_SKU_Master'!$B$2:$B$378,'00_SKU_Master'!$F$2:$F$378,0)*Z246,"")</f>
        <v>#NAME?</v>
      </c>
      <c r="F244" s="552" t="e">
        <f ca="1">_xludf.IFNA(_xlfn.XLOOKUP(C246,'00_SKU_Master'!$B$2:$B$378,'00_SKU_Master'!$F$2:$F$378,0)*AA246,"")</f>
        <v>#NAME?</v>
      </c>
      <c r="G244" s="552" t="e">
        <f ca="1">_xludf.IFNA(_xlfn.XLOOKUP(C246,'00_SKU_Master'!$B$2:$B$378,'00_SKU_Master'!$F$2:$F$378,0)*AB246,"")</f>
        <v>#NAME?</v>
      </c>
      <c r="H244" s="552" t="e">
        <f ca="1">_xludf.IFNA(_xlfn.XLOOKUP(C246,'00_SKU_Master'!$B$2:$B$378,'00_SKU_Master'!$F$2:$F$378,0)*AC246,"")</f>
        <v>#NAME?</v>
      </c>
      <c r="I244" s="552" t="e">
        <f ca="1">_xludf.IFNA(_xlfn.XLOOKUP(C246,'00_SKU_Master'!$B$2:$B$378,'00_SKU_Master'!$F$2:$F$378,0)*AD246,"")</f>
        <v>#NAME?</v>
      </c>
      <c r="J244" s="552" t="e">
        <f ca="1">_xludf.IFNA(_xlfn.XLOOKUP(C246,'00_SKU_Master'!$B$2:$B$378,'00_SKU_Master'!$F$2:$F$378,0)*AE246,"")</f>
        <v>#NAME?</v>
      </c>
      <c r="K244" s="553" t="e">
        <f t="shared" ca="1" si="19"/>
        <v>#NAME?</v>
      </c>
      <c r="L244" s="187" t="e">
        <f>_xlfn.XLOOKUP(C246,'00_SKU_Master'!$B$2:$B$378,'00_SKU_Master'!K:K)</f>
        <v>#VALUE!</v>
      </c>
      <c r="M244" s="14">
        <f t="shared" si="20"/>
        <v>200736</v>
      </c>
      <c r="N244" s="147" t="e">
        <f ca="1">_xludf.IFNA(D246/_xlfn.XLOOKUP($M246,'00_SKU_Master'!$B$2:$B$378,'00_SKU_Master'!$M$2:$M$378,0)/$M$2,"0")</f>
        <v>#NAME?</v>
      </c>
      <c r="O244" s="147" t="e">
        <f ca="1">_xludf.IFNA(E246/_xlfn.XLOOKUP($M246,'00_SKU_Master'!$B$2:$B$378,'00_SKU_Master'!$M$2:$M$378,0)/$M$2,"0")</f>
        <v>#NAME?</v>
      </c>
      <c r="P244" s="147" t="e">
        <f ca="1">_xludf.IFNA(F246/_xlfn.XLOOKUP($M246,'00_SKU_Master'!$B$2:$B$378,'00_SKU_Master'!$M$2:$M$378,0)/$M$2,"0")</f>
        <v>#NAME?</v>
      </c>
      <c r="Q244" s="147" t="e">
        <f ca="1">_xludf.IFNA(G246/_xlfn.XLOOKUP($M246,'00_SKU_Master'!$B$2:$B$378,'00_SKU_Master'!$M$2:$M$378,0)/$M$2,"0")</f>
        <v>#NAME?</v>
      </c>
      <c r="R244" s="147" t="e">
        <f ca="1">_xludf.IFNA(H246/_xlfn.XLOOKUP($M246,'00_SKU_Master'!$B$2:$B$378,'00_SKU_Master'!$M$2:$M$378,0)/$M$2,"0")</f>
        <v>#NAME?</v>
      </c>
      <c r="S244" s="147" t="e">
        <f ca="1">_xludf.IFNA(I246/_xlfn.XLOOKUP($M246,'00_SKU_Master'!$B$2:$B$378,'00_SKU_Master'!$M$2:$M$378,0)/$M$2,"0")</f>
        <v>#NAME?</v>
      </c>
      <c r="T244" s="147" t="e">
        <f ca="1">_xludf.IFNA(J246/_xlfn.XLOOKUP($M246,'00_SKU_Master'!$B$2:$B$378,'00_SKU_Master'!$M$2:$M$378,0)/$M$2,"0")</f>
        <v>#NAME?</v>
      </c>
      <c r="U244" s="147" t="e">
        <f t="shared" ca="1" si="21"/>
        <v>#NAME?</v>
      </c>
      <c r="V244" s="4"/>
      <c r="W244" s="4" t="e">
        <f>_xlfn.XLOOKUP(M246,'00_SKU_Master'!$B$2:$B$378,'00_SKU_Master'!D:D)</f>
        <v>#VALUE!</v>
      </c>
      <c r="X244" s="14">
        <f>'05_Daily_Orders'!B245</f>
        <v>200726</v>
      </c>
      <c r="Y244" s="554"/>
      <c r="Z244" s="555"/>
      <c r="AA244" s="555"/>
      <c r="AB244" s="555"/>
      <c r="AC244" s="555">
        <v>0</v>
      </c>
      <c r="AD244" s="555">
        <v>0</v>
      </c>
      <c r="AE244" s="555">
        <v>0</v>
      </c>
      <c r="AF244" s="553">
        <f t="shared" si="22"/>
        <v>0</v>
      </c>
      <c r="AQ244" s="23">
        <v>0</v>
      </c>
      <c r="AR244" s="23">
        <v>0</v>
      </c>
      <c r="AS244" s="23">
        <f t="shared" si="23"/>
        <v>181</v>
      </c>
    </row>
    <row r="245" spans="1:45">
      <c r="A245" s="138" t="str">
        <f>_xlfn.XLOOKUP(C247,'00_SKU_Master'!$B$2:$B$378,'00_SKU_Master'!$C$2:$C$378)</f>
        <v>61050F</v>
      </c>
      <c r="B245" s="138"/>
      <c r="C245" s="138">
        <f t="shared" si="18"/>
        <v>200737</v>
      </c>
      <c r="D245" s="552" t="e">
        <f ca="1">_xludf.IFNA(_xlfn.XLOOKUP(C247,'00_SKU_Master'!$B$2:$B$378,'00_SKU_Master'!$F$2:$F$378,0)*Y247,"")</f>
        <v>#NAME?</v>
      </c>
      <c r="E245" s="552" t="e">
        <f ca="1">_xludf.IFNA(_xlfn.XLOOKUP(C247,'00_SKU_Master'!$B$2:$B$378,'00_SKU_Master'!$F$2:$F$378,0)*Z247,"")</f>
        <v>#NAME?</v>
      </c>
      <c r="F245" s="552" t="e">
        <f ca="1">_xludf.IFNA(_xlfn.XLOOKUP(C247,'00_SKU_Master'!$B$2:$B$378,'00_SKU_Master'!$F$2:$F$378,0)*AA247,"")</f>
        <v>#NAME?</v>
      </c>
      <c r="G245" s="552" t="e">
        <f ca="1">_xludf.IFNA(_xlfn.XLOOKUP(C247,'00_SKU_Master'!$B$2:$B$378,'00_SKU_Master'!$F$2:$F$378,0)*AB247,"")</f>
        <v>#NAME?</v>
      </c>
      <c r="H245" s="552" t="e">
        <f ca="1">_xludf.IFNA(_xlfn.XLOOKUP(C247,'00_SKU_Master'!$B$2:$B$378,'00_SKU_Master'!$F$2:$F$378,0)*AC247,"")</f>
        <v>#NAME?</v>
      </c>
      <c r="I245" s="552" t="e">
        <f ca="1">_xludf.IFNA(_xlfn.XLOOKUP(C247,'00_SKU_Master'!$B$2:$B$378,'00_SKU_Master'!$F$2:$F$378,0)*AD247,"")</f>
        <v>#NAME?</v>
      </c>
      <c r="J245" s="552" t="e">
        <f ca="1">_xludf.IFNA(_xlfn.XLOOKUP(C247,'00_SKU_Master'!$B$2:$B$378,'00_SKU_Master'!$F$2:$F$378,0)*AE247,"")</f>
        <v>#NAME?</v>
      </c>
      <c r="K245" s="553" t="e">
        <f t="shared" ca="1" si="19"/>
        <v>#NAME?</v>
      </c>
      <c r="L245" s="187" t="e">
        <f>_xlfn.XLOOKUP(C247,'00_SKU_Master'!$B$2:$B$378,'00_SKU_Master'!K:K)</f>
        <v>#VALUE!</v>
      </c>
      <c r="M245" s="14">
        <f t="shared" si="20"/>
        <v>200737</v>
      </c>
      <c r="N245" s="147" t="e">
        <f ca="1">_xludf.IFNA(D247/_xlfn.XLOOKUP($M247,'00_SKU_Master'!$B$2:$B$378,'00_SKU_Master'!$M$2:$M$378,0)/$M$2,"0")</f>
        <v>#NAME?</v>
      </c>
      <c r="O245" s="147" t="e">
        <f ca="1">_xludf.IFNA(E247/_xlfn.XLOOKUP($M247,'00_SKU_Master'!$B$2:$B$378,'00_SKU_Master'!$M$2:$M$378,0)/$M$2,"0")</f>
        <v>#NAME?</v>
      </c>
      <c r="P245" s="147" t="e">
        <f ca="1">_xludf.IFNA(F247/_xlfn.XLOOKUP($M247,'00_SKU_Master'!$B$2:$B$378,'00_SKU_Master'!$M$2:$M$378,0)/$M$2,"0")</f>
        <v>#NAME?</v>
      </c>
      <c r="Q245" s="147" t="e">
        <f ca="1">_xludf.IFNA(G247/_xlfn.XLOOKUP($M247,'00_SKU_Master'!$B$2:$B$378,'00_SKU_Master'!$M$2:$M$378,0)/$M$2,"0")</f>
        <v>#NAME?</v>
      </c>
      <c r="R245" s="147" t="e">
        <f ca="1">_xludf.IFNA(H247/_xlfn.XLOOKUP($M247,'00_SKU_Master'!$B$2:$B$378,'00_SKU_Master'!$M$2:$M$378,0)/$M$2,"0")</f>
        <v>#NAME?</v>
      </c>
      <c r="S245" s="147" t="e">
        <f ca="1">_xludf.IFNA(I247/_xlfn.XLOOKUP($M247,'00_SKU_Master'!$B$2:$B$378,'00_SKU_Master'!$M$2:$M$378,0)/$M$2,"0")</f>
        <v>#NAME?</v>
      </c>
      <c r="T245" s="147" t="e">
        <f ca="1">_xludf.IFNA(J247/_xlfn.XLOOKUP($M247,'00_SKU_Master'!$B$2:$B$378,'00_SKU_Master'!$M$2:$M$378,0)/$M$2,"0")</f>
        <v>#NAME?</v>
      </c>
      <c r="U245" s="147" t="e">
        <f t="shared" ca="1" si="21"/>
        <v>#NAME?</v>
      </c>
      <c r="V245" s="4"/>
      <c r="W245" s="4" t="e">
        <f>_xlfn.XLOOKUP(M247,'00_SKU_Master'!$B$2:$B$378,'00_SKU_Master'!D:D)</f>
        <v>#VALUE!</v>
      </c>
      <c r="X245" s="14">
        <f>'05_Daily_Orders'!B246</f>
        <v>200727</v>
      </c>
      <c r="Y245" s="554"/>
      <c r="Z245" s="555"/>
      <c r="AA245" s="555"/>
      <c r="AB245" s="555"/>
      <c r="AC245" s="555">
        <v>0</v>
      </c>
      <c r="AD245" s="555">
        <v>0</v>
      </c>
      <c r="AE245" s="555">
        <v>0</v>
      </c>
      <c r="AF245" s="553">
        <f t="shared" si="22"/>
        <v>0</v>
      </c>
      <c r="AQ245" s="23">
        <v>0</v>
      </c>
      <c r="AR245" s="23">
        <v>0</v>
      </c>
      <c r="AS245" s="23">
        <f t="shared" si="23"/>
        <v>0</v>
      </c>
    </row>
    <row r="246" spans="1:45">
      <c r="A246" s="138">
        <f>_xlfn.XLOOKUP(C248,'00_SKU_Master'!$B$2:$B$378,'00_SKU_Master'!$C$2:$C$378)</f>
        <v>61077</v>
      </c>
      <c r="B246" s="138"/>
      <c r="C246" s="138">
        <f t="shared" si="18"/>
        <v>200738</v>
      </c>
      <c r="D246" s="552" t="e">
        <f ca="1">_xludf.IFNA(_xlfn.XLOOKUP(C248,'00_SKU_Master'!$B$2:$B$378,'00_SKU_Master'!$F$2:$F$378,0)*Y248,"")</f>
        <v>#NAME?</v>
      </c>
      <c r="E246" s="552" t="e">
        <f ca="1">_xludf.IFNA(_xlfn.XLOOKUP(C248,'00_SKU_Master'!$B$2:$B$378,'00_SKU_Master'!$F$2:$F$378,0)*Z248,"")</f>
        <v>#NAME?</v>
      </c>
      <c r="F246" s="552" t="e">
        <f ca="1">_xludf.IFNA(_xlfn.XLOOKUP(C248,'00_SKU_Master'!$B$2:$B$378,'00_SKU_Master'!$F$2:$F$378,0)*AA248,"")</f>
        <v>#NAME?</v>
      </c>
      <c r="G246" s="552" t="e">
        <f ca="1">_xludf.IFNA(_xlfn.XLOOKUP(C248,'00_SKU_Master'!$B$2:$B$378,'00_SKU_Master'!$F$2:$F$378,0)*AB248,"")</f>
        <v>#NAME?</v>
      </c>
      <c r="H246" s="552" t="e">
        <f ca="1">_xludf.IFNA(_xlfn.XLOOKUP(C248,'00_SKU_Master'!$B$2:$B$378,'00_SKU_Master'!$F$2:$F$378,0)*AC248,"")</f>
        <v>#NAME?</v>
      </c>
      <c r="I246" s="552" t="e">
        <f ca="1">_xludf.IFNA(_xlfn.XLOOKUP(C248,'00_SKU_Master'!$B$2:$B$378,'00_SKU_Master'!$F$2:$F$378,0)*AD248,"")</f>
        <v>#NAME?</v>
      </c>
      <c r="J246" s="552" t="e">
        <f ca="1">_xludf.IFNA(_xlfn.XLOOKUP(C248,'00_SKU_Master'!$B$2:$B$378,'00_SKU_Master'!$F$2:$F$378,0)*AE248,"")</f>
        <v>#NAME?</v>
      </c>
      <c r="K246" s="553" t="e">
        <f t="shared" ca="1" si="19"/>
        <v>#NAME?</v>
      </c>
      <c r="L246" s="187" t="e">
        <f>_xlfn.XLOOKUP(C248,'00_SKU_Master'!$B$2:$B$378,'00_SKU_Master'!K:K)</f>
        <v>#VALUE!</v>
      </c>
      <c r="M246" s="14">
        <f t="shared" si="20"/>
        <v>200738</v>
      </c>
      <c r="N246" s="147" t="e">
        <f ca="1">_xludf.IFNA(D248/_xlfn.XLOOKUP($M248,'00_SKU_Master'!$B$2:$B$378,'00_SKU_Master'!$M$2:$M$378,0)/$M$2,"0")</f>
        <v>#NAME?</v>
      </c>
      <c r="O246" s="147" t="e">
        <f ca="1">_xludf.IFNA(E248/_xlfn.XLOOKUP($M248,'00_SKU_Master'!$B$2:$B$378,'00_SKU_Master'!$M$2:$M$378,0)/$M$2,"0")</f>
        <v>#NAME?</v>
      </c>
      <c r="P246" s="147" t="e">
        <f ca="1">_xludf.IFNA(F248/_xlfn.XLOOKUP($M248,'00_SKU_Master'!$B$2:$B$378,'00_SKU_Master'!$M$2:$M$378,0)/$M$2,"0")</f>
        <v>#NAME?</v>
      </c>
      <c r="Q246" s="147" t="e">
        <f ca="1">_xludf.IFNA(G248/_xlfn.XLOOKUP($M248,'00_SKU_Master'!$B$2:$B$378,'00_SKU_Master'!$M$2:$M$378,0)/$M$2,"0")</f>
        <v>#NAME?</v>
      </c>
      <c r="R246" s="147" t="e">
        <f ca="1">_xludf.IFNA(H248/_xlfn.XLOOKUP($M248,'00_SKU_Master'!$B$2:$B$378,'00_SKU_Master'!$M$2:$M$378,0)/$M$2,"0")</f>
        <v>#NAME?</v>
      </c>
      <c r="S246" s="147" t="e">
        <f ca="1">_xludf.IFNA(I248/_xlfn.XLOOKUP($M248,'00_SKU_Master'!$B$2:$B$378,'00_SKU_Master'!$M$2:$M$378,0)/$M$2,"0")</f>
        <v>#NAME?</v>
      </c>
      <c r="T246" s="147" t="e">
        <f ca="1">_xludf.IFNA(J248/_xlfn.XLOOKUP($M248,'00_SKU_Master'!$B$2:$B$378,'00_SKU_Master'!$M$2:$M$378,0)/$M$2,"0")</f>
        <v>#NAME?</v>
      </c>
      <c r="U246" s="147" t="e">
        <f t="shared" ca="1" si="21"/>
        <v>#NAME?</v>
      </c>
      <c r="V246" s="4"/>
      <c r="W246" s="4" t="e">
        <f>_xlfn.XLOOKUP(M248,'00_SKU_Master'!$B$2:$B$378,'00_SKU_Master'!D:D)</f>
        <v>#VALUE!</v>
      </c>
      <c r="X246" s="14">
        <f>'05_Daily_Orders'!B247</f>
        <v>200736</v>
      </c>
      <c r="Y246" s="554"/>
      <c r="Z246" s="555"/>
      <c r="AA246" s="555"/>
      <c r="AB246" s="555"/>
      <c r="AC246" s="555">
        <v>0</v>
      </c>
      <c r="AD246" s="555">
        <v>0</v>
      </c>
      <c r="AE246" s="555">
        <v>0</v>
      </c>
      <c r="AF246" s="553">
        <f t="shared" si="22"/>
        <v>0</v>
      </c>
      <c r="AQ246" s="23">
        <v>0</v>
      </c>
      <c r="AR246" s="23">
        <v>181</v>
      </c>
      <c r="AS246" s="23">
        <f t="shared" si="23"/>
        <v>-29</v>
      </c>
    </row>
    <row r="247" spans="1:45">
      <c r="A247" s="138" t="str">
        <f>_xlfn.XLOOKUP(C249,'00_SKU_Master'!$B$2:$B$378,'00_SKU_Master'!$C$2:$C$378)</f>
        <v>61086F</v>
      </c>
      <c r="B247" s="138"/>
      <c r="C247" s="138">
        <f t="shared" si="18"/>
        <v>200745</v>
      </c>
      <c r="D247" s="552" t="e">
        <f ca="1">_xludf.IFNA(_xlfn.XLOOKUP(C249,'00_SKU_Master'!$B$2:$B$378,'00_SKU_Master'!$F$2:$F$378,0)*Y249,"")</f>
        <v>#NAME?</v>
      </c>
      <c r="E247" s="552" t="e">
        <f ca="1">_xludf.IFNA(_xlfn.XLOOKUP(C249,'00_SKU_Master'!$B$2:$B$378,'00_SKU_Master'!$F$2:$F$378,0)*Z249,"")</f>
        <v>#NAME?</v>
      </c>
      <c r="F247" s="552" t="e">
        <f ca="1">_xludf.IFNA(_xlfn.XLOOKUP(C249,'00_SKU_Master'!$B$2:$B$378,'00_SKU_Master'!$F$2:$F$378,0)*AA249,"")</f>
        <v>#NAME?</v>
      </c>
      <c r="G247" s="552" t="e">
        <f ca="1">_xludf.IFNA(_xlfn.XLOOKUP(C249,'00_SKU_Master'!$B$2:$B$378,'00_SKU_Master'!$F$2:$F$378,0)*AB249,"")</f>
        <v>#NAME?</v>
      </c>
      <c r="H247" s="552" t="e">
        <f ca="1">_xludf.IFNA(_xlfn.XLOOKUP(C249,'00_SKU_Master'!$B$2:$B$378,'00_SKU_Master'!$F$2:$F$378,0)*AC249,"")</f>
        <v>#NAME?</v>
      </c>
      <c r="I247" s="552" t="e">
        <f ca="1">_xludf.IFNA(_xlfn.XLOOKUP(C249,'00_SKU_Master'!$B$2:$B$378,'00_SKU_Master'!$F$2:$F$378,0)*AD249,"")</f>
        <v>#NAME?</v>
      </c>
      <c r="J247" s="552" t="e">
        <f ca="1">_xludf.IFNA(_xlfn.XLOOKUP(C249,'00_SKU_Master'!$B$2:$B$378,'00_SKU_Master'!$F$2:$F$378,0)*AE249,"")</f>
        <v>#NAME?</v>
      </c>
      <c r="K247" s="553" t="e">
        <f t="shared" ca="1" si="19"/>
        <v>#NAME?</v>
      </c>
      <c r="L247" s="187" t="e">
        <f>_xlfn.XLOOKUP(C249,'00_SKU_Master'!$B$2:$B$378,'00_SKU_Master'!K:K)</f>
        <v>#VALUE!</v>
      </c>
      <c r="M247" s="14">
        <f t="shared" si="20"/>
        <v>200745</v>
      </c>
      <c r="N247" s="147" t="e">
        <f ca="1">_xludf.IFNA(D249/_xlfn.XLOOKUP($M249,'00_SKU_Master'!$B$2:$B$378,'00_SKU_Master'!$M$2:$M$378,0)/$M$2,"0")</f>
        <v>#NAME?</v>
      </c>
      <c r="O247" s="147" t="e">
        <f ca="1">_xludf.IFNA(E249/_xlfn.XLOOKUP($M249,'00_SKU_Master'!$B$2:$B$378,'00_SKU_Master'!$M$2:$M$378,0)/$M$2,"0")</f>
        <v>#NAME?</v>
      </c>
      <c r="P247" s="147" t="e">
        <f ca="1">_xludf.IFNA(F249/_xlfn.XLOOKUP($M249,'00_SKU_Master'!$B$2:$B$378,'00_SKU_Master'!$M$2:$M$378,0)/$M$2,"0")</f>
        <v>#NAME?</v>
      </c>
      <c r="Q247" s="147" t="e">
        <f ca="1">_xludf.IFNA(G249/_xlfn.XLOOKUP($M249,'00_SKU_Master'!$B$2:$B$378,'00_SKU_Master'!$M$2:$M$378,0)/$M$2,"0")</f>
        <v>#NAME?</v>
      </c>
      <c r="R247" s="147" t="e">
        <f ca="1">_xludf.IFNA(H249/_xlfn.XLOOKUP($M249,'00_SKU_Master'!$B$2:$B$378,'00_SKU_Master'!$M$2:$M$378,0)/$M$2,"0")</f>
        <v>#NAME?</v>
      </c>
      <c r="S247" s="147" t="e">
        <f ca="1">_xludf.IFNA(I249/_xlfn.XLOOKUP($M249,'00_SKU_Master'!$B$2:$B$378,'00_SKU_Master'!$M$2:$M$378,0)/$M$2,"0")</f>
        <v>#NAME?</v>
      </c>
      <c r="T247" s="147" t="e">
        <f ca="1">_xludf.IFNA(J249/_xlfn.XLOOKUP($M249,'00_SKU_Master'!$B$2:$B$378,'00_SKU_Master'!$M$2:$M$378,0)/$M$2,"0")</f>
        <v>#NAME?</v>
      </c>
      <c r="U247" s="147" t="e">
        <f t="shared" ca="1" si="21"/>
        <v>#NAME?</v>
      </c>
      <c r="V247" s="4"/>
      <c r="W247" s="4" t="e">
        <f>_xlfn.XLOOKUP(M249,'00_SKU_Master'!$B$2:$B$378,'00_SKU_Master'!D:D)</f>
        <v>#VALUE!</v>
      </c>
      <c r="X247" s="14">
        <f>'05_Daily_Orders'!B248</f>
        <v>200737</v>
      </c>
      <c r="Y247" s="554"/>
      <c r="Z247" s="555"/>
      <c r="AA247" s="555"/>
      <c r="AB247" s="555"/>
      <c r="AC247" s="555">
        <v>0</v>
      </c>
      <c r="AD247" s="555">
        <v>0</v>
      </c>
      <c r="AE247" s="555">
        <v>0</v>
      </c>
      <c r="AF247" s="553">
        <f t="shared" si="22"/>
        <v>0</v>
      </c>
      <c r="AQ247" s="23">
        <v>0</v>
      </c>
      <c r="AR247" s="23">
        <v>0</v>
      </c>
      <c r="AS247" s="23">
        <f t="shared" si="23"/>
        <v>0</v>
      </c>
    </row>
    <row r="248" spans="1:45">
      <c r="A248" s="138">
        <f>_xlfn.XLOOKUP(C250,'00_SKU_Master'!$B$2:$B$378,'00_SKU_Master'!$C$2:$C$378)</f>
        <v>61072</v>
      </c>
      <c r="B248" s="138"/>
      <c r="C248" s="138">
        <f t="shared" si="18"/>
        <v>200746</v>
      </c>
      <c r="D248" s="552" t="e">
        <f ca="1">_xludf.IFNA(_xlfn.XLOOKUP(C250,'00_SKU_Master'!$B$2:$B$378,'00_SKU_Master'!$F$2:$F$378,0)*Y250,"")</f>
        <v>#NAME?</v>
      </c>
      <c r="E248" s="552" t="e">
        <f ca="1">_xludf.IFNA(_xlfn.XLOOKUP(C250,'00_SKU_Master'!$B$2:$B$378,'00_SKU_Master'!$F$2:$F$378,0)*Z250,"")</f>
        <v>#NAME?</v>
      </c>
      <c r="F248" s="552" t="e">
        <f ca="1">_xludf.IFNA(_xlfn.XLOOKUP(C250,'00_SKU_Master'!$B$2:$B$378,'00_SKU_Master'!$F$2:$F$378,0)*AA250,"")</f>
        <v>#NAME?</v>
      </c>
      <c r="G248" s="552" t="e">
        <f ca="1">_xludf.IFNA(_xlfn.XLOOKUP(C250,'00_SKU_Master'!$B$2:$B$378,'00_SKU_Master'!$F$2:$F$378,0)*AB250,"")</f>
        <v>#NAME?</v>
      </c>
      <c r="H248" s="552" t="e">
        <f ca="1">_xludf.IFNA(_xlfn.XLOOKUP(C250,'00_SKU_Master'!$B$2:$B$378,'00_SKU_Master'!$F$2:$F$378,0)*AC250,"")</f>
        <v>#NAME?</v>
      </c>
      <c r="I248" s="552" t="e">
        <f ca="1">_xludf.IFNA(_xlfn.XLOOKUP(C250,'00_SKU_Master'!$B$2:$B$378,'00_SKU_Master'!$F$2:$F$378,0)*AD250,"")</f>
        <v>#NAME?</v>
      </c>
      <c r="J248" s="552" t="e">
        <f ca="1">_xludf.IFNA(_xlfn.XLOOKUP(C250,'00_SKU_Master'!$B$2:$B$378,'00_SKU_Master'!$F$2:$F$378,0)*AE250,"")</f>
        <v>#NAME?</v>
      </c>
      <c r="K248" s="553" t="e">
        <f t="shared" ca="1" si="19"/>
        <v>#NAME?</v>
      </c>
      <c r="L248" s="187" t="e">
        <f>_xlfn.XLOOKUP(C250,'00_SKU_Master'!$B$2:$B$378,'00_SKU_Master'!K:K)</f>
        <v>#VALUE!</v>
      </c>
      <c r="M248" s="14">
        <f t="shared" si="20"/>
        <v>200746</v>
      </c>
      <c r="N248" s="147" t="e">
        <f ca="1">_xludf.IFNA(D250/_xlfn.XLOOKUP($M250,'00_SKU_Master'!$B$2:$B$378,'00_SKU_Master'!$M$2:$M$378,0)/$M$2,"0")</f>
        <v>#NAME?</v>
      </c>
      <c r="O248" s="147" t="e">
        <f ca="1">_xludf.IFNA(E250/_xlfn.XLOOKUP($M250,'00_SKU_Master'!$B$2:$B$378,'00_SKU_Master'!$M$2:$M$378,0)/$M$2,"0")</f>
        <v>#NAME?</v>
      </c>
      <c r="P248" s="147" t="e">
        <f ca="1">_xludf.IFNA(F250/_xlfn.XLOOKUP($M250,'00_SKU_Master'!$B$2:$B$378,'00_SKU_Master'!$M$2:$M$378,0)/$M$2,"0")</f>
        <v>#NAME?</v>
      </c>
      <c r="Q248" s="147" t="e">
        <f ca="1">_xludf.IFNA(G250/_xlfn.XLOOKUP($M250,'00_SKU_Master'!$B$2:$B$378,'00_SKU_Master'!$M$2:$M$378,0)/$M$2,"0")</f>
        <v>#NAME?</v>
      </c>
      <c r="R248" s="147" t="e">
        <f ca="1">_xludf.IFNA(H250/_xlfn.XLOOKUP($M250,'00_SKU_Master'!$B$2:$B$378,'00_SKU_Master'!$M$2:$M$378,0)/$M$2,"0")</f>
        <v>#NAME?</v>
      </c>
      <c r="S248" s="147" t="e">
        <f ca="1">_xludf.IFNA(I250/_xlfn.XLOOKUP($M250,'00_SKU_Master'!$B$2:$B$378,'00_SKU_Master'!$M$2:$M$378,0)/$M$2,"0")</f>
        <v>#NAME?</v>
      </c>
      <c r="T248" s="147" t="e">
        <f ca="1">_xludf.IFNA(J250/_xlfn.XLOOKUP($M250,'00_SKU_Master'!$B$2:$B$378,'00_SKU_Master'!$M$2:$M$378,0)/$M$2,"0")</f>
        <v>#NAME?</v>
      </c>
      <c r="U248" s="147" t="e">
        <f t="shared" ca="1" si="21"/>
        <v>#NAME?</v>
      </c>
      <c r="V248" s="4"/>
      <c r="W248" s="4" t="e">
        <f>_xlfn.XLOOKUP(M250,'00_SKU_Master'!$B$2:$B$378,'00_SKU_Master'!D:D)</f>
        <v>#VALUE!</v>
      </c>
      <c r="X248" s="14">
        <f>'05_Daily_Orders'!B249</f>
        <v>200738</v>
      </c>
      <c r="Y248" s="554"/>
      <c r="Z248" s="555"/>
      <c r="AA248" s="555"/>
      <c r="AB248" s="555"/>
      <c r="AC248" s="555">
        <v>0</v>
      </c>
      <c r="AD248" s="555">
        <v>0</v>
      </c>
      <c r="AE248" s="555">
        <v>0</v>
      </c>
      <c r="AF248" s="553">
        <f t="shared" si="22"/>
        <v>0</v>
      </c>
      <c r="AQ248" s="23">
        <v>29</v>
      </c>
      <c r="AR248" s="23">
        <v>0</v>
      </c>
      <c r="AS248" s="23">
        <f t="shared" si="23"/>
        <v>0</v>
      </c>
    </row>
    <row r="249" spans="1:45">
      <c r="A249" s="138">
        <f>_xlfn.XLOOKUP(C251,'00_SKU_Master'!$B$2:$B$378,'00_SKU_Master'!$C$2:$C$378)</f>
        <v>61078</v>
      </c>
      <c r="B249" s="138"/>
      <c r="C249" s="138">
        <f t="shared" si="18"/>
        <v>200747</v>
      </c>
      <c r="D249" s="552" t="e">
        <f ca="1">_xludf.IFNA(_xlfn.XLOOKUP(C251,'00_SKU_Master'!$B$2:$B$378,'00_SKU_Master'!$F$2:$F$378,0)*Y251,"")</f>
        <v>#NAME?</v>
      </c>
      <c r="E249" s="552" t="e">
        <f ca="1">_xludf.IFNA(_xlfn.XLOOKUP(C251,'00_SKU_Master'!$B$2:$B$378,'00_SKU_Master'!$F$2:$F$378,0)*Z251,"")</f>
        <v>#NAME?</v>
      </c>
      <c r="F249" s="552" t="e">
        <f ca="1">_xludf.IFNA(_xlfn.XLOOKUP(C251,'00_SKU_Master'!$B$2:$B$378,'00_SKU_Master'!$F$2:$F$378,0)*AA251,"")</f>
        <v>#NAME?</v>
      </c>
      <c r="G249" s="552" t="e">
        <f ca="1">_xludf.IFNA(_xlfn.XLOOKUP(C251,'00_SKU_Master'!$B$2:$B$378,'00_SKU_Master'!$F$2:$F$378,0)*AB251,"")</f>
        <v>#NAME?</v>
      </c>
      <c r="H249" s="552" t="e">
        <f ca="1">_xludf.IFNA(_xlfn.XLOOKUP(C251,'00_SKU_Master'!$B$2:$B$378,'00_SKU_Master'!$F$2:$F$378,0)*AC251,"")</f>
        <v>#NAME?</v>
      </c>
      <c r="I249" s="552" t="e">
        <f ca="1">_xludf.IFNA(_xlfn.XLOOKUP(C251,'00_SKU_Master'!$B$2:$B$378,'00_SKU_Master'!$F$2:$F$378,0)*AD251,"")</f>
        <v>#NAME?</v>
      </c>
      <c r="J249" s="552" t="e">
        <f ca="1">_xludf.IFNA(_xlfn.XLOOKUP(C251,'00_SKU_Master'!$B$2:$B$378,'00_SKU_Master'!$F$2:$F$378,0)*AE251,"")</f>
        <v>#NAME?</v>
      </c>
      <c r="K249" s="553" t="e">
        <f t="shared" ca="1" si="19"/>
        <v>#NAME?</v>
      </c>
      <c r="L249" s="187" t="e">
        <f>_xlfn.XLOOKUP(C251,'00_SKU_Master'!$B$2:$B$378,'00_SKU_Master'!K:K)</f>
        <v>#VALUE!</v>
      </c>
      <c r="M249" s="14">
        <f t="shared" si="20"/>
        <v>200747</v>
      </c>
      <c r="N249" s="147" t="e">
        <f ca="1">_xludf.IFNA(D251/_xlfn.XLOOKUP($M251,'00_SKU_Master'!$B$2:$B$378,'00_SKU_Master'!$M$2:$M$378,0)/$M$2,"0")</f>
        <v>#NAME?</v>
      </c>
      <c r="O249" s="147" t="e">
        <f ca="1">_xludf.IFNA(E251/_xlfn.XLOOKUP($M251,'00_SKU_Master'!$B$2:$B$378,'00_SKU_Master'!$M$2:$M$378,0)/$M$2,"0")</f>
        <v>#NAME?</v>
      </c>
      <c r="P249" s="147" t="e">
        <f ca="1">_xludf.IFNA(F251/_xlfn.XLOOKUP($M251,'00_SKU_Master'!$B$2:$B$378,'00_SKU_Master'!$M$2:$M$378,0)/$M$2,"0")</f>
        <v>#NAME?</v>
      </c>
      <c r="Q249" s="147" t="e">
        <f ca="1">_xludf.IFNA(G251/_xlfn.XLOOKUP($M251,'00_SKU_Master'!$B$2:$B$378,'00_SKU_Master'!$M$2:$M$378,0)/$M$2,"0")</f>
        <v>#NAME?</v>
      </c>
      <c r="R249" s="147" t="e">
        <f ca="1">_xludf.IFNA(H251/_xlfn.XLOOKUP($M251,'00_SKU_Master'!$B$2:$B$378,'00_SKU_Master'!$M$2:$M$378,0)/$M$2,"0")</f>
        <v>#NAME?</v>
      </c>
      <c r="S249" s="147" t="e">
        <f ca="1">_xludf.IFNA(I251/_xlfn.XLOOKUP($M251,'00_SKU_Master'!$B$2:$B$378,'00_SKU_Master'!$M$2:$M$378,0)/$M$2,"0")</f>
        <v>#NAME?</v>
      </c>
      <c r="T249" s="147" t="e">
        <f ca="1">_xludf.IFNA(J251/_xlfn.XLOOKUP($M251,'00_SKU_Master'!$B$2:$B$378,'00_SKU_Master'!$M$2:$M$378,0)/$M$2,"0")</f>
        <v>#NAME?</v>
      </c>
      <c r="U249" s="147" t="e">
        <f t="shared" ca="1" si="21"/>
        <v>#NAME?</v>
      </c>
      <c r="V249" s="4"/>
      <c r="W249" s="4" t="e">
        <f>_xlfn.XLOOKUP(M251,'00_SKU_Master'!$B$2:$B$378,'00_SKU_Master'!D:D)</f>
        <v>#VALUE!</v>
      </c>
      <c r="X249" s="14">
        <f>'05_Daily_Orders'!B250</f>
        <v>200745</v>
      </c>
      <c r="Y249" s="554"/>
      <c r="Z249" s="555"/>
      <c r="AA249" s="555"/>
      <c r="AB249" s="555"/>
      <c r="AC249" s="555">
        <v>0</v>
      </c>
      <c r="AD249" s="555">
        <v>0</v>
      </c>
      <c r="AE249" s="555">
        <v>0</v>
      </c>
      <c r="AF249" s="553">
        <f t="shared" si="22"/>
        <v>0</v>
      </c>
      <c r="AQ249" s="23">
        <v>0</v>
      </c>
      <c r="AR249" s="23">
        <v>0</v>
      </c>
      <c r="AS249" s="23">
        <f t="shared" si="23"/>
        <v>0</v>
      </c>
    </row>
    <row r="250" spans="1:45">
      <c r="A250" s="138" t="str">
        <f>_xlfn.XLOOKUP(C252,'00_SKU_Master'!$B$2:$B$378,'00_SKU_Master'!$C$2:$C$378)</f>
        <v>61050C</v>
      </c>
      <c r="B250" s="138"/>
      <c r="C250" s="138">
        <f t="shared" si="18"/>
        <v>200748</v>
      </c>
      <c r="D250" s="552" t="e">
        <f ca="1">_xludf.IFNA(_xlfn.XLOOKUP(C252,'00_SKU_Master'!$B$2:$B$378,'00_SKU_Master'!$F$2:$F$378,0)*Y252,"")</f>
        <v>#NAME?</v>
      </c>
      <c r="E250" s="552" t="e">
        <f ca="1">_xludf.IFNA(_xlfn.XLOOKUP(C252,'00_SKU_Master'!$B$2:$B$378,'00_SKU_Master'!$F$2:$F$378,0)*Z252,"")</f>
        <v>#NAME?</v>
      </c>
      <c r="F250" s="552" t="e">
        <f ca="1">_xludf.IFNA(_xlfn.XLOOKUP(C252,'00_SKU_Master'!$B$2:$B$378,'00_SKU_Master'!$F$2:$F$378,0)*AA252,"")</f>
        <v>#NAME?</v>
      </c>
      <c r="G250" s="552" t="e">
        <f ca="1">_xludf.IFNA(_xlfn.XLOOKUP(C252,'00_SKU_Master'!$B$2:$B$378,'00_SKU_Master'!$F$2:$F$378,0)*AB252,"")</f>
        <v>#NAME?</v>
      </c>
      <c r="H250" s="552" t="e">
        <f ca="1">_xludf.IFNA(_xlfn.XLOOKUP(C252,'00_SKU_Master'!$B$2:$B$378,'00_SKU_Master'!$F$2:$F$378,0)*AC252,"")</f>
        <v>#NAME?</v>
      </c>
      <c r="I250" s="552" t="e">
        <f ca="1">_xludf.IFNA(_xlfn.XLOOKUP(C252,'00_SKU_Master'!$B$2:$B$378,'00_SKU_Master'!$F$2:$F$378,0)*AD252,"")</f>
        <v>#NAME?</v>
      </c>
      <c r="J250" s="552" t="e">
        <f ca="1">_xludf.IFNA(_xlfn.XLOOKUP(C252,'00_SKU_Master'!$B$2:$B$378,'00_SKU_Master'!$F$2:$F$378,0)*AE252,"")</f>
        <v>#NAME?</v>
      </c>
      <c r="K250" s="553" t="e">
        <f t="shared" ca="1" si="19"/>
        <v>#NAME?</v>
      </c>
      <c r="L250" s="187" t="e">
        <f>_xlfn.XLOOKUP(C252,'00_SKU_Master'!$B$2:$B$378,'00_SKU_Master'!K:K)</f>
        <v>#VALUE!</v>
      </c>
      <c r="M250" s="14">
        <f t="shared" si="20"/>
        <v>200748</v>
      </c>
      <c r="N250" s="147" t="e">
        <f ca="1">_xludf.IFNA(D252/_xlfn.XLOOKUP($M252,'00_SKU_Master'!$B$2:$B$378,'00_SKU_Master'!$M$2:$M$378,0)/$M$2,"0")</f>
        <v>#NAME?</v>
      </c>
      <c r="O250" s="147" t="e">
        <f ca="1">_xludf.IFNA(E252/_xlfn.XLOOKUP($M252,'00_SKU_Master'!$B$2:$B$378,'00_SKU_Master'!$M$2:$M$378,0)/$M$2,"0")</f>
        <v>#NAME?</v>
      </c>
      <c r="P250" s="147" t="e">
        <f ca="1">_xludf.IFNA(F252/_xlfn.XLOOKUP($M252,'00_SKU_Master'!$B$2:$B$378,'00_SKU_Master'!$M$2:$M$378,0)/$M$2,"0")</f>
        <v>#NAME?</v>
      </c>
      <c r="Q250" s="147" t="e">
        <f ca="1">_xludf.IFNA(G252/_xlfn.XLOOKUP($M252,'00_SKU_Master'!$B$2:$B$378,'00_SKU_Master'!$M$2:$M$378,0)/$M$2,"0")</f>
        <v>#NAME?</v>
      </c>
      <c r="R250" s="147" t="e">
        <f ca="1">_xludf.IFNA(H252/_xlfn.XLOOKUP($M252,'00_SKU_Master'!$B$2:$B$378,'00_SKU_Master'!$M$2:$M$378,0)/$M$2,"0")</f>
        <v>#NAME?</v>
      </c>
      <c r="S250" s="147" t="e">
        <f ca="1">_xludf.IFNA(I252/_xlfn.XLOOKUP($M252,'00_SKU_Master'!$B$2:$B$378,'00_SKU_Master'!$M$2:$M$378,0)/$M$2,"0")</f>
        <v>#NAME?</v>
      </c>
      <c r="T250" s="147" t="e">
        <f ca="1">_xludf.IFNA(J252/_xlfn.XLOOKUP($M252,'00_SKU_Master'!$B$2:$B$378,'00_SKU_Master'!$M$2:$M$378,0)/$M$2,"0")</f>
        <v>#NAME?</v>
      </c>
      <c r="U250" s="147" t="e">
        <f t="shared" ca="1" si="21"/>
        <v>#NAME?</v>
      </c>
      <c r="V250" s="4"/>
      <c r="W250" s="4" t="e">
        <f>_xlfn.XLOOKUP(M252,'00_SKU_Master'!$B$2:$B$378,'00_SKU_Master'!D:D)</f>
        <v>#VALUE!</v>
      </c>
      <c r="X250" s="14">
        <f>'05_Daily_Orders'!B251</f>
        <v>200746</v>
      </c>
      <c r="Y250" s="554"/>
      <c r="Z250" s="555"/>
      <c r="AA250" s="555"/>
      <c r="AB250" s="555"/>
      <c r="AC250" s="555">
        <v>0</v>
      </c>
      <c r="AD250" s="555">
        <v>0</v>
      </c>
      <c r="AE250" s="555">
        <v>0</v>
      </c>
      <c r="AF250" s="553">
        <f t="shared" si="22"/>
        <v>0</v>
      </c>
      <c r="AQ250" s="23">
        <v>0</v>
      </c>
      <c r="AR250" s="23">
        <v>0</v>
      </c>
      <c r="AS250" s="23">
        <f t="shared" si="23"/>
        <v>0</v>
      </c>
    </row>
    <row r="251" spans="1:45">
      <c r="A251" s="138" t="str">
        <f>_xlfn.XLOOKUP(C253,'00_SKU_Master'!$B$2:$B$378,'00_SKU_Master'!$C$2:$C$378)</f>
        <v>61086C</v>
      </c>
      <c r="B251" s="138"/>
      <c r="C251" s="138">
        <f t="shared" si="18"/>
        <v>201851</v>
      </c>
      <c r="D251" s="552" t="e">
        <f ca="1">_xludf.IFNA(_xlfn.XLOOKUP(C253,'00_SKU_Master'!$B$2:$B$378,'00_SKU_Master'!$F$2:$F$378,0)*Y253,"")</f>
        <v>#NAME?</v>
      </c>
      <c r="E251" s="552" t="e">
        <f ca="1">_xludf.IFNA(_xlfn.XLOOKUP(C253,'00_SKU_Master'!$B$2:$B$378,'00_SKU_Master'!$F$2:$F$378,0)*Z253,"")</f>
        <v>#NAME?</v>
      </c>
      <c r="F251" s="552" t="e">
        <f ca="1">_xludf.IFNA(_xlfn.XLOOKUP(C253,'00_SKU_Master'!$B$2:$B$378,'00_SKU_Master'!$F$2:$F$378,0)*AA253,"")</f>
        <v>#NAME?</v>
      </c>
      <c r="G251" s="552" t="e">
        <f ca="1">_xludf.IFNA(_xlfn.XLOOKUP(C253,'00_SKU_Master'!$B$2:$B$378,'00_SKU_Master'!$F$2:$F$378,0)*AB253,"")</f>
        <v>#NAME?</v>
      </c>
      <c r="H251" s="552" t="e">
        <f ca="1">_xludf.IFNA(_xlfn.XLOOKUP(C253,'00_SKU_Master'!$B$2:$B$378,'00_SKU_Master'!$F$2:$F$378,0)*AC253,"")</f>
        <v>#NAME?</v>
      </c>
      <c r="I251" s="552" t="e">
        <f ca="1">_xludf.IFNA(_xlfn.XLOOKUP(C253,'00_SKU_Master'!$B$2:$B$378,'00_SKU_Master'!$F$2:$F$378,0)*AD253,"")</f>
        <v>#NAME?</v>
      </c>
      <c r="J251" s="552" t="e">
        <f ca="1">_xludf.IFNA(_xlfn.XLOOKUP(C253,'00_SKU_Master'!$B$2:$B$378,'00_SKU_Master'!$F$2:$F$378,0)*AE253,"")</f>
        <v>#NAME?</v>
      </c>
      <c r="K251" s="553" t="e">
        <f t="shared" ca="1" si="19"/>
        <v>#NAME?</v>
      </c>
      <c r="L251" s="187" t="e">
        <f>_xlfn.XLOOKUP(C253,'00_SKU_Master'!$B$2:$B$378,'00_SKU_Master'!K:K)</f>
        <v>#VALUE!</v>
      </c>
      <c r="M251" s="14">
        <f t="shared" si="20"/>
        <v>201851</v>
      </c>
      <c r="N251" s="147" t="e">
        <f ca="1">_xludf.IFNA(D253/_xlfn.XLOOKUP($M253,'00_SKU_Master'!$B$2:$B$378,'00_SKU_Master'!$M$2:$M$378,0)/$M$2,"0")</f>
        <v>#NAME?</v>
      </c>
      <c r="O251" s="147" t="e">
        <f ca="1">_xludf.IFNA(E253/_xlfn.XLOOKUP($M253,'00_SKU_Master'!$B$2:$B$378,'00_SKU_Master'!$M$2:$M$378,0)/$M$2,"0")</f>
        <v>#NAME?</v>
      </c>
      <c r="P251" s="147" t="e">
        <f ca="1">_xludf.IFNA(F253/_xlfn.XLOOKUP($M253,'00_SKU_Master'!$B$2:$B$378,'00_SKU_Master'!$M$2:$M$378,0)/$M$2,"0")</f>
        <v>#NAME?</v>
      </c>
      <c r="Q251" s="147" t="e">
        <f ca="1">_xludf.IFNA(G253/_xlfn.XLOOKUP($M253,'00_SKU_Master'!$B$2:$B$378,'00_SKU_Master'!$M$2:$M$378,0)/$M$2,"0")</f>
        <v>#NAME?</v>
      </c>
      <c r="R251" s="147" t="e">
        <f ca="1">_xludf.IFNA(H253/_xlfn.XLOOKUP($M253,'00_SKU_Master'!$B$2:$B$378,'00_SKU_Master'!$M$2:$M$378,0)/$M$2,"0")</f>
        <v>#NAME?</v>
      </c>
      <c r="S251" s="147" t="e">
        <f ca="1">_xludf.IFNA(I253/_xlfn.XLOOKUP($M253,'00_SKU_Master'!$B$2:$B$378,'00_SKU_Master'!$M$2:$M$378,0)/$M$2,"0")</f>
        <v>#NAME?</v>
      </c>
      <c r="T251" s="147" t="e">
        <f ca="1">_xludf.IFNA(J253/_xlfn.XLOOKUP($M253,'00_SKU_Master'!$B$2:$B$378,'00_SKU_Master'!$M$2:$M$378,0)/$M$2,"0")</f>
        <v>#NAME?</v>
      </c>
      <c r="U251" s="147" t="e">
        <f t="shared" ca="1" si="21"/>
        <v>#NAME?</v>
      </c>
      <c r="V251" s="4"/>
      <c r="W251" s="4" t="e">
        <f>_xlfn.XLOOKUP(M253,'00_SKU_Master'!$B$2:$B$378,'00_SKU_Master'!D:D)</f>
        <v>#VALUE!</v>
      </c>
      <c r="X251" s="14">
        <f>'05_Daily_Orders'!B252</f>
        <v>200747</v>
      </c>
      <c r="Y251" s="554"/>
      <c r="Z251" s="555"/>
      <c r="AA251" s="555"/>
      <c r="AB251" s="555"/>
      <c r="AC251" s="555">
        <v>0</v>
      </c>
      <c r="AD251" s="555">
        <v>0</v>
      </c>
      <c r="AE251" s="555">
        <v>0</v>
      </c>
      <c r="AF251" s="553">
        <f t="shared" si="22"/>
        <v>0</v>
      </c>
      <c r="AQ251" s="23">
        <v>0</v>
      </c>
      <c r="AR251" s="23">
        <v>0</v>
      </c>
      <c r="AS251" s="23">
        <f t="shared" si="23"/>
        <v>0</v>
      </c>
    </row>
    <row r="252" spans="1:45">
      <c r="A252" s="138">
        <f>_xlfn.XLOOKUP(C254,'00_SKU_Master'!$B$2:$B$378,'00_SKU_Master'!$C$2:$C$378)</f>
        <v>61072</v>
      </c>
      <c r="B252" s="138"/>
      <c r="C252" s="138">
        <f t="shared" si="18"/>
        <v>201853</v>
      </c>
      <c r="D252" s="552" t="e">
        <f ca="1">_xludf.IFNA(_xlfn.XLOOKUP(C254,'00_SKU_Master'!$B$2:$B$378,'00_SKU_Master'!$F$2:$F$378,0)*Y254,"")</f>
        <v>#NAME?</v>
      </c>
      <c r="E252" s="552" t="e">
        <f ca="1">_xludf.IFNA(_xlfn.XLOOKUP(C254,'00_SKU_Master'!$B$2:$B$378,'00_SKU_Master'!$F$2:$F$378,0)*Z254,"")</f>
        <v>#NAME?</v>
      </c>
      <c r="F252" s="552" t="e">
        <f ca="1">_xludf.IFNA(_xlfn.XLOOKUP(C254,'00_SKU_Master'!$B$2:$B$378,'00_SKU_Master'!$F$2:$F$378,0)*AA254,"")</f>
        <v>#NAME?</v>
      </c>
      <c r="G252" s="552" t="e">
        <f ca="1">_xludf.IFNA(_xlfn.XLOOKUP(C254,'00_SKU_Master'!$B$2:$B$378,'00_SKU_Master'!$F$2:$F$378,0)*AB254,"")</f>
        <v>#NAME?</v>
      </c>
      <c r="H252" s="552" t="e">
        <f ca="1">_xludf.IFNA(_xlfn.XLOOKUP(C254,'00_SKU_Master'!$B$2:$B$378,'00_SKU_Master'!$F$2:$F$378,0)*AC254,"")</f>
        <v>#NAME?</v>
      </c>
      <c r="I252" s="552" t="e">
        <f ca="1">_xludf.IFNA(_xlfn.XLOOKUP(C254,'00_SKU_Master'!$B$2:$B$378,'00_SKU_Master'!$F$2:$F$378,0)*AD254,"")</f>
        <v>#NAME?</v>
      </c>
      <c r="J252" s="552" t="e">
        <f ca="1">_xludf.IFNA(_xlfn.XLOOKUP(C254,'00_SKU_Master'!$B$2:$B$378,'00_SKU_Master'!$F$2:$F$378,0)*AE254,"")</f>
        <v>#NAME?</v>
      </c>
      <c r="K252" s="553" t="e">
        <f t="shared" ca="1" si="19"/>
        <v>#NAME?</v>
      </c>
      <c r="L252" s="187" t="e">
        <f>_xlfn.XLOOKUP(C254,'00_SKU_Master'!$B$2:$B$378,'00_SKU_Master'!K:K)</f>
        <v>#VALUE!</v>
      </c>
      <c r="M252" s="14">
        <f t="shared" si="20"/>
        <v>201853</v>
      </c>
      <c r="N252" s="147" t="e">
        <f ca="1">_xludf.IFNA(D254/_xlfn.XLOOKUP($M254,'00_SKU_Master'!$B$2:$B$378,'00_SKU_Master'!$M$2:$M$378,0)/$M$2,"0")</f>
        <v>#NAME?</v>
      </c>
      <c r="O252" s="147" t="e">
        <f ca="1">_xludf.IFNA(E254/_xlfn.XLOOKUP($M254,'00_SKU_Master'!$B$2:$B$378,'00_SKU_Master'!$M$2:$M$378,0)/$M$2,"0")</f>
        <v>#NAME?</v>
      </c>
      <c r="P252" s="147" t="e">
        <f ca="1">_xludf.IFNA(F254/_xlfn.XLOOKUP($M254,'00_SKU_Master'!$B$2:$B$378,'00_SKU_Master'!$M$2:$M$378,0)/$M$2,"0")</f>
        <v>#NAME?</v>
      </c>
      <c r="Q252" s="147" t="e">
        <f ca="1">_xludf.IFNA(G254/_xlfn.XLOOKUP($M254,'00_SKU_Master'!$B$2:$B$378,'00_SKU_Master'!$M$2:$M$378,0)/$M$2,"0")</f>
        <v>#NAME?</v>
      </c>
      <c r="R252" s="147" t="e">
        <f ca="1">_xludf.IFNA(H254/_xlfn.XLOOKUP($M254,'00_SKU_Master'!$B$2:$B$378,'00_SKU_Master'!$M$2:$M$378,0)/$M$2,"0")</f>
        <v>#NAME?</v>
      </c>
      <c r="S252" s="147" t="e">
        <f ca="1">_xludf.IFNA(I254/_xlfn.XLOOKUP($M254,'00_SKU_Master'!$B$2:$B$378,'00_SKU_Master'!$M$2:$M$378,0)/$M$2,"0")</f>
        <v>#NAME?</v>
      </c>
      <c r="T252" s="147" t="e">
        <f ca="1">_xludf.IFNA(J254/_xlfn.XLOOKUP($M254,'00_SKU_Master'!$B$2:$B$378,'00_SKU_Master'!$M$2:$M$378,0)/$M$2,"0")</f>
        <v>#NAME?</v>
      </c>
      <c r="U252" s="147" t="e">
        <f t="shared" ca="1" si="21"/>
        <v>#NAME?</v>
      </c>
      <c r="V252" s="4"/>
      <c r="W252" s="4" t="e">
        <f>_xlfn.XLOOKUP(M254,'00_SKU_Master'!$B$2:$B$378,'00_SKU_Master'!D:D)</f>
        <v>#VALUE!</v>
      </c>
      <c r="X252" s="14">
        <f>'05_Daily_Orders'!B253</f>
        <v>200748</v>
      </c>
      <c r="Y252" s="554"/>
      <c r="Z252" s="555"/>
      <c r="AA252" s="555"/>
      <c r="AB252" s="555"/>
      <c r="AC252" s="555">
        <v>0</v>
      </c>
      <c r="AD252" s="555">
        <v>0</v>
      </c>
      <c r="AE252" s="555">
        <v>0</v>
      </c>
      <c r="AF252" s="553">
        <f t="shared" si="22"/>
        <v>62</v>
      </c>
      <c r="AQ252" s="23">
        <v>0</v>
      </c>
      <c r="AR252" s="23">
        <v>0</v>
      </c>
      <c r="AS252" s="23">
        <f t="shared" si="23"/>
        <v>0</v>
      </c>
    </row>
    <row r="253" spans="1:45">
      <c r="A253" s="138">
        <f>_xlfn.XLOOKUP(C255,'00_SKU_Master'!$B$2:$B$378,'00_SKU_Master'!$C$2:$C$378)</f>
        <v>61014</v>
      </c>
      <c r="B253" s="138"/>
      <c r="C253" s="138">
        <f t="shared" si="18"/>
        <v>201854</v>
      </c>
      <c r="D253" s="552" t="e">
        <f ca="1">_xludf.IFNA(_xlfn.XLOOKUP(C255,'00_SKU_Master'!$B$2:$B$378,'00_SKU_Master'!$F$2:$F$378,0)*Y255,"")</f>
        <v>#NAME?</v>
      </c>
      <c r="E253" s="552" t="e">
        <f ca="1">_xludf.IFNA(_xlfn.XLOOKUP(C255,'00_SKU_Master'!$B$2:$B$378,'00_SKU_Master'!$F$2:$F$378,0)*Z255,"")</f>
        <v>#NAME?</v>
      </c>
      <c r="F253" s="552" t="e">
        <f ca="1">_xludf.IFNA(_xlfn.XLOOKUP(C255,'00_SKU_Master'!$B$2:$B$378,'00_SKU_Master'!$F$2:$F$378,0)*AA255,"")</f>
        <v>#NAME?</v>
      </c>
      <c r="G253" s="552" t="e">
        <f ca="1">_xludf.IFNA(_xlfn.XLOOKUP(C255,'00_SKU_Master'!$B$2:$B$378,'00_SKU_Master'!$F$2:$F$378,0)*AB255,"")</f>
        <v>#NAME?</v>
      </c>
      <c r="H253" s="552" t="e">
        <f ca="1">_xludf.IFNA(_xlfn.XLOOKUP(C255,'00_SKU_Master'!$B$2:$B$378,'00_SKU_Master'!$F$2:$F$378,0)*AC255,"")</f>
        <v>#NAME?</v>
      </c>
      <c r="I253" s="552" t="e">
        <f ca="1">_xludf.IFNA(_xlfn.XLOOKUP(C255,'00_SKU_Master'!$B$2:$B$378,'00_SKU_Master'!$F$2:$F$378,0)*AD255,"")</f>
        <v>#NAME?</v>
      </c>
      <c r="J253" s="552" t="e">
        <f ca="1">_xludf.IFNA(_xlfn.XLOOKUP(C255,'00_SKU_Master'!$B$2:$B$378,'00_SKU_Master'!$F$2:$F$378,0)*AE255,"")</f>
        <v>#NAME?</v>
      </c>
      <c r="K253" s="553" t="e">
        <f t="shared" ca="1" si="19"/>
        <v>#NAME?</v>
      </c>
      <c r="L253" s="187" t="e">
        <f>_xlfn.XLOOKUP(C255,'00_SKU_Master'!$B$2:$B$378,'00_SKU_Master'!K:K)</f>
        <v>#VALUE!</v>
      </c>
      <c r="M253" s="14">
        <f t="shared" si="20"/>
        <v>201854</v>
      </c>
      <c r="N253" s="147" t="e">
        <f ca="1">_xludf.IFNA(D255/_xlfn.XLOOKUP($M255,'00_SKU_Master'!$B$2:$B$378,'00_SKU_Master'!$M$2:$M$378,0)/$M$2,"0")</f>
        <v>#NAME?</v>
      </c>
      <c r="O253" s="147" t="e">
        <f ca="1">_xludf.IFNA(E255/_xlfn.XLOOKUP($M255,'00_SKU_Master'!$B$2:$B$378,'00_SKU_Master'!$M$2:$M$378,0)/$M$2,"0")</f>
        <v>#NAME?</v>
      </c>
      <c r="P253" s="147" t="e">
        <f ca="1">_xludf.IFNA(F255/_xlfn.XLOOKUP($M255,'00_SKU_Master'!$B$2:$B$378,'00_SKU_Master'!$M$2:$M$378,0)/$M$2,"0")</f>
        <v>#NAME?</v>
      </c>
      <c r="Q253" s="147" t="e">
        <f ca="1">_xludf.IFNA(G255/_xlfn.XLOOKUP($M255,'00_SKU_Master'!$B$2:$B$378,'00_SKU_Master'!$M$2:$M$378,0)/$M$2,"0")</f>
        <v>#NAME?</v>
      </c>
      <c r="R253" s="147" t="e">
        <f ca="1">_xludf.IFNA(H255/_xlfn.XLOOKUP($M255,'00_SKU_Master'!$B$2:$B$378,'00_SKU_Master'!$M$2:$M$378,0)/$M$2,"0")</f>
        <v>#NAME?</v>
      </c>
      <c r="S253" s="147" t="e">
        <f ca="1">_xludf.IFNA(I255/_xlfn.XLOOKUP($M255,'00_SKU_Master'!$B$2:$B$378,'00_SKU_Master'!$M$2:$M$378,0)/$M$2,"0")</f>
        <v>#NAME?</v>
      </c>
      <c r="T253" s="147" t="e">
        <f ca="1">_xludf.IFNA(J255/_xlfn.XLOOKUP($M255,'00_SKU_Master'!$B$2:$B$378,'00_SKU_Master'!$M$2:$M$378,0)/$M$2,"0")</f>
        <v>#NAME?</v>
      </c>
      <c r="U253" s="147" t="e">
        <f t="shared" ca="1" si="21"/>
        <v>#NAME?</v>
      </c>
      <c r="V253" s="4"/>
      <c r="W253" s="4" t="e">
        <f>_xlfn.XLOOKUP(M255,'00_SKU_Master'!$B$2:$B$378,'00_SKU_Master'!D:D)</f>
        <v>#VALUE!</v>
      </c>
      <c r="X253" s="14">
        <f>'05_Daily_Orders'!B254</f>
        <v>201851</v>
      </c>
      <c r="Y253" s="554"/>
      <c r="Z253" s="555"/>
      <c r="AA253" s="555"/>
      <c r="AB253" s="555"/>
      <c r="AC253" s="555">
        <v>0</v>
      </c>
      <c r="AD253" s="555">
        <v>0</v>
      </c>
      <c r="AE253" s="555">
        <v>0</v>
      </c>
      <c r="AF253" s="553">
        <f t="shared" si="22"/>
        <v>1711</v>
      </c>
      <c r="AQ253" s="23">
        <v>0</v>
      </c>
      <c r="AR253" s="23">
        <v>0</v>
      </c>
      <c r="AS253" s="23">
        <f t="shared" si="23"/>
        <v>0</v>
      </c>
    </row>
    <row r="254" spans="1:45">
      <c r="A254" s="138">
        <f>_xlfn.XLOOKUP(C256,'00_SKU_Master'!$B$2:$B$378,'00_SKU_Master'!$C$2:$C$378)</f>
        <v>61077</v>
      </c>
      <c r="B254" s="138"/>
      <c r="C254" s="138">
        <f t="shared" si="18"/>
        <v>201855</v>
      </c>
      <c r="D254" s="552" t="e">
        <f ca="1">_xludf.IFNA(_xlfn.XLOOKUP(C256,'00_SKU_Master'!$B$2:$B$378,'00_SKU_Master'!$F$2:$F$378,0)*Y256,"")</f>
        <v>#NAME?</v>
      </c>
      <c r="E254" s="552" t="e">
        <f ca="1">_xludf.IFNA(_xlfn.XLOOKUP(C256,'00_SKU_Master'!$B$2:$B$378,'00_SKU_Master'!$F$2:$F$378,0)*Z256,"")</f>
        <v>#NAME?</v>
      </c>
      <c r="F254" s="552" t="e">
        <f ca="1">_xludf.IFNA(_xlfn.XLOOKUP(C256,'00_SKU_Master'!$B$2:$B$378,'00_SKU_Master'!$F$2:$F$378,0)*AA256,"")</f>
        <v>#NAME?</v>
      </c>
      <c r="G254" s="552" t="e">
        <f ca="1">_xludf.IFNA(_xlfn.XLOOKUP(C256,'00_SKU_Master'!$B$2:$B$378,'00_SKU_Master'!$F$2:$F$378,0)*AB256,"")</f>
        <v>#NAME?</v>
      </c>
      <c r="H254" s="552" t="e">
        <f ca="1">_xludf.IFNA(_xlfn.XLOOKUP(C256,'00_SKU_Master'!$B$2:$B$378,'00_SKU_Master'!$F$2:$F$378,0)*AC256,"")</f>
        <v>#NAME?</v>
      </c>
      <c r="I254" s="552" t="e">
        <f ca="1">_xludf.IFNA(_xlfn.XLOOKUP(C256,'00_SKU_Master'!$B$2:$B$378,'00_SKU_Master'!$F$2:$F$378,0)*AD256,"")</f>
        <v>#NAME?</v>
      </c>
      <c r="J254" s="552" t="e">
        <f ca="1">_xludf.IFNA(_xlfn.XLOOKUP(C256,'00_SKU_Master'!$B$2:$B$378,'00_SKU_Master'!$F$2:$F$378,0)*AE256,"")</f>
        <v>#NAME?</v>
      </c>
      <c r="K254" s="553" t="e">
        <f t="shared" ca="1" si="19"/>
        <v>#NAME?</v>
      </c>
      <c r="L254" s="187" t="e">
        <f>_xlfn.XLOOKUP(C256,'00_SKU_Master'!$B$2:$B$378,'00_SKU_Master'!K:K)</f>
        <v>#VALUE!</v>
      </c>
      <c r="M254" s="14">
        <f t="shared" si="20"/>
        <v>201855</v>
      </c>
      <c r="N254" s="147" t="e">
        <f ca="1">_xludf.IFNA(D256/_xlfn.XLOOKUP($M256,'00_SKU_Master'!$B$2:$B$378,'00_SKU_Master'!$M$2:$M$378,0)/$M$2,"0")</f>
        <v>#NAME?</v>
      </c>
      <c r="O254" s="147" t="e">
        <f ca="1">_xludf.IFNA(E256/_xlfn.XLOOKUP($M256,'00_SKU_Master'!$B$2:$B$378,'00_SKU_Master'!$M$2:$M$378,0)/$M$2,"0")</f>
        <v>#NAME?</v>
      </c>
      <c r="P254" s="147" t="e">
        <f ca="1">_xludf.IFNA(F256/_xlfn.XLOOKUP($M256,'00_SKU_Master'!$B$2:$B$378,'00_SKU_Master'!$M$2:$M$378,0)/$M$2,"0")</f>
        <v>#NAME?</v>
      </c>
      <c r="Q254" s="147" t="e">
        <f ca="1">_xludf.IFNA(G256/_xlfn.XLOOKUP($M256,'00_SKU_Master'!$B$2:$B$378,'00_SKU_Master'!$M$2:$M$378,0)/$M$2,"0")</f>
        <v>#NAME?</v>
      </c>
      <c r="R254" s="147" t="e">
        <f ca="1">_xludf.IFNA(H256/_xlfn.XLOOKUP($M256,'00_SKU_Master'!$B$2:$B$378,'00_SKU_Master'!$M$2:$M$378,0)/$M$2,"0")</f>
        <v>#NAME?</v>
      </c>
      <c r="S254" s="147" t="e">
        <f ca="1">_xludf.IFNA(I256/_xlfn.XLOOKUP($M256,'00_SKU_Master'!$B$2:$B$378,'00_SKU_Master'!$M$2:$M$378,0)/$M$2,"0")</f>
        <v>#NAME?</v>
      </c>
      <c r="T254" s="147" t="e">
        <f ca="1">_xludf.IFNA(J256/_xlfn.XLOOKUP($M256,'00_SKU_Master'!$B$2:$B$378,'00_SKU_Master'!$M$2:$M$378,0)/$M$2,"0")</f>
        <v>#NAME?</v>
      </c>
      <c r="U254" s="147" t="e">
        <f t="shared" ca="1" si="21"/>
        <v>#NAME?</v>
      </c>
      <c r="V254" s="4"/>
      <c r="W254" s="4" t="e">
        <f>_xlfn.XLOOKUP(M256,'00_SKU_Master'!$B$2:$B$378,'00_SKU_Master'!D:D)</f>
        <v>#VALUE!</v>
      </c>
      <c r="X254" s="14">
        <f>'05_Daily_Orders'!B255</f>
        <v>201853</v>
      </c>
      <c r="Y254" s="554"/>
      <c r="Z254" s="555"/>
      <c r="AA254" s="555"/>
      <c r="AB254" s="555"/>
      <c r="AC254" s="555">
        <v>62</v>
      </c>
      <c r="AD254" s="555">
        <v>0</v>
      </c>
      <c r="AE254" s="555">
        <v>0</v>
      </c>
      <c r="AF254" s="553">
        <f t="shared" si="22"/>
        <v>0</v>
      </c>
      <c r="AQ254" s="23">
        <v>0</v>
      </c>
      <c r="AR254" s="23">
        <v>0</v>
      </c>
      <c r="AS254" s="23">
        <f t="shared" si="23"/>
        <v>0</v>
      </c>
    </row>
    <row r="255" spans="1:45">
      <c r="A255" s="138">
        <f>_xlfn.XLOOKUP(C257,'00_SKU_Master'!$B$2:$B$378,'00_SKU_Master'!$C$2:$C$378)</f>
        <v>61072</v>
      </c>
      <c r="B255" s="138"/>
      <c r="C255" s="138">
        <f t="shared" si="18"/>
        <v>201856</v>
      </c>
      <c r="D255" s="552" t="e">
        <f ca="1">_xludf.IFNA(_xlfn.XLOOKUP(C257,'00_SKU_Master'!$B$2:$B$378,'00_SKU_Master'!$F$2:$F$378,0)*Y257,"")</f>
        <v>#NAME?</v>
      </c>
      <c r="E255" s="552" t="e">
        <f ca="1">_xludf.IFNA(_xlfn.XLOOKUP(C257,'00_SKU_Master'!$B$2:$B$378,'00_SKU_Master'!$F$2:$F$378,0)*Z257,"")</f>
        <v>#NAME?</v>
      </c>
      <c r="F255" s="552" t="e">
        <f ca="1">_xludf.IFNA(_xlfn.XLOOKUP(C257,'00_SKU_Master'!$B$2:$B$378,'00_SKU_Master'!$F$2:$F$378,0)*AA257,"")</f>
        <v>#NAME?</v>
      </c>
      <c r="G255" s="552" t="e">
        <f ca="1">_xludf.IFNA(_xlfn.XLOOKUP(C257,'00_SKU_Master'!$B$2:$B$378,'00_SKU_Master'!$F$2:$F$378,0)*AB257,"")</f>
        <v>#NAME?</v>
      </c>
      <c r="H255" s="552" t="e">
        <f ca="1">_xludf.IFNA(_xlfn.XLOOKUP(C257,'00_SKU_Master'!$B$2:$B$378,'00_SKU_Master'!$F$2:$F$378,0)*AC257,"")</f>
        <v>#NAME?</v>
      </c>
      <c r="I255" s="552" t="e">
        <f ca="1">_xludf.IFNA(_xlfn.XLOOKUP(C257,'00_SKU_Master'!$B$2:$B$378,'00_SKU_Master'!$F$2:$F$378,0)*AD257,"")</f>
        <v>#NAME?</v>
      </c>
      <c r="J255" s="552" t="e">
        <f ca="1">_xludf.IFNA(_xlfn.XLOOKUP(C257,'00_SKU_Master'!$B$2:$B$378,'00_SKU_Master'!$F$2:$F$378,0)*AE257,"")</f>
        <v>#NAME?</v>
      </c>
      <c r="K255" s="553" t="e">
        <f t="shared" ca="1" si="19"/>
        <v>#NAME?</v>
      </c>
      <c r="L255" s="187" t="e">
        <f>_xlfn.XLOOKUP(C257,'00_SKU_Master'!$B$2:$B$378,'00_SKU_Master'!K:K)</f>
        <v>#VALUE!</v>
      </c>
      <c r="M255" s="14">
        <f t="shared" si="20"/>
        <v>201856</v>
      </c>
      <c r="N255" s="147" t="e">
        <f ca="1">_xludf.IFNA(D257/_xlfn.XLOOKUP($M257,'00_SKU_Master'!$B$2:$B$378,'00_SKU_Master'!$M$2:$M$378,0)/$M$2,"0")</f>
        <v>#NAME?</v>
      </c>
      <c r="O255" s="147" t="e">
        <f ca="1">_xludf.IFNA(E257/_xlfn.XLOOKUP($M257,'00_SKU_Master'!$B$2:$B$378,'00_SKU_Master'!$M$2:$M$378,0)/$M$2,"0")</f>
        <v>#NAME?</v>
      </c>
      <c r="P255" s="147" t="e">
        <f ca="1">_xludf.IFNA(F257/_xlfn.XLOOKUP($M257,'00_SKU_Master'!$B$2:$B$378,'00_SKU_Master'!$M$2:$M$378,0)/$M$2,"0")</f>
        <v>#NAME?</v>
      </c>
      <c r="Q255" s="147" t="e">
        <f ca="1">_xludf.IFNA(G257/_xlfn.XLOOKUP($M257,'00_SKU_Master'!$B$2:$B$378,'00_SKU_Master'!$M$2:$M$378,0)/$M$2,"0")</f>
        <v>#NAME?</v>
      </c>
      <c r="R255" s="147" t="e">
        <f ca="1">_xludf.IFNA(H257/_xlfn.XLOOKUP($M257,'00_SKU_Master'!$B$2:$B$378,'00_SKU_Master'!$M$2:$M$378,0)/$M$2,"0")</f>
        <v>#NAME?</v>
      </c>
      <c r="S255" s="147" t="e">
        <f ca="1">_xludf.IFNA(I257/_xlfn.XLOOKUP($M257,'00_SKU_Master'!$B$2:$B$378,'00_SKU_Master'!$M$2:$M$378,0)/$M$2,"0")</f>
        <v>#NAME?</v>
      </c>
      <c r="T255" s="147" t="e">
        <f ca="1">_xludf.IFNA(J257/_xlfn.XLOOKUP($M257,'00_SKU_Master'!$B$2:$B$378,'00_SKU_Master'!$M$2:$M$378,0)/$M$2,"0")</f>
        <v>#NAME?</v>
      </c>
      <c r="U255" s="147" t="e">
        <f t="shared" ca="1" si="21"/>
        <v>#NAME?</v>
      </c>
      <c r="V255" s="4"/>
      <c r="W255" s="4" t="e">
        <f>_xlfn.XLOOKUP(M257,'00_SKU_Master'!$B$2:$B$378,'00_SKU_Master'!D:D)</f>
        <v>#VALUE!</v>
      </c>
      <c r="X255" s="14">
        <f>'05_Daily_Orders'!B256</f>
        <v>201854</v>
      </c>
      <c r="Y255" s="554"/>
      <c r="Z255" s="555"/>
      <c r="AA255" s="555"/>
      <c r="AB255" s="555"/>
      <c r="AC255" s="555">
        <v>1711</v>
      </c>
      <c r="AD255" s="555">
        <v>0</v>
      </c>
      <c r="AE255" s="555">
        <v>0</v>
      </c>
      <c r="AF255" s="553">
        <f t="shared" si="22"/>
        <v>79</v>
      </c>
      <c r="AQ255" s="23">
        <v>0</v>
      </c>
      <c r="AR255" s="23">
        <v>0</v>
      </c>
      <c r="AS255" s="23">
        <f t="shared" si="23"/>
        <v>0</v>
      </c>
    </row>
    <row r="256" spans="1:45">
      <c r="A256" s="138">
        <f>_xlfn.XLOOKUP(C258,'00_SKU_Master'!$B$2:$B$378,'00_SKU_Master'!$C$2:$C$378)</f>
        <v>203136</v>
      </c>
      <c r="B256" s="138"/>
      <c r="C256" s="138">
        <f t="shared" si="18"/>
        <v>207101</v>
      </c>
      <c r="D256" s="552" t="e">
        <f ca="1">_xludf.IFNA(_xlfn.XLOOKUP(C258,'00_SKU_Master'!$B$2:$B$378,'00_SKU_Master'!$F$2:$F$378,0)*Y258,"")</f>
        <v>#NAME?</v>
      </c>
      <c r="E256" s="552" t="e">
        <f ca="1">_xludf.IFNA(_xlfn.XLOOKUP(C258,'00_SKU_Master'!$B$2:$B$378,'00_SKU_Master'!$F$2:$F$378,0)*Z258,"")</f>
        <v>#NAME?</v>
      </c>
      <c r="F256" s="552" t="e">
        <f ca="1">_xludf.IFNA(_xlfn.XLOOKUP(C258,'00_SKU_Master'!$B$2:$B$378,'00_SKU_Master'!$F$2:$F$378,0)*AA258,"")</f>
        <v>#NAME?</v>
      </c>
      <c r="G256" s="552" t="e">
        <f ca="1">_xludf.IFNA(_xlfn.XLOOKUP(C258,'00_SKU_Master'!$B$2:$B$378,'00_SKU_Master'!$F$2:$F$378,0)*AB258,"")</f>
        <v>#NAME?</v>
      </c>
      <c r="H256" s="552" t="e">
        <f ca="1">_xludf.IFNA(_xlfn.XLOOKUP(C258,'00_SKU_Master'!$B$2:$B$378,'00_SKU_Master'!$F$2:$F$378,0)*AC258,"")</f>
        <v>#NAME?</v>
      </c>
      <c r="I256" s="552" t="e">
        <f ca="1">_xludf.IFNA(_xlfn.XLOOKUP(C258,'00_SKU_Master'!$B$2:$B$378,'00_SKU_Master'!$F$2:$F$378,0)*AD258,"")</f>
        <v>#NAME?</v>
      </c>
      <c r="J256" s="552" t="e">
        <f ca="1">_xludf.IFNA(_xlfn.XLOOKUP(C258,'00_SKU_Master'!$B$2:$B$378,'00_SKU_Master'!$F$2:$F$378,0)*AE258,"")</f>
        <v>#NAME?</v>
      </c>
      <c r="K256" s="553" t="e">
        <f t="shared" ca="1" si="19"/>
        <v>#NAME?</v>
      </c>
      <c r="L256" s="187" t="e">
        <f>_xlfn.XLOOKUP(C258,'00_SKU_Master'!$B$2:$B$378,'00_SKU_Master'!K:K)</f>
        <v>#VALUE!</v>
      </c>
      <c r="M256" s="14">
        <f t="shared" si="20"/>
        <v>207101</v>
      </c>
      <c r="N256" s="147" t="e">
        <f ca="1">_xludf.IFNA(D258/_xlfn.XLOOKUP($M258,'00_SKU_Master'!$B$2:$B$378,'00_SKU_Master'!$M$2:$M$378,0)/$M$2,"0")</f>
        <v>#NAME?</v>
      </c>
      <c r="O256" s="147" t="e">
        <f ca="1">_xludf.IFNA(E258/_xlfn.XLOOKUP($M258,'00_SKU_Master'!$B$2:$B$378,'00_SKU_Master'!$M$2:$M$378,0)/$M$2,"0")</f>
        <v>#NAME?</v>
      </c>
      <c r="P256" s="147" t="e">
        <f ca="1">_xludf.IFNA(F258/_xlfn.XLOOKUP($M258,'00_SKU_Master'!$B$2:$B$378,'00_SKU_Master'!$M$2:$M$378,0)/$M$2,"0")</f>
        <v>#NAME?</v>
      </c>
      <c r="Q256" s="147" t="e">
        <f ca="1">_xludf.IFNA(G258/_xlfn.XLOOKUP($M258,'00_SKU_Master'!$B$2:$B$378,'00_SKU_Master'!$M$2:$M$378,0)/$M$2,"0")</f>
        <v>#NAME?</v>
      </c>
      <c r="R256" s="147" t="e">
        <f ca="1">_xludf.IFNA(H258/_xlfn.XLOOKUP($M258,'00_SKU_Master'!$B$2:$B$378,'00_SKU_Master'!$M$2:$M$378,0)/$M$2,"0")</f>
        <v>#NAME?</v>
      </c>
      <c r="S256" s="147" t="e">
        <f ca="1">_xludf.IFNA(I258/_xlfn.XLOOKUP($M258,'00_SKU_Master'!$B$2:$B$378,'00_SKU_Master'!$M$2:$M$378,0)/$M$2,"0")</f>
        <v>#NAME?</v>
      </c>
      <c r="T256" s="147" t="e">
        <f ca="1">_xludf.IFNA(J258/_xlfn.XLOOKUP($M258,'00_SKU_Master'!$B$2:$B$378,'00_SKU_Master'!$M$2:$M$378,0)/$M$2,"0")</f>
        <v>#NAME?</v>
      </c>
      <c r="U256" s="147" t="e">
        <f t="shared" ca="1" si="21"/>
        <v>#NAME?</v>
      </c>
      <c r="V256" s="4"/>
      <c r="W256" s="4" t="e">
        <f>_xlfn.XLOOKUP(M258,'00_SKU_Master'!$B$2:$B$378,'00_SKU_Master'!D:D)</f>
        <v>#VALUE!</v>
      </c>
      <c r="X256" s="14">
        <f>'05_Daily_Orders'!B257</f>
        <v>201855</v>
      </c>
      <c r="Y256" s="554"/>
      <c r="Z256" s="555"/>
      <c r="AA256" s="555"/>
      <c r="AB256" s="555"/>
      <c r="AC256" s="555">
        <v>0</v>
      </c>
      <c r="AD256" s="555">
        <v>0</v>
      </c>
      <c r="AE256" s="555">
        <v>0</v>
      </c>
      <c r="AF256" s="553">
        <f t="shared" si="22"/>
        <v>517</v>
      </c>
      <c r="AQ256" s="23">
        <v>0</v>
      </c>
      <c r="AR256" s="23">
        <v>0</v>
      </c>
      <c r="AS256" s="23">
        <f t="shared" si="23"/>
        <v>0</v>
      </c>
    </row>
    <row r="257" spans="1:45">
      <c r="A257" s="138">
        <f>_xlfn.XLOOKUP(C259,'00_SKU_Master'!$B$2:$B$378,'00_SKU_Master'!$C$2:$C$378)</f>
        <v>61050</v>
      </c>
      <c r="B257" s="138"/>
      <c r="C257" s="138">
        <f t="shared" si="18"/>
        <v>207102</v>
      </c>
      <c r="D257" s="552" t="e">
        <f ca="1">_xludf.IFNA(_xlfn.XLOOKUP(C259,'00_SKU_Master'!$B$2:$B$378,'00_SKU_Master'!$F$2:$F$378,0)*Y259,"")</f>
        <v>#NAME?</v>
      </c>
      <c r="E257" s="552" t="e">
        <f ca="1">_xludf.IFNA(_xlfn.XLOOKUP(C259,'00_SKU_Master'!$B$2:$B$378,'00_SKU_Master'!$F$2:$F$378,0)*Z259,"")</f>
        <v>#NAME?</v>
      </c>
      <c r="F257" s="552" t="e">
        <f ca="1">_xludf.IFNA(_xlfn.XLOOKUP(C259,'00_SKU_Master'!$B$2:$B$378,'00_SKU_Master'!$F$2:$F$378,0)*AA259,"")</f>
        <v>#NAME?</v>
      </c>
      <c r="G257" s="552" t="e">
        <f ca="1">_xludf.IFNA(_xlfn.XLOOKUP(C259,'00_SKU_Master'!$B$2:$B$378,'00_SKU_Master'!$F$2:$F$378,0)*AB259,"")</f>
        <v>#NAME?</v>
      </c>
      <c r="H257" s="552" t="e">
        <f ca="1">_xludf.IFNA(_xlfn.XLOOKUP(C259,'00_SKU_Master'!$B$2:$B$378,'00_SKU_Master'!$F$2:$F$378,0)*AC259,"")</f>
        <v>#NAME?</v>
      </c>
      <c r="I257" s="552" t="e">
        <f ca="1">_xludf.IFNA(_xlfn.XLOOKUP(C259,'00_SKU_Master'!$B$2:$B$378,'00_SKU_Master'!$F$2:$F$378,0)*AD259,"")</f>
        <v>#NAME?</v>
      </c>
      <c r="J257" s="552" t="e">
        <f ca="1">_xludf.IFNA(_xlfn.XLOOKUP(C259,'00_SKU_Master'!$B$2:$B$378,'00_SKU_Master'!$F$2:$F$378,0)*AE259,"")</f>
        <v>#NAME?</v>
      </c>
      <c r="K257" s="553" t="e">
        <f t="shared" ca="1" si="19"/>
        <v>#NAME?</v>
      </c>
      <c r="L257" s="187" t="e">
        <f>_xlfn.XLOOKUP(C259,'00_SKU_Master'!$B$2:$B$378,'00_SKU_Master'!K:K)</f>
        <v>#VALUE!</v>
      </c>
      <c r="M257" s="14">
        <f t="shared" si="20"/>
        <v>207102</v>
      </c>
      <c r="N257" s="556" t="e">
        <f ca="1">_xludf.IFNA(D259/_xlfn.XLOOKUP($M259,'00_SKU_Master'!$B$2:$B$378,'00_SKU_Master'!$M$2:$M$378,0)/$M$2,"0")</f>
        <v>#NAME?</v>
      </c>
      <c r="O257" s="556" t="e">
        <f ca="1">_xludf.IFNA(E259/_xlfn.XLOOKUP($M259,'00_SKU_Master'!$B$2:$B$378,'00_SKU_Master'!$M$2:$M$378,0)/$M$2,"0")</f>
        <v>#NAME?</v>
      </c>
      <c r="P257" s="556" t="e">
        <f ca="1">_xludf.IFNA(F259/_xlfn.XLOOKUP($M259,'00_SKU_Master'!$B$2:$B$378,'00_SKU_Master'!$M$2:$M$378,0)/$M$2,"0")</f>
        <v>#NAME?</v>
      </c>
      <c r="Q257" s="556" t="e">
        <f ca="1">_xludf.IFNA(G259/_xlfn.XLOOKUP($M259,'00_SKU_Master'!$B$2:$B$378,'00_SKU_Master'!$M$2:$M$378,0)/$M$2,"0")</f>
        <v>#NAME?</v>
      </c>
      <c r="R257" s="556" t="e">
        <f ca="1">_xludf.IFNA(H259/_xlfn.XLOOKUP($M259,'00_SKU_Master'!$B$2:$B$378,'00_SKU_Master'!$M$2:$M$378,0)/$M$2,"0")</f>
        <v>#NAME?</v>
      </c>
      <c r="S257" s="556" t="e">
        <f ca="1">_xludf.IFNA(I259/_xlfn.XLOOKUP($M259,'00_SKU_Master'!$B$2:$B$378,'00_SKU_Master'!$M$2:$M$378,0)/$M$2,"0")</f>
        <v>#NAME?</v>
      </c>
      <c r="T257" s="556" t="e">
        <f ca="1">_xludf.IFNA(J259/_xlfn.XLOOKUP($M259,'00_SKU_Master'!$B$2:$B$378,'00_SKU_Master'!$M$2:$M$378,0)/$M$2,"0")</f>
        <v>#NAME?</v>
      </c>
      <c r="U257" s="556" t="e">
        <f t="shared" ca="1" si="21"/>
        <v>#NAME?</v>
      </c>
      <c r="V257" s="4"/>
      <c r="W257" s="4" t="e">
        <f>_xlfn.XLOOKUP(M259,'00_SKU_Master'!$B$2:$B$378,'00_SKU_Master'!D:D)</f>
        <v>#VALUE!</v>
      </c>
      <c r="X257" s="14">
        <f>'05_Daily_Orders'!B258</f>
        <v>201856</v>
      </c>
      <c r="Y257" s="554"/>
      <c r="Z257" s="555"/>
      <c r="AA257" s="555"/>
      <c r="AB257" s="555"/>
      <c r="AC257" s="555">
        <v>79</v>
      </c>
      <c r="AD257" s="555">
        <v>0</v>
      </c>
      <c r="AE257" s="555">
        <v>0</v>
      </c>
      <c r="AF257" s="553">
        <f t="shared" si="22"/>
        <v>0</v>
      </c>
      <c r="AQ257" s="23"/>
      <c r="AR257" s="23"/>
      <c r="AS257" s="23"/>
    </row>
    <row r="258" spans="1:45">
      <c r="A258" s="138">
        <f>_xlfn.XLOOKUP(C260,'00_SKU_Master'!$B$2:$B$378,'00_SKU_Master'!$C$2:$C$378)</f>
        <v>61014</v>
      </c>
      <c r="B258" s="138"/>
      <c r="C258" s="138">
        <f t="shared" ref="C258:C272" si="24">X260</f>
        <v>207103</v>
      </c>
      <c r="D258" s="552" t="e">
        <f ca="1">_xludf.IFNA(_xlfn.XLOOKUP(C260,'00_SKU_Master'!$B$2:$B$378,'00_SKU_Master'!$F$2:$F$378,0)*Y260,"")</f>
        <v>#NAME?</v>
      </c>
      <c r="E258" s="552" t="e">
        <f ca="1">_xludf.IFNA(_xlfn.XLOOKUP(C260,'00_SKU_Master'!$B$2:$B$378,'00_SKU_Master'!$F$2:$F$378,0)*Z260,"")</f>
        <v>#NAME?</v>
      </c>
      <c r="F258" s="552" t="e">
        <f ca="1">_xludf.IFNA(_xlfn.XLOOKUP(C260,'00_SKU_Master'!$B$2:$B$378,'00_SKU_Master'!$F$2:$F$378,0)*AA260,"")</f>
        <v>#NAME?</v>
      </c>
      <c r="G258" s="552" t="e">
        <f ca="1">_xludf.IFNA(_xlfn.XLOOKUP(C260,'00_SKU_Master'!$B$2:$B$378,'00_SKU_Master'!$F$2:$F$378,0)*AB260,"")</f>
        <v>#NAME?</v>
      </c>
      <c r="H258" s="552" t="e">
        <f ca="1">_xludf.IFNA(_xlfn.XLOOKUP(C260,'00_SKU_Master'!$B$2:$B$378,'00_SKU_Master'!$F$2:$F$378,0)*AC260,"")</f>
        <v>#NAME?</v>
      </c>
      <c r="I258" s="552" t="e">
        <f ca="1">_xludf.IFNA(_xlfn.XLOOKUP(C260,'00_SKU_Master'!$B$2:$B$378,'00_SKU_Master'!$F$2:$F$378,0)*AD260,"")</f>
        <v>#NAME?</v>
      </c>
      <c r="J258" s="552" t="e">
        <f ca="1">_xludf.IFNA(_xlfn.XLOOKUP(C260,'00_SKU_Master'!$B$2:$B$378,'00_SKU_Master'!$F$2:$F$378,0)*AE260,"")</f>
        <v>#NAME?</v>
      </c>
      <c r="K258" s="553" t="e">
        <f t="shared" ref="K258:K272" ca="1" si="25">SUM(D260:J260)</f>
        <v>#NAME?</v>
      </c>
      <c r="L258" s="187" t="e">
        <f>_xlfn.XLOOKUP(C260,'00_SKU_Master'!$B$2:$B$378,'00_SKU_Master'!K:K)</f>
        <v>#VALUE!</v>
      </c>
      <c r="M258" s="14">
        <f t="shared" ref="M258:M272" si="26">X260</f>
        <v>207103</v>
      </c>
      <c r="N258" s="556" t="e">
        <f ca="1">_xludf.IFNA(D260/_xlfn.XLOOKUP($M260,'00_SKU_Master'!$B$2:$B$378,'00_SKU_Master'!$M$2:$M$378,0)/$M$2,"0")</f>
        <v>#NAME?</v>
      </c>
      <c r="O258" s="556" t="e">
        <f ca="1">_xludf.IFNA(E260/_xlfn.XLOOKUP($M260,'00_SKU_Master'!$B$2:$B$378,'00_SKU_Master'!$M$2:$M$378,0)/$M$2,"0")</f>
        <v>#NAME?</v>
      </c>
      <c r="P258" s="556" t="e">
        <f ca="1">_xludf.IFNA(F260/_xlfn.XLOOKUP($M260,'00_SKU_Master'!$B$2:$B$378,'00_SKU_Master'!$M$2:$M$378,0)/$M$2,"0")</f>
        <v>#NAME?</v>
      </c>
      <c r="Q258" s="556" t="e">
        <f ca="1">_xludf.IFNA(G260/_xlfn.XLOOKUP($M260,'00_SKU_Master'!$B$2:$B$378,'00_SKU_Master'!$M$2:$M$378,0)/$M$2,"0")</f>
        <v>#NAME?</v>
      </c>
      <c r="R258" s="556" t="e">
        <f ca="1">_xludf.IFNA(H260/_xlfn.XLOOKUP($M260,'00_SKU_Master'!$B$2:$B$378,'00_SKU_Master'!$M$2:$M$378,0)/$M$2,"0")</f>
        <v>#NAME?</v>
      </c>
      <c r="S258" s="556" t="e">
        <f ca="1">_xludf.IFNA(I260/_xlfn.XLOOKUP($M260,'00_SKU_Master'!$B$2:$B$378,'00_SKU_Master'!$M$2:$M$378,0)/$M$2,"0")</f>
        <v>#NAME?</v>
      </c>
      <c r="T258" s="556" t="e">
        <f ca="1">_xludf.IFNA(J260/_xlfn.XLOOKUP($M260,'00_SKU_Master'!$B$2:$B$378,'00_SKU_Master'!$M$2:$M$378,0)/$M$2,"0")</f>
        <v>#NAME?</v>
      </c>
      <c r="U258" s="556" t="e">
        <f t="shared" ref="U258:U272" ca="1" si="27">SUM(N260:T260)</f>
        <v>#NAME?</v>
      </c>
      <c r="V258" s="4"/>
      <c r="W258" s="4" t="e">
        <f>_xlfn.XLOOKUP(M260,'00_SKU_Master'!$B$2:$B$378,'00_SKU_Master'!D:D)</f>
        <v>#VALUE!</v>
      </c>
      <c r="X258" s="14">
        <f>'05_Daily_Orders'!B259</f>
        <v>207101</v>
      </c>
      <c r="Y258" s="554"/>
      <c r="Z258" s="555"/>
      <c r="AA258" s="555"/>
      <c r="AB258" s="555"/>
      <c r="AC258" s="555">
        <v>517</v>
      </c>
      <c r="AD258" s="555">
        <v>0</v>
      </c>
      <c r="AE258" s="555">
        <v>0</v>
      </c>
      <c r="AF258" s="553">
        <f t="shared" ref="AF258:AF272" si="28">SUM(Y260:AE260)</f>
        <v>0</v>
      </c>
    </row>
    <row r="259" spans="1:45">
      <c r="A259" s="138">
        <f>_xlfn.XLOOKUP(C261,'00_SKU_Master'!$B$2:$B$378,'00_SKU_Master'!$C$2:$C$378)</f>
        <v>203021</v>
      </c>
      <c r="B259" s="138"/>
      <c r="C259" s="138">
        <f t="shared" si="24"/>
        <v>207104</v>
      </c>
      <c r="D259" s="552" t="e">
        <f ca="1">_xludf.IFNA(_xlfn.XLOOKUP(C261,'00_SKU_Master'!$B$2:$B$378,'00_SKU_Master'!$F$2:$F$378,0)*Y261,"")</f>
        <v>#NAME?</v>
      </c>
      <c r="E259" s="552" t="e">
        <f ca="1">_xludf.IFNA(_xlfn.XLOOKUP(C261,'00_SKU_Master'!$B$2:$B$378,'00_SKU_Master'!$F$2:$F$378,0)*Z261,"")</f>
        <v>#NAME?</v>
      </c>
      <c r="F259" s="552" t="e">
        <f ca="1">_xludf.IFNA(_xlfn.XLOOKUP(C261,'00_SKU_Master'!$B$2:$B$378,'00_SKU_Master'!$F$2:$F$378,0)*AA261,"")</f>
        <v>#NAME?</v>
      </c>
      <c r="G259" s="552" t="e">
        <f ca="1">_xludf.IFNA(_xlfn.XLOOKUP(C261,'00_SKU_Master'!$B$2:$B$378,'00_SKU_Master'!$F$2:$F$378,0)*AB261,"")</f>
        <v>#NAME?</v>
      </c>
      <c r="H259" s="552" t="e">
        <f ca="1">_xludf.IFNA(_xlfn.XLOOKUP(C261,'00_SKU_Master'!$B$2:$B$378,'00_SKU_Master'!$F$2:$F$378,0)*AC261,"")</f>
        <v>#NAME?</v>
      </c>
      <c r="I259" s="552" t="e">
        <f ca="1">_xludf.IFNA(_xlfn.XLOOKUP(C261,'00_SKU_Master'!$B$2:$B$378,'00_SKU_Master'!$F$2:$F$378,0)*AD261,"")</f>
        <v>#NAME?</v>
      </c>
      <c r="J259" s="552" t="e">
        <f ca="1">_xludf.IFNA(_xlfn.XLOOKUP(C261,'00_SKU_Master'!$B$2:$B$378,'00_SKU_Master'!$F$2:$F$378,0)*AE261,"")</f>
        <v>#NAME?</v>
      </c>
      <c r="K259" s="553" t="e">
        <f t="shared" ca="1" si="25"/>
        <v>#NAME?</v>
      </c>
      <c r="L259" s="187" t="e">
        <f>_xlfn.XLOOKUP(C261,'00_SKU_Master'!$B$2:$B$378,'00_SKU_Master'!K:K)</f>
        <v>#VALUE!</v>
      </c>
      <c r="M259" s="14">
        <f t="shared" si="26"/>
        <v>207104</v>
      </c>
      <c r="N259" s="556" t="e">
        <f ca="1">_xludf.IFNA(D261/_xlfn.XLOOKUP($M261,'00_SKU_Master'!$B$2:$B$378,'00_SKU_Master'!$M$2:$M$378,0)/$M$2,"0")</f>
        <v>#NAME?</v>
      </c>
      <c r="O259" s="556" t="e">
        <f ca="1">_xludf.IFNA(E261/_xlfn.XLOOKUP($M261,'00_SKU_Master'!$B$2:$B$378,'00_SKU_Master'!$M$2:$M$378,0)/$M$2,"0")</f>
        <v>#NAME?</v>
      </c>
      <c r="P259" s="556" t="e">
        <f ca="1">_xludf.IFNA(F261/_xlfn.XLOOKUP($M261,'00_SKU_Master'!$B$2:$B$378,'00_SKU_Master'!$M$2:$M$378,0)/$M$2,"0")</f>
        <v>#NAME?</v>
      </c>
      <c r="Q259" s="556" t="e">
        <f ca="1">_xludf.IFNA(G261/_xlfn.XLOOKUP($M261,'00_SKU_Master'!$B$2:$B$378,'00_SKU_Master'!$M$2:$M$378,0)/$M$2,"0")</f>
        <v>#NAME?</v>
      </c>
      <c r="R259" s="556" t="e">
        <f ca="1">_xludf.IFNA(H261/_xlfn.XLOOKUP($M261,'00_SKU_Master'!$B$2:$B$378,'00_SKU_Master'!$M$2:$M$378,0)/$M$2,"0")</f>
        <v>#NAME?</v>
      </c>
      <c r="S259" s="556" t="e">
        <f ca="1">_xludf.IFNA(I261/_xlfn.XLOOKUP($M261,'00_SKU_Master'!$B$2:$B$378,'00_SKU_Master'!$M$2:$M$378,0)/$M$2,"0")</f>
        <v>#NAME?</v>
      </c>
      <c r="T259" s="556" t="e">
        <f ca="1">_xludf.IFNA(J261/_xlfn.XLOOKUP($M261,'00_SKU_Master'!$B$2:$B$378,'00_SKU_Master'!$M$2:$M$378,0)/$M$2,"0")</f>
        <v>#NAME?</v>
      </c>
      <c r="U259" s="556" t="e">
        <f t="shared" ca="1" si="27"/>
        <v>#NAME?</v>
      </c>
      <c r="V259" s="4"/>
      <c r="W259" s="4" t="e">
        <f>_xlfn.XLOOKUP(M261,'00_SKU_Master'!$B$2:$B$378,'00_SKU_Master'!D:D)</f>
        <v>#VALUE!</v>
      </c>
      <c r="X259" s="14">
        <f>'05_Daily_Orders'!B260</f>
        <v>207102</v>
      </c>
      <c r="Y259" s="554"/>
      <c r="Z259" s="555"/>
      <c r="AA259" s="555"/>
      <c r="AB259" s="555"/>
      <c r="AC259" s="555">
        <v>0</v>
      </c>
      <c r="AD259" s="555">
        <v>0</v>
      </c>
      <c r="AE259" s="555">
        <v>0</v>
      </c>
      <c r="AF259" s="553">
        <f t="shared" si="28"/>
        <v>0</v>
      </c>
    </row>
    <row r="260" spans="1:45">
      <c r="A260" s="138" t="e">
        <f>_xlfn.XLOOKUP(C262,'00_SKU_Master'!$B$2:$B$378,'00_SKU_Master'!$C$2:$C$378)</f>
        <v>#N/A</v>
      </c>
      <c r="B260" s="138"/>
      <c r="C260" s="138">
        <f t="shared" si="24"/>
        <v>207127</v>
      </c>
      <c r="D260" s="552" t="e">
        <f ca="1">_xludf.IFNA(_xlfn.XLOOKUP(C262,'00_SKU_Master'!$B$2:$B$378,'00_SKU_Master'!$F$2:$F$378,0)*Y262,"")</f>
        <v>#NAME?</v>
      </c>
      <c r="E260" s="552" t="e">
        <f ca="1">_xludf.IFNA(_xlfn.XLOOKUP(C262,'00_SKU_Master'!$B$2:$B$378,'00_SKU_Master'!$F$2:$F$378,0)*Z262,"")</f>
        <v>#NAME?</v>
      </c>
      <c r="F260" s="552" t="e">
        <f ca="1">_xludf.IFNA(_xlfn.XLOOKUP(C262,'00_SKU_Master'!$B$2:$B$378,'00_SKU_Master'!$F$2:$F$378,0)*AA262,"")</f>
        <v>#NAME?</v>
      </c>
      <c r="G260" s="552" t="e">
        <f ca="1">_xludf.IFNA(_xlfn.XLOOKUP(C262,'00_SKU_Master'!$B$2:$B$378,'00_SKU_Master'!$F$2:$F$378,0)*AB262,"")</f>
        <v>#NAME?</v>
      </c>
      <c r="H260" s="552" t="e">
        <f ca="1">_xludf.IFNA(_xlfn.XLOOKUP(C262,'00_SKU_Master'!$B$2:$B$378,'00_SKU_Master'!$F$2:$F$378,0)*AC262,"")</f>
        <v>#NAME?</v>
      </c>
      <c r="I260" s="552" t="e">
        <f ca="1">_xludf.IFNA(_xlfn.XLOOKUP(C262,'00_SKU_Master'!$B$2:$B$378,'00_SKU_Master'!$F$2:$F$378,0)*AD262,"")</f>
        <v>#NAME?</v>
      </c>
      <c r="J260" s="552" t="e">
        <f ca="1">_xludf.IFNA(_xlfn.XLOOKUP(C262,'00_SKU_Master'!$B$2:$B$378,'00_SKU_Master'!$F$2:$F$378,0)*AE262,"")</f>
        <v>#NAME?</v>
      </c>
      <c r="K260" s="553" t="e">
        <f t="shared" ca="1" si="25"/>
        <v>#NAME?</v>
      </c>
      <c r="L260" s="187" t="e">
        <f>_xlfn.XLOOKUP(C262,'00_SKU_Master'!$B$2:$B$378,'00_SKU_Master'!K:K)</f>
        <v>#VALUE!</v>
      </c>
      <c r="M260" s="14">
        <f t="shared" si="26"/>
        <v>207127</v>
      </c>
      <c r="N260" s="556" t="e">
        <f ca="1">_xludf.IFNA(D262/_xlfn.XLOOKUP($M262,'00_SKU_Master'!$B$2:$B$378,'00_SKU_Master'!$M$2:$M$378,0)/$M$2,"0")</f>
        <v>#NAME?</v>
      </c>
      <c r="O260" s="556" t="e">
        <f ca="1">_xludf.IFNA(E262/_xlfn.XLOOKUP($M262,'00_SKU_Master'!$B$2:$B$378,'00_SKU_Master'!$M$2:$M$378,0)/$M$2,"0")</f>
        <v>#NAME?</v>
      </c>
      <c r="P260" s="556" t="e">
        <f ca="1">_xludf.IFNA(F262/_xlfn.XLOOKUP($M262,'00_SKU_Master'!$B$2:$B$378,'00_SKU_Master'!$M$2:$M$378,0)/$M$2,"0")</f>
        <v>#NAME?</v>
      </c>
      <c r="Q260" s="556" t="e">
        <f ca="1">_xludf.IFNA(G262/_xlfn.XLOOKUP($M262,'00_SKU_Master'!$B$2:$B$378,'00_SKU_Master'!$M$2:$M$378,0)/$M$2,"0")</f>
        <v>#NAME?</v>
      </c>
      <c r="R260" s="556" t="e">
        <f ca="1">_xludf.IFNA(H262/_xlfn.XLOOKUP($M262,'00_SKU_Master'!$B$2:$B$378,'00_SKU_Master'!$M$2:$M$378,0)/$M$2,"0")</f>
        <v>#NAME?</v>
      </c>
      <c r="S260" s="556" t="e">
        <f ca="1">_xludf.IFNA(I262/_xlfn.XLOOKUP($M262,'00_SKU_Master'!$B$2:$B$378,'00_SKU_Master'!$M$2:$M$378,0)/$M$2,"0")</f>
        <v>#NAME?</v>
      </c>
      <c r="T260" s="556" t="e">
        <f ca="1">_xludf.IFNA(J262/_xlfn.XLOOKUP($M262,'00_SKU_Master'!$B$2:$B$378,'00_SKU_Master'!$M$2:$M$378,0)/$M$2,"0")</f>
        <v>#NAME?</v>
      </c>
      <c r="U260" s="556" t="e">
        <f t="shared" ca="1" si="27"/>
        <v>#NAME?</v>
      </c>
      <c r="V260" s="4"/>
      <c r="W260" s="4" t="e">
        <f>_xlfn.XLOOKUP(M262,'00_SKU_Master'!$B$2:$B$378,'00_SKU_Master'!D:D)</f>
        <v>#VALUE!</v>
      </c>
      <c r="X260" s="14">
        <f>'05_Daily_Orders'!B261</f>
        <v>207103</v>
      </c>
      <c r="Y260" s="554"/>
      <c r="Z260" s="555"/>
      <c r="AA260" s="555"/>
      <c r="AB260" s="555"/>
      <c r="AC260" s="555">
        <v>0</v>
      </c>
      <c r="AD260" s="555">
        <v>0</v>
      </c>
      <c r="AE260" s="555">
        <v>0</v>
      </c>
      <c r="AF260" s="553">
        <f t="shared" si="28"/>
        <v>0</v>
      </c>
    </row>
    <row r="261" spans="1:45">
      <c r="A261" s="138" t="e">
        <f>_xlfn.XLOOKUP(C263,'00_SKU_Master'!$B$2:$B$378,'00_SKU_Master'!$C$2:$C$378)</f>
        <v>#N/A</v>
      </c>
      <c r="B261" s="138"/>
      <c r="C261" s="138">
        <f t="shared" si="24"/>
        <v>207128</v>
      </c>
      <c r="D261" s="552" t="e">
        <f ca="1">_xludf.IFNA(_xlfn.XLOOKUP(C263,'00_SKU_Master'!$B$2:$B$378,'00_SKU_Master'!$F$2:$F$378,0)*Y263,"")</f>
        <v>#NAME?</v>
      </c>
      <c r="E261" s="552" t="e">
        <f ca="1">_xludf.IFNA(_xlfn.XLOOKUP(C263,'00_SKU_Master'!$B$2:$B$378,'00_SKU_Master'!$F$2:$F$378,0)*Z263,"")</f>
        <v>#NAME?</v>
      </c>
      <c r="F261" s="552" t="e">
        <f ca="1">_xludf.IFNA(_xlfn.XLOOKUP(C263,'00_SKU_Master'!$B$2:$B$378,'00_SKU_Master'!$F$2:$F$378,0)*AA263,"")</f>
        <v>#NAME?</v>
      </c>
      <c r="G261" s="552" t="e">
        <f ca="1">_xludf.IFNA(_xlfn.XLOOKUP(C263,'00_SKU_Master'!$B$2:$B$378,'00_SKU_Master'!$F$2:$F$378,0)*AB263,"")</f>
        <v>#NAME?</v>
      </c>
      <c r="H261" s="552" t="e">
        <f ca="1">_xludf.IFNA(_xlfn.XLOOKUP(C263,'00_SKU_Master'!$B$2:$B$378,'00_SKU_Master'!$F$2:$F$378,0)*AC263,"")</f>
        <v>#NAME?</v>
      </c>
      <c r="I261" s="552" t="e">
        <f ca="1">_xludf.IFNA(_xlfn.XLOOKUP(C263,'00_SKU_Master'!$B$2:$B$378,'00_SKU_Master'!$F$2:$F$378,0)*AD263,"")</f>
        <v>#NAME?</v>
      </c>
      <c r="J261" s="552" t="e">
        <f ca="1">_xludf.IFNA(_xlfn.XLOOKUP(C263,'00_SKU_Master'!$B$2:$B$378,'00_SKU_Master'!$F$2:$F$378,0)*AE263,"")</f>
        <v>#NAME?</v>
      </c>
      <c r="K261" s="553" t="e">
        <f t="shared" ca="1" si="25"/>
        <v>#NAME?</v>
      </c>
      <c r="L261" s="187" t="e">
        <f>_xlfn.XLOOKUP(C263,'00_SKU_Master'!$B$2:$B$378,'00_SKU_Master'!K:K)</f>
        <v>#VALUE!</v>
      </c>
      <c r="M261" s="14">
        <f t="shared" si="26"/>
        <v>207128</v>
      </c>
      <c r="N261" s="556" t="e">
        <f ca="1">_xludf.IFNA(D263/_xlfn.XLOOKUP($M263,'00_SKU_Master'!$B$2:$B$378,'00_SKU_Master'!$M$2:$M$378,0)/$M$2,"0")</f>
        <v>#NAME?</v>
      </c>
      <c r="O261" s="556" t="e">
        <f ca="1">_xludf.IFNA(E263/_xlfn.XLOOKUP($M263,'00_SKU_Master'!$B$2:$B$378,'00_SKU_Master'!$M$2:$M$378,0)/$M$2,"0")</f>
        <v>#NAME?</v>
      </c>
      <c r="P261" s="556" t="e">
        <f ca="1">_xludf.IFNA(F263/_xlfn.XLOOKUP($M263,'00_SKU_Master'!$B$2:$B$378,'00_SKU_Master'!$M$2:$M$378,0)/$M$2,"0")</f>
        <v>#NAME?</v>
      </c>
      <c r="Q261" s="556" t="e">
        <f ca="1">_xludf.IFNA(G263/_xlfn.XLOOKUP($M263,'00_SKU_Master'!$B$2:$B$378,'00_SKU_Master'!$M$2:$M$378,0)/$M$2,"0")</f>
        <v>#NAME?</v>
      </c>
      <c r="R261" s="556" t="e">
        <f ca="1">_xludf.IFNA(H263/_xlfn.XLOOKUP($M263,'00_SKU_Master'!$B$2:$B$378,'00_SKU_Master'!$M$2:$M$378,0)/$M$2,"0")</f>
        <v>#NAME?</v>
      </c>
      <c r="S261" s="556" t="e">
        <f ca="1">_xludf.IFNA(I263/_xlfn.XLOOKUP($M263,'00_SKU_Master'!$B$2:$B$378,'00_SKU_Master'!$M$2:$M$378,0)/$M$2,"0")</f>
        <v>#NAME?</v>
      </c>
      <c r="T261" s="556" t="e">
        <f ca="1">_xludf.IFNA(J263/_xlfn.XLOOKUP($M263,'00_SKU_Master'!$B$2:$B$378,'00_SKU_Master'!$M$2:$M$378,0)/$M$2,"0")</f>
        <v>#NAME?</v>
      </c>
      <c r="U261" s="556" t="e">
        <f t="shared" ca="1" si="27"/>
        <v>#NAME?</v>
      </c>
      <c r="V261" s="4"/>
      <c r="W261" s="4" t="e">
        <f>_xlfn.XLOOKUP(M263,'00_SKU_Master'!$B$2:$B$378,'00_SKU_Master'!D:D)</f>
        <v>#VALUE!</v>
      </c>
      <c r="X261" s="14">
        <f>'05_Daily_Orders'!B262</f>
        <v>207104</v>
      </c>
      <c r="Y261" s="554"/>
      <c r="Z261" s="555"/>
      <c r="AA261" s="555"/>
      <c r="AB261" s="555"/>
      <c r="AC261" s="555">
        <v>0</v>
      </c>
      <c r="AD261" s="555">
        <v>0</v>
      </c>
      <c r="AE261" s="555">
        <v>0</v>
      </c>
      <c r="AF261" s="553">
        <f t="shared" si="28"/>
        <v>0</v>
      </c>
    </row>
    <row r="262" spans="1:45">
      <c r="A262" s="138" t="e">
        <f>_xlfn.XLOOKUP(C264,'00_SKU_Master'!$B$2:$B$378,'00_SKU_Master'!$C$2:$C$378)</f>
        <v>#N/A</v>
      </c>
      <c r="B262" s="138"/>
      <c r="C262" s="138">
        <f t="shared" si="24"/>
        <v>0</v>
      </c>
      <c r="D262" s="552" t="e">
        <f ca="1">_xludf.IFNA(_xlfn.XLOOKUP(C264,'00_SKU_Master'!$B$2:$B$378,'00_SKU_Master'!$F$2:$F$378,0)*Y264,"")</f>
        <v>#NAME?</v>
      </c>
      <c r="E262" s="552" t="e">
        <f ca="1">_xludf.IFNA(_xlfn.XLOOKUP(C264,'00_SKU_Master'!$B$2:$B$378,'00_SKU_Master'!$F$2:$F$378,0)*Z264,"")</f>
        <v>#NAME?</v>
      </c>
      <c r="F262" s="552" t="e">
        <f ca="1">_xludf.IFNA(_xlfn.XLOOKUP(C264,'00_SKU_Master'!$B$2:$B$378,'00_SKU_Master'!$F$2:$F$378,0)*AA264,"")</f>
        <v>#NAME?</v>
      </c>
      <c r="G262" s="552" t="e">
        <f ca="1">_xludf.IFNA(_xlfn.XLOOKUP(C264,'00_SKU_Master'!$B$2:$B$378,'00_SKU_Master'!$F$2:$F$378,0)*AB264,"")</f>
        <v>#NAME?</v>
      </c>
      <c r="H262" s="552" t="e">
        <f ca="1">_xludf.IFNA(_xlfn.XLOOKUP(C264,'00_SKU_Master'!$B$2:$B$378,'00_SKU_Master'!$F$2:$F$378,0)*AC264,"")</f>
        <v>#NAME?</v>
      </c>
      <c r="I262" s="552" t="e">
        <f ca="1">_xludf.IFNA(_xlfn.XLOOKUP(C264,'00_SKU_Master'!$B$2:$B$378,'00_SKU_Master'!$F$2:$F$378,0)*AD264,"")</f>
        <v>#NAME?</v>
      </c>
      <c r="J262" s="552" t="e">
        <f ca="1">_xludf.IFNA(_xlfn.XLOOKUP(C264,'00_SKU_Master'!$B$2:$B$378,'00_SKU_Master'!$F$2:$F$378,0)*AE264,"")</f>
        <v>#NAME?</v>
      </c>
      <c r="K262" s="553" t="e">
        <f t="shared" ca="1" si="25"/>
        <v>#NAME?</v>
      </c>
      <c r="L262" s="187" t="e">
        <f>_xlfn.XLOOKUP(C264,'00_SKU_Master'!$B$2:$B$378,'00_SKU_Master'!K:K)</f>
        <v>#VALUE!</v>
      </c>
      <c r="M262" s="14">
        <f t="shared" si="26"/>
        <v>0</v>
      </c>
      <c r="N262" s="556" t="e">
        <f ca="1">_xludf.IFNA(D264/_xlfn.XLOOKUP($M264,'00_SKU_Master'!$B$2:$B$378,'00_SKU_Master'!$M$2:$M$378,0)/$M$2,"0")</f>
        <v>#NAME?</v>
      </c>
      <c r="O262" s="556" t="e">
        <f ca="1">_xludf.IFNA(E264/_xlfn.XLOOKUP($M264,'00_SKU_Master'!$B$2:$B$378,'00_SKU_Master'!$M$2:$M$378,0)/$M$2,"0")</f>
        <v>#NAME?</v>
      </c>
      <c r="P262" s="556" t="e">
        <f ca="1">_xludf.IFNA(F264/_xlfn.XLOOKUP($M264,'00_SKU_Master'!$B$2:$B$378,'00_SKU_Master'!$M$2:$M$378,0)/$M$2,"0")</f>
        <v>#NAME?</v>
      </c>
      <c r="Q262" s="556" t="e">
        <f ca="1">_xludf.IFNA(G264/_xlfn.XLOOKUP($M264,'00_SKU_Master'!$B$2:$B$378,'00_SKU_Master'!$M$2:$M$378,0)/$M$2,"0")</f>
        <v>#NAME?</v>
      </c>
      <c r="R262" s="556" t="e">
        <f ca="1">_xludf.IFNA(H264/_xlfn.XLOOKUP($M264,'00_SKU_Master'!$B$2:$B$378,'00_SKU_Master'!$M$2:$M$378,0)/$M$2,"0")</f>
        <v>#NAME?</v>
      </c>
      <c r="S262" s="556" t="e">
        <f ca="1">_xludf.IFNA(I264/_xlfn.XLOOKUP($M264,'00_SKU_Master'!$B$2:$B$378,'00_SKU_Master'!$M$2:$M$378,0)/$M$2,"0")</f>
        <v>#NAME?</v>
      </c>
      <c r="T262" s="556" t="e">
        <f ca="1">_xludf.IFNA(J264/_xlfn.XLOOKUP($M264,'00_SKU_Master'!$B$2:$B$378,'00_SKU_Master'!$M$2:$M$378,0)/$M$2,"0")</f>
        <v>#NAME?</v>
      </c>
      <c r="U262" s="556" t="e">
        <f t="shared" ca="1" si="27"/>
        <v>#NAME?</v>
      </c>
      <c r="V262" s="4"/>
      <c r="W262" s="4" t="e">
        <f>_xlfn.XLOOKUP(M264,'00_SKU_Master'!$B$2:$B$378,'00_SKU_Master'!D:D)</f>
        <v>#VALUE!</v>
      </c>
      <c r="X262" s="14">
        <f>'05_Daily_Orders'!B263</f>
        <v>207127</v>
      </c>
      <c r="Y262" s="554"/>
      <c r="Z262" s="555"/>
      <c r="AA262" s="555"/>
      <c r="AB262" s="555"/>
      <c r="AC262" s="555">
        <v>0</v>
      </c>
      <c r="AD262" s="555">
        <v>0</v>
      </c>
      <c r="AE262" s="555">
        <v>0</v>
      </c>
      <c r="AF262" s="553">
        <f t="shared" si="28"/>
        <v>0</v>
      </c>
    </row>
    <row r="263" spans="1:45">
      <c r="A263" s="138" t="e">
        <f>_xlfn.XLOOKUP(C265,'00_SKU_Master'!$B$2:$B$378,'00_SKU_Master'!$C$2:$C$378)</f>
        <v>#N/A</v>
      </c>
      <c r="B263" s="138"/>
      <c r="C263" s="138">
        <f t="shared" si="24"/>
        <v>0</v>
      </c>
      <c r="D263" s="552" t="e">
        <f ca="1">_xludf.IFNA(_xlfn.XLOOKUP(C265,'00_SKU_Master'!$B$2:$B$378,'00_SKU_Master'!$F$2:$F$378,0)*Y265,"")</f>
        <v>#NAME?</v>
      </c>
      <c r="E263" s="552" t="e">
        <f ca="1">_xludf.IFNA(_xlfn.XLOOKUP(C265,'00_SKU_Master'!$B$2:$B$378,'00_SKU_Master'!$F$2:$F$378,0)*Z265,"")</f>
        <v>#NAME?</v>
      </c>
      <c r="F263" s="552" t="e">
        <f ca="1">_xludf.IFNA(_xlfn.XLOOKUP(C265,'00_SKU_Master'!$B$2:$B$378,'00_SKU_Master'!$F$2:$F$378,0)*AA265,"")</f>
        <v>#NAME?</v>
      </c>
      <c r="G263" s="552" t="e">
        <f ca="1">_xludf.IFNA(_xlfn.XLOOKUP(C265,'00_SKU_Master'!$B$2:$B$378,'00_SKU_Master'!$F$2:$F$378,0)*AB265,"")</f>
        <v>#NAME?</v>
      </c>
      <c r="H263" s="552" t="e">
        <f ca="1">_xludf.IFNA(_xlfn.XLOOKUP(C265,'00_SKU_Master'!$B$2:$B$378,'00_SKU_Master'!$F$2:$F$378,0)*AC265,"")</f>
        <v>#NAME?</v>
      </c>
      <c r="I263" s="552" t="e">
        <f ca="1">_xludf.IFNA(_xlfn.XLOOKUP(C265,'00_SKU_Master'!$B$2:$B$378,'00_SKU_Master'!$F$2:$F$378,0)*AD265,"")</f>
        <v>#NAME?</v>
      </c>
      <c r="J263" s="552" t="e">
        <f ca="1">_xludf.IFNA(_xlfn.XLOOKUP(C265,'00_SKU_Master'!$B$2:$B$378,'00_SKU_Master'!$F$2:$F$378,0)*AE265,"")</f>
        <v>#NAME?</v>
      </c>
      <c r="K263" s="553" t="e">
        <f t="shared" ca="1" si="25"/>
        <v>#NAME?</v>
      </c>
      <c r="L263" s="187" t="e">
        <f>_xlfn.XLOOKUP(C265,'00_SKU_Master'!$B$2:$B$378,'00_SKU_Master'!K:K)</f>
        <v>#VALUE!</v>
      </c>
      <c r="M263" s="14">
        <f t="shared" si="26"/>
        <v>0</v>
      </c>
      <c r="N263" s="556" t="e">
        <f ca="1">_xludf.IFNA(D265/_xlfn.XLOOKUP($M265,'00_SKU_Master'!$B$2:$B$378,'00_SKU_Master'!$M$2:$M$378,0)/$M$2,"0")</f>
        <v>#NAME?</v>
      </c>
      <c r="O263" s="556" t="e">
        <f ca="1">_xludf.IFNA(E265/_xlfn.XLOOKUP($M265,'00_SKU_Master'!$B$2:$B$378,'00_SKU_Master'!$M$2:$M$378,0)/$M$2,"0")</f>
        <v>#NAME?</v>
      </c>
      <c r="P263" s="556" t="e">
        <f ca="1">_xludf.IFNA(F265/_xlfn.XLOOKUP($M265,'00_SKU_Master'!$B$2:$B$378,'00_SKU_Master'!$M$2:$M$378,0)/$M$2,"0")</f>
        <v>#NAME?</v>
      </c>
      <c r="Q263" s="556" t="e">
        <f ca="1">_xludf.IFNA(G265/_xlfn.XLOOKUP($M265,'00_SKU_Master'!$B$2:$B$378,'00_SKU_Master'!$M$2:$M$378,0)/$M$2,"0")</f>
        <v>#NAME?</v>
      </c>
      <c r="R263" s="556" t="e">
        <f ca="1">_xludf.IFNA(H265/_xlfn.XLOOKUP($M265,'00_SKU_Master'!$B$2:$B$378,'00_SKU_Master'!$M$2:$M$378,0)/$M$2,"0")</f>
        <v>#NAME?</v>
      </c>
      <c r="S263" s="556" t="e">
        <f ca="1">_xludf.IFNA(I265/_xlfn.XLOOKUP($M265,'00_SKU_Master'!$B$2:$B$378,'00_SKU_Master'!$M$2:$M$378,0)/$M$2,"0")</f>
        <v>#NAME?</v>
      </c>
      <c r="T263" s="556" t="e">
        <f ca="1">_xludf.IFNA(J265/_xlfn.XLOOKUP($M265,'00_SKU_Master'!$B$2:$B$378,'00_SKU_Master'!$M$2:$M$378,0)/$M$2,"0")</f>
        <v>#NAME?</v>
      </c>
      <c r="U263" s="556" t="e">
        <f t="shared" ca="1" si="27"/>
        <v>#NAME?</v>
      </c>
      <c r="V263" s="4"/>
      <c r="W263" s="4" t="e">
        <f>_xlfn.XLOOKUP(M265,'00_SKU_Master'!$B$2:$B$378,'00_SKU_Master'!D:D)</f>
        <v>#VALUE!</v>
      </c>
      <c r="X263" s="14">
        <f>'05_Daily_Orders'!B264</f>
        <v>207128</v>
      </c>
      <c r="Y263" s="554"/>
      <c r="Z263" s="555"/>
      <c r="AA263" s="555"/>
      <c r="AB263" s="555"/>
      <c r="AC263" s="555">
        <v>0</v>
      </c>
      <c r="AD263" s="555">
        <v>0</v>
      </c>
      <c r="AE263" s="555">
        <v>0</v>
      </c>
      <c r="AF263" s="553">
        <f t="shared" si="28"/>
        <v>0</v>
      </c>
    </row>
    <row r="264" spans="1:45">
      <c r="A264" s="138" t="e">
        <f>_xlfn.XLOOKUP(C266,'00_SKU_Master'!$B$2:$B$378,'00_SKU_Master'!$C$2:$C$378)</f>
        <v>#N/A</v>
      </c>
      <c r="B264" s="138"/>
      <c r="C264" s="138">
        <f t="shared" si="24"/>
        <v>0</v>
      </c>
      <c r="D264" s="552" t="e">
        <f ca="1">_xludf.IFNA(_xlfn.XLOOKUP(C266,'00_SKU_Master'!$B$2:$B$378,'00_SKU_Master'!$F$2:$F$378,0)*Y266,"")</f>
        <v>#NAME?</v>
      </c>
      <c r="E264" s="552" t="e">
        <f ca="1">_xludf.IFNA(_xlfn.XLOOKUP(C266,'00_SKU_Master'!$B$2:$B$378,'00_SKU_Master'!$F$2:$F$378,0)*Z266,"")</f>
        <v>#NAME?</v>
      </c>
      <c r="F264" s="552" t="e">
        <f ca="1">_xludf.IFNA(_xlfn.XLOOKUP(C266,'00_SKU_Master'!$B$2:$B$378,'00_SKU_Master'!$F$2:$F$378,0)*AA266,"")</f>
        <v>#NAME?</v>
      </c>
      <c r="G264" s="552" t="e">
        <f ca="1">_xludf.IFNA(_xlfn.XLOOKUP(C266,'00_SKU_Master'!$B$2:$B$378,'00_SKU_Master'!$F$2:$F$378,0)*AB266,"")</f>
        <v>#NAME?</v>
      </c>
      <c r="H264" s="552" t="e">
        <f ca="1">_xludf.IFNA(_xlfn.XLOOKUP(C266,'00_SKU_Master'!$B$2:$B$378,'00_SKU_Master'!$F$2:$F$378,0)*AC266,"")</f>
        <v>#NAME?</v>
      </c>
      <c r="I264" s="552" t="e">
        <f ca="1">_xludf.IFNA(_xlfn.XLOOKUP(C266,'00_SKU_Master'!$B$2:$B$378,'00_SKU_Master'!$F$2:$F$378,0)*AD266,"")</f>
        <v>#NAME?</v>
      </c>
      <c r="J264" s="552" t="e">
        <f ca="1">_xludf.IFNA(_xlfn.XLOOKUP(C266,'00_SKU_Master'!$B$2:$B$378,'00_SKU_Master'!$F$2:$F$378,0)*AE266,"")</f>
        <v>#NAME?</v>
      </c>
      <c r="K264" s="553" t="e">
        <f t="shared" ca="1" si="25"/>
        <v>#NAME?</v>
      </c>
      <c r="L264" s="187" t="e">
        <f>_xlfn.XLOOKUP(C266,'00_SKU_Master'!$B$2:$B$378,'00_SKU_Master'!K:K)</f>
        <v>#VALUE!</v>
      </c>
      <c r="M264" s="14">
        <f t="shared" si="26"/>
        <v>0</v>
      </c>
      <c r="N264" s="556" t="e">
        <f ca="1">_xludf.IFNA(D266/_xlfn.XLOOKUP($M266,'00_SKU_Master'!$B$2:$B$378,'00_SKU_Master'!$M$2:$M$378,0)/$M$2,"0")</f>
        <v>#NAME?</v>
      </c>
      <c r="O264" s="556" t="e">
        <f ca="1">_xludf.IFNA(E266/_xlfn.XLOOKUP($M266,'00_SKU_Master'!$B$2:$B$378,'00_SKU_Master'!$M$2:$M$378,0)/$M$2,"0")</f>
        <v>#NAME?</v>
      </c>
      <c r="P264" s="556" t="e">
        <f ca="1">_xludf.IFNA(F266/_xlfn.XLOOKUP($M266,'00_SKU_Master'!$B$2:$B$378,'00_SKU_Master'!$M$2:$M$378,0)/$M$2,"0")</f>
        <v>#NAME?</v>
      </c>
      <c r="Q264" s="556" t="e">
        <f ca="1">_xludf.IFNA(G266/_xlfn.XLOOKUP($M266,'00_SKU_Master'!$B$2:$B$378,'00_SKU_Master'!$M$2:$M$378,0)/$M$2,"0")</f>
        <v>#NAME?</v>
      </c>
      <c r="R264" s="556" t="e">
        <f ca="1">_xludf.IFNA(H266/_xlfn.XLOOKUP($M266,'00_SKU_Master'!$B$2:$B$378,'00_SKU_Master'!$M$2:$M$378,0)/$M$2,"0")</f>
        <v>#NAME?</v>
      </c>
      <c r="S264" s="556" t="e">
        <f ca="1">_xludf.IFNA(I266/_xlfn.XLOOKUP($M266,'00_SKU_Master'!$B$2:$B$378,'00_SKU_Master'!$M$2:$M$378,0)/$M$2,"0")</f>
        <v>#NAME?</v>
      </c>
      <c r="T264" s="556" t="e">
        <f ca="1">_xludf.IFNA(J266/_xlfn.XLOOKUP($M266,'00_SKU_Master'!$B$2:$B$378,'00_SKU_Master'!$M$2:$M$378,0)/$M$2,"0")</f>
        <v>#NAME?</v>
      </c>
      <c r="U264" s="556" t="e">
        <f t="shared" ca="1" si="27"/>
        <v>#NAME?</v>
      </c>
      <c r="V264" s="4"/>
      <c r="W264" s="4" t="e">
        <f>_xlfn.XLOOKUP(M266,'00_SKU_Master'!$B$2:$B$378,'00_SKU_Master'!D:D)</f>
        <v>#VALUE!</v>
      </c>
      <c r="X264" s="14">
        <f>'05_Daily_Orders'!B265</f>
        <v>0</v>
      </c>
      <c r="Y264" s="554"/>
      <c r="Z264" s="555"/>
      <c r="AA264" s="555"/>
      <c r="AB264" s="555"/>
      <c r="AC264" s="555">
        <v>0</v>
      </c>
      <c r="AD264" s="555">
        <v>0</v>
      </c>
      <c r="AE264" s="555">
        <v>0</v>
      </c>
      <c r="AF264" s="553">
        <f t="shared" si="28"/>
        <v>0</v>
      </c>
    </row>
    <row r="265" spans="1:45">
      <c r="A265" s="138" t="e">
        <f>_xlfn.XLOOKUP(C267,'00_SKU_Master'!$B$2:$B$378,'00_SKU_Master'!$C$2:$C$378)</f>
        <v>#N/A</v>
      </c>
      <c r="B265" s="138"/>
      <c r="C265" s="138">
        <f t="shared" si="24"/>
        <v>0</v>
      </c>
      <c r="D265" s="552" t="e">
        <f ca="1">_xludf.IFNA(_xlfn.XLOOKUP(C267,'00_SKU_Master'!$B$2:$B$378,'00_SKU_Master'!$F$2:$F$378,0)*Y267,"")</f>
        <v>#NAME?</v>
      </c>
      <c r="E265" s="552" t="e">
        <f ca="1">_xludf.IFNA(_xlfn.XLOOKUP(C267,'00_SKU_Master'!$B$2:$B$378,'00_SKU_Master'!$F$2:$F$378,0)*Z267,"")</f>
        <v>#NAME?</v>
      </c>
      <c r="F265" s="552" t="e">
        <f ca="1">_xludf.IFNA(_xlfn.XLOOKUP(C267,'00_SKU_Master'!$B$2:$B$378,'00_SKU_Master'!$F$2:$F$378,0)*AA267,"")</f>
        <v>#NAME?</v>
      </c>
      <c r="G265" s="552" t="e">
        <f ca="1">_xludf.IFNA(_xlfn.XLOOKUP(C267,'00_SKU_Master'!$B$2:$B$378,'00_SKU_Master'!$F$2:$F$378,0)*AB267,"")</f>
        <v>#NAME?</v>
      </c>
      <c r="H265" s="552" t="e">
        <f ca="1">_xludf.IFNA(_xlfn.XLOOKUP(C267,'00_SKU_Master'!$B$2:$B$378,'00_SKU_Master'!$F$2:$F$378,0)*AC267,"")</f>
        <v>#NAME?</v>
      </c>
      <c r="I265" s="552" t="e">
        <f ca="1">_xludf.IFNA(_xlfn.XLOOKUP(C267,'00_SKU_Master'!$B$2:$B$378,'00_SKU_Master'!$F$2:$F$378,0)*AD267,"")</f>
        <v>#NAME?</v>
      </c>
      <c r="J265" s="552" t="e">
        <f ca="1">_xludf.IFNA(_xlfn.XLOOKUP(C267,'00_SKU_Master'!$B$2:$B$378,'00_SKU_Master'!$F$2:$F$378,0)*AE267,"")</f>
        <v>#NAME?</v>
      </c>
      <c r="K265" s="553" t="e">
        <f t="shared" ca="1" si="25"/>
        <v>#NAME?</v>
      </c>
      <c r="L265" s="187" t="e">
        <f>_xlfn.XLOOKUP(C267,'00_SKU_Master'!$B$2:$B$378,'00_SKU_Master'!K:K)</f>
        <v>#VALUE!</v>
      </c>
      <c r="M265" s="14">
        <f t="shared" si="26"/>
        <v>0</v>
      </c>
      <c r="N265" s="556" t="e">
        <f ca="1">_xludf.IFNA(D267/_xlfn.XLOOKUP($M267,'00_SKU_Master'!$B$2:$B$378,'00_SKU_Master'!$M$2:$M$378,0)/$M$2,"0")</f>
        <v>#NAME?</v>
      </c>
      <c r="O265" s="556" t="e">
        <f ca="1">_xludf.IFNA(E267/_xlfn.XLOOKUP($M267,'00_SKU_Master'!$B$2:$B$378,'00_SKU_Master'!$M$2:$M$378,0)/$M$2,"0")</f>
        <v>#NAME?</v>
      </c>
      <c r="P265" s="556" t="e">
        <f ca="1">_xludf.IFNA(F267/_xlfn.XLOOKUP($M267,'00_SKU_Master'!$B$2:$B$378,'00_SKU_Master'!$M$2:$M$378,0)/$M$2,"0")</f>
        <v>#NAME?</v>
      </c>
      <c r="Q265" s="556" t="e">
        <f ca="1">_xludf.IFNA(G267/_xlfn.XLOOKUP($M267,'00_SKU_Master'!$B$2:$B$378,'00_SKU_Master'!$M$2:$M$378,0)/$M$2,"0")</f>
        <v>#NAME?</v>
      </c>
      <c r="R265" s="556" t="e">
        <f ca="1">_xludf.IFNA(H267/_xlfn.XLOOKUP($M267,'00_SKU_Master'!$B$2:$B$378,'00_SKU_Master'!$M$2:$M$378,0)/$M$2,"0")</f>
        <v>#NAME?</v>
      </c>
      <c r="S265" s="556" t="e">
        <f ca="1">_xludf.IFNA(I267/_xlfn.XLOOKUP($M267,'00_SKU_Master'!$B$2:$B$378,'00_SKU_Master'!$M$2:$M$378,0)/$M$2,"0")</f>
        <v>#NAME?</v>
      </c>
      <c r="T265" s="556" t="e">
        <f ca="1">_xludf.IFNA(J267/_xlfn.XLOOKUP($M267,'00_SKU_Master'!$B$2:$B$378,'00_SKU_Master'!$M$2:$M$378,0)/$M$2,"0")</f>
        <v>#NAME?</v>
      </c>
      <c r="U265" s="556" t="e">
        <f t="shared" ca="1" si="27"/>
        <v>#NAME?</v>
      </c>
      <c r="V265" s="4"/>
      <c r="W265" s="4" t="e">
        <f>_xlfn.XLOOKUP(M267,'00_SKU_Master'!$B$2:$B$378,'00_SKU_Master'!D:D)</f>
        <v>#VALUE!</v>
      </c>
      <c r="X265" s="14">
        <f>'05_Daily_Orders'!B266</f>
        <v>0</v>
      </c>
      <c r="Y265" s="554"/>
      <c r="Z265" s="555"/>
      <c r="AA265" s="555"/>
      <c r="AB265" s="555"/>
      <c r="AC265" s="555"/>
      <c r="AD265" s="555"/>
      <c r="AE265" s="555"/>
      <c r="AF265" s="553">
        <f t="shared" si="28"/>
        <v>0</v>
      </c>
    </row>
    <row r="266" spans="1:45">
      <c r="A266" s="138" t="e">
        <f>_xlfn.XLOOKUP(C268,'00_SKU_Master'!$B$2:$B$378,'00_SKU_Master'!$C$2:$C$378)</f>
        <v>#N/A</v>
      </c>
      <c r="B266" s="138"/>
      <c r="C266" s="138">
        <f t="shared" si="24"/>
        <v>0</v>
      </c>
      <c r="D266" s="552" t="e">
        <f ca="1">_xludf.IFNA(_xlfn.XLOOKUP(C268,'00_SKU_Master'!$B$2:$B$378,'00_SKU_Master'!$F$2:$F$378,0)*Y268,"")</f>
        <v>#NAME?</v>
      </c>
      <c r="E266" s="552" t="e">
        <f ca="1">_xludf.IFNA(_xlfn.XLOOKUP(C268,'00_SKU_Master'!$B$2:$B$378,'00_SKU_Master'!$F$2:$F$378,0)*Z268,"")</f>
        <v>#NAME?</v>
      </c>
      <c r="F266" s="552" t="e">
        <f ca="1">_xludf.IFNA(_xlfn.XLOOKUP(C268,'00_SKU_Master'!$B$2:$B$378,'00_SKU_Master'!$F$2:$F$378,0)*AA268,"")</f>
        <v>#NAME?</v>
      </c>
      <c r="G266" s="552" t="e">
        <f ca="1">_xludf.IFNA(_xlfn.XLOOKUP(C268,'00_SKU_Master'!$B$2:$B$378,'00_SKU_Master'!$F$2:$F$378,0)*AB268,"")</f>
        <v>#NAME?</v>
      </c>
      <c r="H266" s="552" t="e">
        <f ca="1">_xludf.IFNA(_xlfn.XLOOKUP(C268,'00_SKU_Master'!$B$2:$B$378,'00_SKU_Master'!$F$2:$F$378,0)*AC268,"")</f>
        <v>#NAME?</v>
      </c>
      <c r="I266" s="552" t="e">
        <f ca="1">_xludf.IFNA(_xlfn.XLOOKUP(C268,'00_SKU_Master'!$B$2:$B$378,'00_SKU_Master'!$F$2:$F$378,0)*AD268,"")</f>
        <v>#NAME?</v>
      </c>
      <c r="J266" s="552" t="e">
        <f ca="1">_xludf.IFNA(_xlfn.XLOOKUP(C268,'00_SKU_Master'!$B$2:$B$378,'00_SKU_Master'!$F$2:$F$378,0)*AE268,"")</f>
        <v>#NAME?</v>
      </c>
      <c r="K266" s="553" t="e">
        <f t="shared" ca="1" si="25"/>
        <v>#NAME?</v>
      </c>
      <c r="L266" s="187" t="e">
        <f>_xlfn.XLOOKUP(C268,'00_SKU_Master'!$B$2:$B$378,'00_SKU_Master'!K:K)</f>
        <v>#VALUE!</v>
      </c>
      <c r="M266" s="14">
        <f t="shared" si="26"/>
        <v>0</v>
      </c>
      <c r="N266" s="556" t="e">
        <f ca="1">_xludf.IFNA(D268/_xlfn.XLOOKUP($M268,'00_SKU_Master'!$B$2:$B$378,'00_SKU_Master'!$M$2:$M$378,0)/$M$2,"0")</f>
        <v>#NAME?</v>
      </c>
      <c r="O266" s="556" t="e">
        <f ca="1">_xludf.IFNA(E268/_xlfn.XLOOKUP($M268,'00_SKU_Master'!$B$2:$B$378,'00_SKU_Master'!$M$2:$M$378,0)/$M$2,"0")</f>
        <v>#NAME?</v>
      </c>
      <c r="P266" s="556" t="e">
        <f ca="1">_xludf.IFNA(F268/_xlfn.XLOOKUP($M268,'00_SKU_Master'!$B$2:$B$378,'00_SKU_Master'!$M$2:$M$378,0)/$M$2,"0")</f>
        <v>#NAME?</v>
      </c>
      <c r="Q266" s="556" t="e">
        <f ca="1">_xludf.IFNA(G268/_xlfn.XLOOKUP($M268,'00_SKU_Master'!$B$2:$B$378,'00_SKU_Master'!$M$2:$M$378,0)/$M$2,"0")</f>
        <v>#NAME?</v>
      </c>
      <c r="R266" s="556" t="e">
        <f ca="1">_xludf.IFNA(H268/_xlfn.XLOOKUP($M268,'00_SKU_Master'!$B$2:$B$378,'00_SKU_Master'!$M$2:$M$378,0)/$M$2,"0")</f>
        <v>#NAME?</v>
      </c>
      <c r="S266" s="556" t="e">
        <f ca="1">_xludf.IFNA(I268/_xlfn.XLOOKUP($M268,'00_SKU_Master'!$B$2:$B$378,'00_SKU_Master'!$M$2:$M$378,0)/$M$2,"0")</f>
        <v>#NAME?</v>
      </c>
      <c r="T266" s="556" t="e">
        <f ca="1">_xludf.IFNA(J268/_xlfn.XLOOKUP($M268,'00_SKU_Master'!$B$2:$B$378,'00_SKU_Master'!$M$2:$M$378,0)/$M$2,"0")</f>
        <v>#NAME?</v>
      </c>
      <c r="U266" s="556" t="e">
        <f t="shared" ca="1" si="27"/>
        <v>#NAME?</v>
      </c>
      <c r="V266" s="4"/>
      <c r="W266" s="4" t="e">
        <f>_xlfn.XLOOKUP(M268,'00_SKU_Master'!$B$2:$B$378,'00_SKU_Master'!D:D)</f>
        <v>#VALUE!</v>
      </c>
      <c r="X266" s="14">
        <f>'05_Daily_Orders'!B267</f>
        <v>0</v>
      </c>
      <c r="Y266" s="554"/>
      <c r="Z266" s="555"/>
      <c r="AA266" s="555"/>
      <c r="AB266" s="555"/>
      <c r="AC266" s="555"/>
      <c r="AD266" s="555"/>
      <c r="AE266" s="555"/>
      <c r="AF266" s="553">
        <f t="shared" si="28"/>
        <v>0</v>
      </c>
    </row>
    <row r="267" spans="1:45">
      <c r="A267" s="138" t="e">
        <f>_xlfn.XLOOKUP(C269,'00_SKU_Master'!$B$2:$B$378,'00_SKU_Master'!$C$2:$C$378)</f>
        <v>#N/A</v>
      </c>
      <c r="B267" s="138"/>
      <c r="C267" s="138">
        <f t="shared" si="24"/>
        <v>0</v>
      </c>
      <c r="D267" s="552" t="e">
        <f ca="1">_xludf.IFNA(_xlfn.XLOOKUP(C269,'00_SKU_Master'!$B$2:$B$378,'00_SKU_Master'!$F$2:$F$378,0)*Y269,"")</f>
        <v>#NAME?</v>
      </c>
      <c r="E267" s="552" t="e">
        <f ca="1">_xludf.IFNA(_xlfn.XLOOKUP(C269,'00_SKU_Master'!$B$2:$B$378,'00_SKU_Master'!$F$2:$F$378,0)*Z269,"")</f>
        <v>#NAME?</v>
      </c>
      <c r="F267" s="552" t="e">
        <f ca="1">_xludf.IFNA(_xlfn.XLOOKUP(C269,'00_SKU_Master'!$B$2:$B$378,'00_SKU_Master'!$F$2:$F$378,0)*AA269,"")</f>
        <v>#NAME?</v>
      </c>
      <c r="G267" s="552" t="e">
        <f ca="1">_xludf.IFNA(_xlfn.XLOOKUP(C269,'00_SKU_Master'!$B$2:$B$378,'00_SKU_Master'!$F$2:$F$378,0)*AB269,"")</f>
        <v>#NAME?</v>
      </c>
      <c r="H267" s="552" t="e">
        <f ca="1">_xludf.IFNA(_xlfn.XLOOKUP(C269,'00_SKU_Master'!$B$2:$B$378,'00_SKU_Master'!$F$2:$F$378,0)*AC269,"")</f>
        <v>#NAME?</v>
      </c>
      <c r="I267" s="552" t="e">
        <f ca="1">_xludf.IFNA(_xlfn.XLOOKUP(C269,'00_SKU_Master'!$B$2:$B$378,'00_SKU_Master'!$F$2:$F$378,0)*AD269,"")</f>
        <v>#NAME?</v>
      </c>
      <c r="J267" s="552" t="e">
        <f ca="1">_xludf.IFNA(_xlfn.XLOOKUP(C269,'00_SKU_Master'!$B$2:$B$378,'00_SKU_Master'!$F$2:$F$378,0)*AE269,"")</f>
        <v>#NAME?</v>
      </c>
      <c r="K267" s="553" t="e">
        <f t="shared" ca="1" si="25"/>
        <v>#NAME?</v>
      </c>
      <c r="L267" s="187" t="e">
        <f>_xlfn.XLOOKUP(C269,'00_SKU_Master'!$B$2:$B$378,'00_SKU_Master'!K:K)</f>
        <v>#VALUE!</v>
      </c>
      <c r="M267" s="14">
        <f t="shared" si="26"/>
        <v>0</v>
      </c>
      <c r="N267" s="556" t="e">
        <f ca="1">_xludf.IFNA(D269/_xlfn.XLOOKUP($M269,'00_SKU_Master'!$B$2:$B$378,'00_SKU_Master'!$M$2:$M$378,0)/$M$2,"0")</f>
        <v>#NAME?</v>
      </c>
      <c r="O267" s="556" t="e">
        <f ca="1">_xludf.IFNA(E269/_xlfn.XLOOKUP($M269,'00_SKU_Master'!$B$2:$B$378,'00_SKU_Master'!$M$2:$M$378,0)/$M$2,"0")</f>
        <v>#NAME?</v>
      </c>
      <c r="P267" s="556" t="e">
        <f ca="1">_xludf.IFNA(F269/_xlfn.XLOOKUP($M269,'00_SKU_Master'!$B$2:$B$378,'00_SKU_Master'!$M$2:$M$378,0)/$M$2,"0")</f>
        <v>#NAME?</v>
      </c>
      <c r="Q267" s="556" t="e">
        <f ca="1">_xludf.IFNA(G269/_xlfn.XLOOKUP($M269,'00_SKU_Master'!$B$2:$B$378,'00_SKU_Master'!$M$2:$M$378,0)/$M$2,"0")</f>
        <v>#NAME?</v>
      </c>
      <c r="R267" s="556" t="e">
        <f ca="1">_xludf.IFNA(H269/_xlfn.XLOOKUP($M269,'00_SKU_Master'!$B$2:$B$378,'00_SKU_Master'!$M$2:$M$378,0)/$M$2,"0")</f>
        <v>#NAME?</v>
      </c>
      <c r="S267" s="556" t="e">
        <f ca="1">_xludf.IFNA(I269/_xlfn.XLOOKUP($M269,'00_SKU_Master'!$B$2:$B$378,'00_SKU_Master'!$M$2:$M$378,0)/$M$2,"0")</f>
        <v>#NAME?</v>
      </c>
      <c r="T267" s="556" t="e">
        <f ca="1">_xludf.IFNA(J269/_xlfn.XLOOKUP($M269,'00_SKU_Master'!$B$2:$B$378,'00_SKU_Master'!$M$2:$M$378,0)/$M$2,"0")</f>
        <v>#NAME?</v>
      </c>
      <c r="U267" s="556" t="e">
        <f t="shared" ca="1" si="27"/>
        <v>#NAME?</v>
      </c>
      <c r="V267" s="4"/>
      <c r="W267" s="4" t="e">
        <f>_xlfn.XLOOKUP(M269,'00_SKU_Master'!$B$2:$B$378,'00_SKU_Master'!D:D)</f>
        <v>#VALUE!</v>
      </c>
      <c r="X267" s="14">
        <f>'05_Daily_Orders'!B268</f>
        <v>0</v>
      </c>
      <c r="Y267" s="554"/>
      <c r="Z267" s="555"/>
      <c r="AA267" s="555"/>
      <c r="AB267" s="555"/>
      <c r="AC267" s="555"/>
      <c r="AD267" s="555"/>
      <c r="AE267" s="555"/>
      <c r="AF267" s="553">
        <f t="shared" si="28"/>
        <v>0</v>
      </c>
    </row>
    <row r="268" spans="1:45">
      <c r="A268" s="138" t="e">
        <f>_xlfn.XLOOKUP(C270,'00_SKU_Master'!$B$2:$B$378,'00_SKU_Master'!$C$2:$C$378)</f>
        <v>#N/A</v>
      </c>
      <c r="B268" s="138"/>
      <c r="C268" s="138">
        <f t="shared" si="24"/>
        <v>0</v>
      </c>
      <c r="D268" s="552" t="e">
        <f ca="1">_xludf.IFNA(_xlfn.XLOOKUP(C270,'00_SKU_Master'!$B$2:$B$378,'00_SKU_Master'!$F$2:$F$378,0)*Y270,"")</f>
        <v>#NAME?</v>
      </c>
      <c r="E268" s="552" t="e">
        <f ca="1">_xludf.IFNA(_xlfn.XLOOKUP(C270,'00_SKU_Master'!$B$2:$B$378,'00_SKU_Master'!$F$2:$F$378,0)*Z270,"")</f>
        <v>#NAME?</v>
      </c>
      <c r="F268" s="552" t="e">
        <f ca="1">_xludf.IFNA(_xlfn.XLOOKUP(C270,'00_SKU_Master'!$B$2:$B$378,'00_SKU_Master'!$F$2:$F$378,0)*AA270,"")</f>
        <v>#NAME?</v>
      </c>
      <c r="G268" s="552" t="e">
        <f ca="1">_xludf.IFNA(_xlfn.XLOOKUP(C270,'00_SKU_Master'!$B$2:$B$378,'00_SKU_Master'!$F$2:$F$378,0)*AB270,"")</f>
        <v>#NAME?</v>
      </c>
      <c r="H268" s="552" t="e">
        <f ca="1">_xludf.IFNA(_xlfn.XLOOKUP(C270,'00_SKU_Master'!$B$2:$B$378,'00_SKU_Master'!$F$2:$F$378,0)*AC270,"")</f>
        <v>#NAME?</v>
      </c>
      <c r="I268" s="552" t="e">
        <f ca="1">_xludf.IFNA(_xlfn.XLOOKUP(C270,'00_SKU_Master'!$B$2:$B$378,'00_SKU_Master'!$F$2:$F$378,0)*AD270,"")</f>
        <v>#NAME?</v>
      </c>
      <c r="J268" s="552" t="e">
        <f ca="1">_xludf.IFNA(_xlfn.XLOOKUP(C270,'00_SKU_Master'!$B$2:$B$378,'00_SKU_Master'!$F$2:$F$378,0)*AE270,"")</f>
        <v>#NAME?</v>
      </c>
      <c r="K268" s="553" t="e">
        <f t="shared" ca="1" si="25"/>
        <v>#NAME?</v>
      </c>
      <c r="L268" s="187" t="e">
        <f>_xlfn.XLOOKUP(C270,'00_SKU_Master'!$B$2:$B$378,'00_SKU_Master'!K:K)</f>
        <v>#VALUE!</v>
      </c>
      <c r="M268" s="14">
        <f t="shared" si="26"/>
        <v>0</v>
      </c>
      <c r="N268" s="556" t="e">
        <f ca="1">_xludf.IFNA(D270/_xlfn.XLOOKUP($M270,'00_SKU_Master'!$B$2:$B$378,'00_SKU_Master'!$M$2:$M$378,0)/$M$2,"0")</f>
        <v>#NAME?</v>
      </c>
      <c r="O268" s="556" t="e">
        <f ca="1">_xludf.IFNA(E270/_xlfn.XLOOKUP($M270,'00_SKU_Master'!$B$2:$B$378,'00_SKU_Master'!$M$2:$M$378,0)/$M$2,"0")</f>
        <v>#NAME?</v>
      </c>
      <c r="P268" s="556" t="e">
        <f ca="1">_xludf.IFNA(F270/_xlfn.XLOOKUP($M270,'00_SKU_Master'!$B$2:$B$378,'00_SKU_Master'!$M$2:$M$378,0)/$M$2,"0")</f>
        <v>#NAME?</v>
      </c>
      <c r="Q268" s="556" t="e">
        <f ca="1">_xludf.IFNA(G270/_xlfn.XLOOKUP($M270,'00_SKU_Master'!$B$2:$B$378,'00_SKU_Master'!$M$2:$M$378,0)/$M$2,"0")</f>
        <v>#NAME?</v>
      </c>
      <c r="R268" s="556" t="e">
        <f ca="1">_xludf.IFNA(H270/_xlfn.XLOOKUP($M270,'00_SKU_Master'!$B$2:$B$378,'00_SKU_Master'!$M$2:$M$378,0)/$M$2,"0")</f>
        <v>#NAME?</v>
      </c>
      <c r="S268" s="556" t="e">
        <f ca="1">_xludf.IFNA(I270/_xlfn.XLOOKUP($M270,'00_SKU_Master'!$B$2:$B$378,'00_SKU_Master'!$M$2:$M$378,0)/$M$2,"0")</f>
        <v>#NAME?</v>
      </c>
      <c r="T268" s="556" t="e">
        <f ca="1">_xludf.IFNA(J270/_xlfn.XLOOKUP($M270,'00_SKU_Master'!$B$2:$B$378,'00_SKU_Master'!$M$2:$M$378,0)/$M$2,"0")</f>
        <v>#NAME?</v>
      </c>
      <c r="U268" s="556" t="e">
        <f t="shared" ca="1" si="27"/>
        <v>#NAME?</v>
      </c>
      <c r="V268" s="4"/>
      <c r="W268" s="4" t="e">
        <f>_xlfn.XLOOKUP(M270,'00_SKU_Master'!$B$2:$B$378,'00_SKU_Master'!D:D)</f>
        <v>#VALUE!</v>
      </c>
      <c r="X268" s="14">
        <f>'05_Daily_Orders'!B269</f>
        <v>0</v>
      </c>
      <c r="Y268" s="554"/>
      <c r="Z268" s="555"/>
      <c r="AA268" s="555"/>
      <c r="AB268" s="555"/>
      <c r="AC268" s="555"/>
      <c r="AD268" s="555"/>
      <c r="AE268" s="555"/>
      <c r="AF268" s="553">
        <f t="shared" si="28"/>
        <v>0</v>
      </c>
    </row>
    <row r="269" spans="1:45">
      <c r="A269" s="138" t="e">
        <f>_xlfn.XLOOKUP(C271,'00_SKU_Master'!$B$2:$B$378,'00_SKU_Master'!$C$2:$C$378)</f>
        <v>#N/A</v>
      </c>
      <c r="B269" s="138"/>
      <c r="C269" s="138">
        <f t="shared" si="24"/>
        <v>0</v>
      </c>
      <c r="D269" s="552" t="e">
        <f ca="1">_xludf.IFNA(_xlfn.XLOOKUP(C271,'00_SKU_Master'!$B$2:$B$378,'00_SKU_Master'!$F$2:$F$378,0)*Y271,"")</f>
        <v>#NAME?</v>
      </c>
      <c r="E269" s="552" t="e">
        <f ca="1">_xludf.IFNA(_xlfn.XLOOKUP(C271,'00_SKU_Master'!$B$2:$B$378,'00_SKU_Master'!$F$2:$F$378,0)*Z271,"")</f>
        <v>#NAME?</v>
      </c>
      <c r="F269" s="552" t="e">
        <f ca="1">_xludf.IFNA(_xlfn.XLOOKUP(C271,'00_SKU_Master'!$B$2:$B$378,'00_SKU_Master'!$F$2:$F$378,0)*AA271,"")</f>
        <v>#NAME?</v>
      </c>
      <c r="G269" s="552" t="e">
        <f ca="1">_xludf.IFNA(_xlfn.XLOOKUP(C271,'00_SKU_Master'!$B$2:$B$378,'00_SKU_Master'!$F$2:$F$378,0)*AB271,"")</f>
        <v>#NAME?</v>
      </c>
      <c r="H269" s="552" t="e">
        <f ca="1">_xludf.IFNA(_xlfn.XLOOKUP(C271,'00_SKU_Master'!$B$2:$B$378,'00_SKU_Master'!$F$2:$F$378,0)*AC271,"")</f>
        <v>#NAME?</v>
      </c>
      <c r="I269" s="552" t="e">
        <f ca="1">_xludf.IFNA(_xlfn.XLOOKUP(C271,'00_SKU_Master'!$B$2:$B$378,'00_SKU_Master'!$F$2:$F$378,0)*AD271,"")</f>
        <v>#NAME?</v>
      </c>
      <c r="J269" s="552" t="e">
        <f ca="1">_xludf.IFNA(_xlfn.XLOOKUP(C271,'00_SKU_Master'!$B$2:$B$378,'00_SKU_Master'!$F$2:$F$378,0)*AE271,"")</f>
        <v>#NAME?</v>
      </c>
      <c r="K269" s="553" t="e">
        <f t="shared" ca="1" si="25"/>
        <v>#NAME?</v>
      </c>
      <c r="L269" s="187" t="e">
        <f>_xlfn.XLOOKUP(C271,'00_SKU_Master'!$B$2:$B$378,'00_SKU_Master'!K:K)</f>
        <v>#VALUE!</v>
      </c>
      <c r="M269" s="14">
        <f t="shared" si="26"/>
        <v>0</v>
      </c>
      <c r="N269" s="556" t="e">
        <f ca="1">_xludf.IFNA(D271/_xlfn.XLOOKUP($M271,'00_SKU_Master'!$B$2:$B$378,'00_SKU_Master'!$M$2:$M$378,0)/$M$2,"0")</f>
        <v>#NAME?</v>
      </c>
      <c r="O269" s="556" t="e">
        <f ca="1">_xludf.IFNA(E271/_xlfn.XLOOKUP($M271,'00_SKU_Master'!$B$2:$B$378,'00_SKU_Master'!$M$2:$M$378,0)/$M$2,"0")</f>
        <v>#NAME?</v>
      </c>
      <c r="P269" s="556" t="e">
        <f ca="1">_xludf.IFNA(F271/_xlfn.XLOOKUP($M271,'00_SKU_Master'!$B$2:$B$378,'00_SKU_Master'!$M$2:$M$378,0)/$M$2,"0")</f>
        <v>#NAME?</v>
      </c>
      <c r="Q269" s="556" t="e">
        <f ca="1">_xludf.IFNA(G271/_xlfn.XLOOKUP($M271,'00_SKU_Master'!$B$2:$B$378,'00_SKU_Master'!$M$2:$M$378,0)/$M$2,"0")</f>
        <v>#NAME?</v>
      </c>
      <c r="R269" s="556" t="e">
        <f ca="1">_xludf.IFNA(H271/_xlfn.XLOOKUP($M271,'00_SKU_Master'!$B$2:$B$378,'00_SKU_Master'!$M$2:$M$378,0)/$M$2,"0")</f>
        <v>#NAME?</v>
      </c>
      <c r="S269" s="556" t="e">
        <f ca="1">_xludf.IFNA(I271/_xlfn.XLOOKUP($M271,'00_SKU_Master'!$B$2:$B$378,'00_SKU_Master'!$M$2:$M$378,0)/$M$2,"0")</f>
        <v>#NAME?</v>
      </c>
      <c r="T269" s="556" t="e">
        <f ca="1">_xludf.IFNA(J271/_xlfn.XLOOKUP($M271,'00_SKU_Master'!$B$2:$B$378,'00_SKU_Master'!$M$2:$M$378,0)/$M$2,"0")</f>
        <v>#NAME?</v>
      </c>
      <c r="U269" s="556" t="e">
        <f t="shared" ca="1" si="27"/>
        <v>#NAME?</v>
      </c>
      <c r="V269" s="4"/>
      <c r="W269" s="4" t="e">
        <f>_xlfn.XLOOKUP(M271,'00_SKU_Master'!$B$2:$B$378,'00_SKU_Master'!D:D)</f>
        <v>#VALUE!</v>
      </c>
      <c r="X269" s="14">
        <f>'05_Daily_Orders'!B270</f>
        <v>0</v>
      </c>
      <c r="Y269" s="554"/>
      <c r="Z269" s="555"/>
      <c r="AA269" s="555"/>
      <c r="AB269" s="555"/>
      <c r="AC269" s="555"/>
      <c r="AD269" s="555"/>
      <c r="AE269" s="555"/>
      <c r="AF269" s="553">
        <f t="shared" si="28"/>
        <v>0</v>
      </c>
    </row>
    <row r="270" spans="1:45">
      <c r="A270" s="138" t="e">
        <f>_xlfn.XLOOKUP(C272,'00_SKU_Master'!$B$2:$B$378,'00_SKU_Master'!$C$2:$C$378)</f>
        <v>#N/A</v>
      </c>
      <c r="B270" s="138"/>
      <c r="C270" s="138">
        <f t="shared" si="24"/>
        <v>0</v>
      </c>
      <c r="D270" s="552" t="e">
        <f ca="1">_xludf.IFNA(_xlfn.XLOOKUP(C272,'00_SKU_Master'!$B$2:$B$378,'00_SKU_Master'!$F$2:$F$378,0)*Y272,"")</f>
        <v>#NAME?</v>
      </c>
      <c r="E270" s="552" t="e">
        <f ca="1">_xludf.IFNA(_xlfn.XLOOKUP(C272,'00_SKU_Master'!$B$2:$B$378,'00_SKU_Master'!$F$2:$F$378,0)*Z272,"")</f>
        <v>#NAME?</v>
      </c>
      <c r="F270" s="552" t="e">
        <f ca="1">_xludf.IFNA(_xlfn.XLOOKUP(C272,'00_SKU_Master'!$B$2:$B$378,'00_SKU_Master'!$F$2:$F$378,0)*AA272,"")</f>
        <v>#NAME?</v>
      </c>
      <c r="G270" s="552" t="e">
        <f ca="1">_xludf.IFNA(_xlfn.XLOOKUP(C272,'00_SKU_Master'!$B$2:$B$378,'00_SKU_Master'!$F$2:$F$378,0)*AB272,"")</f>
        <v>#NAME?</v>
      </c>
      <c r="H270" s="552" t="e">
        <f ca="1">_xludf.IFNA(_xlfn.XLOOKUP(C272,'00_SKU_Master'!$B$2:$B$378,'00_SKU_Master'!$F$2:$F$378,0)*AC272,"")</f>
        <v>#NAME?</v>
      </c>
      <c r="I270" s="552" t="e">
        <f ca="1">_xludf.IFNA(_xlfn.XLOOKUP(C272,'00_SKU_Master'!$B$2:$B$378,'00_SKU_Master'!$F$2:$F$378,0)*AD272,"")</f>
        <v>#NAME?</v>
      </c>
      <c r="J270" s="552" t="e">
        <f ca="1">_xludf.IFNA(_xlfn.XLOOKUP(C272,'00_SKU_Master'!$B$2:$B$378,'00_SKU_Master'!$F$2:$F$378,0)*AE272,"")</f>
        <v>#NAME?</v>
      </c>
      <c r="K270" s="553" t="e">
        <f t="shared" ca="1" si="25"/>
        <v>#NAME?</v>
      </c>
      <c r="L270" s="187" t="e">
        <f>_xlfn.XLOOKUP(C272,'00_SKU_Master'!$B$2:$B$378,'00_SKU_Master'!K:K)</f>
        <v>#VALUE!</v>
      </c>
      <c r="M270" s="14">
        <f t="shared" si="26"/>
        <v>0</v>
      </c>
      <c r="N270" s="556" t="e">
        <f ca="1">_xludf.IFNA(D272/_xlfn.XLOOKUP($M272,'00_SKU_Master'!$B$2:$B$378,'00_SKU_Master'!$M$2:$M$378,0)/$M$2,"0")</f>
        <v>#NAME?</v>
      </c>
      <c r="O270" s="556" t="e">
        <f ca="1">_xludf.IFNA(E272/_xlfn.XLOOKUP($M272,'00_SKU_Master'!$B$2:$B$378,'00_SKU_Master'!$M$2:$M$378,0)/$M$2,"0")</f>
        <v>#NAME?</v>
      </c>
      <c r="P270" s="556" t="e">
        <f ca="1">_xludf.IFNA(F272/_xlfn.XLOOKUP($M272,'00_SKU_Master'!$B$2:$B$378,'00_SKU_Master'!$M$2:$M$378,0)/$M$2,"0")</f>
        <v>#NAME?</v>
      </c>
      <c r="Q270" s="556" t="e">
        <f ca="1">_xludf.IFNA(G272/_xlfn.XLOOKUP($M272,'00_SKU_Master'!$B$2:$B$378,'00_SKU_Master'!$M$2:$M$378,0)/$M$2,"0")</f>
        <v>#NAME?</v>
      </c>
      <c r="R270" s="556" t="e">
        <f ca="1">_xludf.IFNA(H272/_xlfn.XLOOKUP($M272,'00_SKU_Master'!$B$2:$B$378,'00_SKU_Master'!$M$2:$M$378,0)/$M$2,"0")</f>
        <v>#NAME?</v>
      </c>
      <c r="S270" s="556" t="e">
        <f ca="1">_xludf.IFNA(I272/_xlfn.XLOOKUP($M272,'00_SKU_Master'!$B$2:$B$378,'00_SKU_Master'!$M$2:$M$378,0)/$M$2,"0")</f>
        <v>#NAME?</v>
      </c>
      <c r="T270" s="556" t="e">
        <f ca="1">_xludf.IFNA(J272/_xlfn.XLOOKUP($M272,'00_SKU_Master'!$B$2:$B$378,'00_SKU_Master'!$M$2:$M$378,0)/$M$2,"0")</f>
        <v>#NAME?</v>
      </c>
      <c r="U270" s="556" t="e">
        <f t="shared" ca="1" si="27"/>
        <v>#NAME?</v>
      </c>
      <c r="V270" s="4"/>
      <c r="W270" s="4" t="e">
        <f>_xlfn.XLOOKUP(M272,'00_SKU_Master'!$B$2:$B$378,'00_SKU_Master'!D:D)</f>
        <v>#VALUE!</v>
      </c>
      <c r="X270" s="14">
        <f>'05_Daily_Orders'!B271</f>
        <v>0</v>
      </c>
      <c r="Y270" s="554"/>
      <c r="Z270" s="555"/>
      <c r="AA270" s="555"/>
      <c r="AB270" s="555"/>
      <c r="AC270" s="555"/>
      <c r="AD270" s="555"/>
      <c r="AE270" s="555"/>
      <c r="AF270" s="553">
        <f t="shared" si="28"/>
        <v>0</v>
      </c>
    </row>
    <row r="271" spans="1:45">
      <c r="A271" s="138" t="e">
        <f>_xlfn.XLOOKUP(C273,'00_SKU_Master'!$B$2:$B$378,'00_SKU_Master'!$C$2:$C$378)</f>
        <v>#N/A</v>
      </c>
      <c r="B271" s="138"/>
      <c r="C271" s="138">
        <f t="shared" si="24"/>
        <v>0</v>
      </c>
      <c r="D271" s="552" t="e">
        <f ca="1">_xludf.IFNA(_xlfn.XLOOKUP(C273,'00_SKU_Master'!$B$2:$B$378,'00_SKU_Master'!$F$2:$F$378,0)*Y273,"")</f>
        <v>#NAME?</v>
      </c>
      <c r="E271" s="552" t="e">
        <f ca="1">_xludf.IFNA(_xlfn.XLOOKUP(C273,'00_SKU_Master'!$B$2:$B$378,'00_SKU_Master'!$F$2:$F$378,0)*Z273,"")</f>
        <v>#NAME?</v>
      </c>
      <c r="F271" s="552" t="e">
        <f ca="1">_xludf.IFNA(_xlfn.XLOOKUP(C273,'00_SKU_Master'!$B$2:$B$378,'00_SKU_Master'!$F$2:$F$378,0)*AA273,"")</f>
        <v>#NAME?</v>
      </c>
      <c r="G271" s="552" t="e">
        <f ca="1">_xludf.IFNA(_xlfn.XLOOKUP(C273,'00_SKU_Master'!$B$2:$B$378,'00_SKU_Master'!$F$2:$F$378,0)*AB273,"")</f>
        <v>#NAME?</v>
      </c>
      <c r="H271" s="552" t="e">
        <f ca="1">_xludf.IFNA(_xlfn.XLOOKUP(C273,'00_SKU_Master'!$B$2:$B$378,'00_SKU_Master'!$F$2:$F$378,0)*AC273,"")</f>
        <v>#NAME?</v>
      </c>
      <c r="I271" s="552" t="e">
        <f ca="1">_xludf.IFNA(_xlfn.XLOOKUP(C273,'00_SKU_Master'!$B$2:$B$378,'00_SKU_Master'!$F$2:$F$378,0)*AD273,"")</f>
        <v>#NAME?</v>
      </c>
      <c r="J271" s="552" t="e">
        <f ca="1">_xludf.IFNA(_xlfn.XLOOKUP(C273,'00_SKU_Master'!$B$2:$B$378,'00_SKU_Master'!$F$2:$F$378,0)*AE273,"")</f>
        <v>#NAME?</v>
      </c>
      <c r="K271" s="553">
        <f t="shared" si="25"/>
        <v>0</v>
      </c>
      <c r="L271" s="187" t="e">
        <f>_xlfn.XLOOKUP(C273,'00_SKU_Master'!$B$2:$B$378,'00_SKU_Master'!K:K)</f>
        <v>#VALUE!</v>
      </c>
      <c r="M271" s="14">
        <f t="shared" si="26"/>
        <v>0</v>
      </c>
      <c r="N271" s="556" t="e">
        <f ca="1">_xludf.IFNA(D273/_xlfn.XLOOKUP($M273,'00_SKU_Master'!$B$2:$B$378,'00_SKU_Master'!$M$2:$M$378,0)/$M$2,"0")</f>
        <v>#NAME?</v>
      </c>
      <c r="O271" s="556" t="e">
        <f ca="1">_xludf.IFNA(E273/_xlfn.XLOOKUP($M273,'00_SKU_Master'!$B$2:$B$378,'00_SKU_Master'!$M$2:$M$378,0)/$M$2,"0")</f>
        <v>#NAME?</v>
      </c>
      <c r="P271" s="556" t="e">
        <f ca="1">_xludf.IFNA(F273/_xlfn.XLOOKUP($M273,'00_SKU_Master'!$B$2:$B$378,'00_SKU_Master'!$M$2:$M$378,0)/$M$2,"0")</f>
        <v>#NAME?</v>
      </c>
      <c r="Q271" s="556" t="e">
        <f ca="1">_xludf.IFNA(G273/_xlfn.XLOOKUP($M273,'00_SKU_Master'!$B$2:$B$378,'00_SKU_Master'!$M$2:$M$378,0)/$M$2,"0")</f>
        <v>#NAME?</v>
      </c>
      <c r="R271" s="556" t="e">
        <f ca="1">_xludf.IFNA(H273/_xlfn.XLOOKUP($M273,'00_SKU_Master'!$B$2:$B$378,'00_SKU_Master'!$M$2:$M$378,0)/$M$2,"0")</f>
        <v>#NAME?</v>
      </c>
      <c r="S271" s="556" t="e">
        <f ca="1">_xludf.IFNA(I273/_xlfn.XLOOKUP($M273,'00_SKU_Master'!$B$2:$B$378,'00_SKU_Master'!$M$2:$M$378,0)/$M$2,"0")</f>
        <v>#NAME?</v>
      </c>
      <c r="T271" s="556" t="e">
        <f ca="1">_xludf.IFNA(J273/_xlfn.XLOOKUP($M273,'00_SKU_Master'!$B$2:$B$378,'00_SKU_Master'!$M$2:$M$378,0)/$M$2,"0")</f>
        <v>#NAME?</v>
      </c>
      <c r="U271" s="556">
        <f t="shared" si="27"/>
        <v>0</v>
      </c>
      <c r="V271" s="4"/>
      <c r="W271" s="4" t="e">
        <f>_xlfn.XLOOKUP(M273,'00_SKU_Master'!$B$2:$B$378,'00_SKU_Master'!D:D)</f>
        <v>#VALUE!</v>
      </c>
      <c r="X271" s="14">
        <f>'05_Daily_Orders'!B272</f>
        <v>0</v>
      </c>
      <c r="Y271" s="554"/>
      <c r="Z271" s="555"/>
      <c r="AA271" s="555"/>
      <c r="AB271" s="555"/>
      <c r="AC271" s="555"/>
      <c r="AD271" s="555"/>
      <c r="AE271" s="555"/>
      <c r="AF271" s="553">
        <f t="shared" si="28"/>
        <v>0</v>
      </c>
    </row>
    <row r="272" spans="1:45">
      <c r="A272" s="138" t="e">
        <f>_xlfn.XLOOKUP(C274,'00_SKU_Master'!$B$2:$B$378,'00_SKU_Master'!$C$2:$C$378)</f>
        <v>#N/A</v>
      </c>
      <c r="B272" s="138"/>
      <c r="C272" s="138">
        <f t="shared" si="24"/>
        <v>0</v>
      </c>
      <c r="D272" s="552" t="e">
        <f ca="1">_xludf.IFNA(_xlfn.XLOOKUP(C274,'00_SKU_Master'!$B$2:$B$378,'00_SKU_Master'!$F$2:$F$378,0)*Y274,"")</f>
        <v>#NAME?</v>
      </c>
      <c r="E272" s="552" t="e">
        <f ca="1">_xludf.IFNA(_xlfn.XLOOKUP(C274,'00_SKU_Master'!$B$2:$B$378,'00_SKU_Master'!$F$2:$F$378,0)*Z274,"")</f>
        <v>#NAME?</v>
      </c>
      <c r="F272" s="552" t="e">
        <f ca="1">_xludf.IFNA(_xlfn.XLOOKUP(C274,'00_SKU_Master'!$B$2:$B$378,'00_SKU_Master'!$F$2:$F$378,0)*AA274,"")</f>
        <v>#NAME?</v>
      </c>
      <c r="G272" s="552" t="e">
        <f ca="1">_xludf.IFNA(_xlfn.XLOOKUP(C274,'00_SKU_Master'!$B$2:$B$378,'00_SKU_Master'!$F$2:$F$378,0)*AB274,"")</f>
        <v>#NAME?</v>
      </c>
      <c r="H272" s="552" t="e">
        <f ca="1">_xludf.IFNA(_xlfn.XLOOKUP(C274,'00_SKU_Master'!$B$2:$B$378,'00_SKU_Master'!$F$2:$F$378,0)*AC274,"")</f>
        <v>#NAME?</v>
      </c>
      <c r="I272" s="552" t="e">
        <f ca="1">_xludf.IFNA(_xlfn.XLOOKUP(C274,'00_SKU_Master'!$B$2:$B$378,'00_SKU_Master'!$F$2:$F$378,0)*AD274,"")</f>
        <v>#NAME?</v>
      </c>
      <c r="J272" s="552" t="e">
        <f ca="1">_xludf.IFNA(_xlfn.XLOOKUP(C274,'00_SKU_Master'!$B$2:$B$378,'00_SKU_Master'!$F$2:$F$378,0)*AE274,"")</f>
        <v>#NAME?</v>
      </c>
      <c r="K272" s="553">
        <f t="shared" si="25"/>
        <v>0</v>
      </c>
      <c r="L272" s="187" t="e">
        <f>_xlfn.XLOOKUP(C274,'00_SKU_Master'!$B$2:$B$378,'00_SKU_Master'!K:K)</f>
        <v>#VALUE!</v>
      </c>
      <c r="M272" s="14">
        <f t="shared" si="26"/>
        <v>0</v>
      </c>
      <c r="N272" s="556" t="e">
        <f ca="1">_xludf.IFNA(D274/_xlfn.XLOOKUP($M274,'00_SKU_Master'!$B$2:$B$378,'00_SKU_Master'!$M$2:$M$378,0)/$M$2,"0")</f>
        <v>#NAME?</v>
      </c>
      <c r="O272" s="556" t="e">
        <f ca="1">_xludf.IFNA(E274/_xlfn.XLOOKUP($M274,'00_SKU_Master'!$B$2:$B$378,'00_SKU_Master'!$M$2:$M$378,0)/$M$2,"0")</f>
        <v>#NAME?</v>
      </c>
      <c r="P272" s="556" t="e">
        <f ca="1">_xludf.IFNA(F274/_xlfn.XLOOKUP($M274,'00_SKU_Master'!$B$2:$B$378,'00_SKU_Master'!$M$2:$M$378,0)/$M$2,"0")</f>
        <v>#NAME?</v>
      </c>
      <c r="Q272" s="556" t="e">
        <f ca="1">_xludf.IFNA(G274/_xlfn.XLOOKUP($M274,'00_SKU_Master'!$B$2:$B$378,'00_SKU_Master'!$M$2:$M$378,0)/$M$2,"0")</f>
        <v>#NAME?</v>
      </c>
      <c r="R272" s="556" t="e">
        <f ca="1">_xludf.IFNA(H274/_xlfn.XLOOKUP($M274,'00_SKU_Master'!$B$2:$B$378,'00_SKU_Master'!$M$2:$M$378,0)/$M$2,"0")</f>
        <v>#NAME?</v>
      </c>
      <c r="S272" s="556" t="e">
        <f ca="1">_xludf.IFNA(I274/_xlfn.XLOOKUP($M274,'00_SKU_Master'!$B$2:$B$378,'00_SKU_Master'!$M$2:$M$378,0)/$M$2,"0")</f>
        <v>#NAME?</v>
      </c>
      <c r="T272" s="556" t="e">
        <f ca="1">_xludf.IFNA(J274/_xlfn.XLOOKUP($M274,'00_SKU_Master'!$B$2:$B$378,'00_SKU_Master'!$M$2:$M$378,0)/$M$2,"0")</f>
        <v>#NAME?</v>
      </c>
      <c r="U272" s="556">
        <f t="shared" si="27"/>
        <v>0</v>
      </c>
      <c r="V272" s="4"/>
      <c r="W272" s="4" t="e">
        <f>_xlfn.XLOOKUP(M274,'00_SKU_Master'!$B$2:$B$378,'00_SKU_Master'!D:D)</f>
        <v>#VALUE!</v>
      </c>
      <c r="X272" s="14">
        <f>'05_Daily_Orders'!B273</f>
        <v>0</v>
      </c>
      <c r="Y272" s="557"/>
      <c r="Z272" s="558"/>
      <c r="AA272" s="558"/>
      <c r="AB272" s="558"/>
      <c r="AC272" s="558"/>
      <c r="AD272" s="558"/>
      <c r="AE272" s="558"/>
      <c r="AF272" s="559">
        <f t="shared" si="28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00_SKU_Master</vt:lpstr>
      <vt:lpstr>01_Cages_Plan</vt:lpstr>
      <vt:lpstr>02_TrayPack_Order</vt:lpstr>
      <vt:lpstr>03_BulkPack_Order</vt:lpstr>
      <vt:lpstr>04_Bagging_Order</vt:lpstr>
      <vt:lpstr>05_Daily_Orders</vt:lpstr>
      <vt:lpstr>06_Resource_Plan</vt:lpstr>
      <vt:lpstr>07_Labor_Calc</vt:lpstr>
      <vt:lpstr>08_Chart_Data</vt:lpstr>
      <vt:lpstr>09_Pallet_Space</vt:lpstr>
      <vt:lpstr>10_Cone_Line</vt:lpstr>
      <vt:lpstr>00_Yield_Rates</vt:lpstr>
      <vt:lpstr>12_Executive_Dash</vt:lpstr>
      <vt:lpstr>14_Production_Planning</vt:lpstr>
      <vt:lpstr>13_Progress_Track</vt:lpstr>
      <vt:lpstr>14_Weekly_Plan</vt:lpstr>
      <vt:lpstr>15_5Day_Forecast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 Sun</cp:lastModifiedBy>
  <dcterms:created xsi:type="dcterms:W3CDTF">2026-01-01T16:53:26Z</dcterms:created>
  <dcterms:modified xsi:type="dcterms:W3CDTF">2026-01-02T13:49:17Z</dcterms:modified>
</cp:coreProperties>
</file>